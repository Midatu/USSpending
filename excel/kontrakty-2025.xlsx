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akty" sheetId="1" state="visible" r:id="rId1"/>
    <sheet xmlns:r="http://schemas.openxmlformats.org/officeDocument/2006/relationships" name="Tickery" sheetId="2" state="visible" r:id="rId2"/>
    <sheet xmlns:r="http://schemas.openxmlformats.org/officeDocument/2006/relationships" name="Stav" sheetId="3" state="visible" r:id="rId3"/>
  </sheets>
  <definedNames>
    <definedName name="_xlnm._FilterDatabase" localSheetId="0" hidden="1">'Kontrakty'!$A$1:$Y$3</definedName>
    <definedName name="_xlnm._FilterDatabase" localSheetId="1" hidden="1">'Tickery'!$A$1:$E$10500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16" customWidth="1" min="5" max="5"/>
    <col width="60" customWidth="1" min="6" max="6"/>
    <col width="26" customWidth="1" min="7" max="7"/>
    <col width="11" customWidth="1" min="8" max="8"/>
    <col width="12" customWidth="1" min="9" max="9"/>
    <col width="12" customWidth="1" min="10" max="10"/>
    <col width="12" customWidth="1" min="11" max="11"/>
    <col width="7" customWidth="1" min="12" max="12"/>
    <col width="32" customWidth="1" min="13" max="13"/>
    <col width="12" customWidth="1" min="14" max="14"/>
    <col width="28" customWidth="1" min="15" max="15"/>
    <col width="12" customWidth="1" min="16" max="16"/>
    <col width="14" customWidth="1" min="17" max="17"/>
    <col width="12" customWidth="1" min="18" max="18"/>
    <col width="22" customWidth="1" min="19" max="19"/>
    <col width="18" customWidth="1" min="20" max="20"/>
    <col width="11" customWidth="1" min="21" max="21"/>
    <col width="8" customWidth="1" min="22" max="22"/>
    <col width="9" customWidth="1" min="23" max="23"/>
    <col width="9" customWidth="1" min="24" max="24"/>
    <col width="20" customWidth="1" min="25" max="25"/>
  </cols>
  <sheetData>
    <row r="1">
      <c r="A1" s="1" t="inlineStr">
        <is>
          <t>Datum</t>
        </is>
      </c>
      <c r="B1" s="1" t="inlineStr">
        <is>
          <t>Typ</t>
        </is>
      </c>
      <c r="C1" s="1" t="inlineStr">
        <is>
          <t>Společnost</t>
        </is>
      </c>
      <c r="D1" s="1" t="inlineStr">
        <is>
          <t>Ticker</t>
        </is>
      </c>
      <c r="E1" s="1" t="inlineStr">
        <is>
          <t>Výše ($)</t>
        </is>
      </c>
      <c r="F1" s="1" t="inlineStr">
        <is>
          <t>Popis</t>
        </is>
      </c>
      <c r="G1" s="1" t="inlineStr">
        <is>
          <t>Zadavatel</t>
        </is>
      </c>
      <c r="H1" s="1" t="inlineStr">
        <is>
          <t>Zhodnocení</t>
        </is>
      </c>
      <c r="I1" s="1" t="inlineStr">
        <is>
          <t>Zhodnocení p.a.</t>
        </is>
      </c>
      <c r="J1" s="1" t="inlineStr">
        <is>
          <t>Cena start</t>
        </is>
      </c>
      <c r="K1" s="1" t="inlineStr">
        <is>
          <t>Cena dnes</t>
        </is>
      </c>
      <c r="L1" s="1" t="inlineStr">
        <is>
          <t>Měna</t>
        </is>
      </c>
      <c r="M1" s="1" t="inlineStr">
        <is>
          <t>Vývoj</t>
        </is>
      </c>
      <c r="N1" s="1" t="inlineStr">
        <is>
          <t>Detail</t>
        </is>
      </c>
      <c r="O1" s="1" t="inlineStr">
        <is>
          <t>Mateřská společnost</t>
        </is>
      </c>
      <c r="P1" s="1" t="inlineStr">
        <is>
          <t>Burza</t>
        </is>
      </c>
      <c r="Q1" s="1" t="inlineStr">
        <is>
          <t>Shoda tickeru</t>
        </is>
      </c>
      <c r="R1" s="1" t="inlineStr">
        <is>
          <t>Navazuje na kontrakt v seznamu</t>
        </is>
      </c>
      <c r="S1" s="1" t="inlineStr">
        <is>
          <t>Zdroje</t>
        </is>
      </c>
      <c r="T1" s="1" t="inlineStr">
        <is>
          <t>Číslo kontraktu</t>
        </is>
      </c>
      <c r="U1" s="1" t="inlineStr">
        <is>
          <t>Modifikace</t>
        </is>
      </c>
      <c r="V1" s="1" t="inlineStr">
        <is>
          <t>DoD</t>
        </is>
      </c>
      <c r="W1" s="1" t="inlineStr">
        <is>
          <t>SAM.gov</t>
        </is>
      </c>
      <c r="X1" s="1" t="inlineStr">
        <is>
          <t>SEC 8-K</t>
        </is>
      </c>
      <c r="Y1" s="1" t="inlineStr">
        <is>
          <t>Poprvé zachyceno (UTC)</t>
        </is>
      </c>
    </row>
    <row r="2">
      <c r="A2" t="inlineStr">
        <is>
          <t>2025-11-18</t>
        </is>
      </c>
      <c r="B2" t="inlineStr">
        <is>
          <t>Nový</t>
        </is>
      </c>
      <c r="C2" t="inlineStr">
        <is>
          <t>Specgx LLC</t>
        </is>
      </c>
      <c r="D2" t="inlineStr"/>
      <c r="E2" s="2" t="n">
        <v>2172104.55</v>
      </c>
      <c r="F2" t="inlineStr">
        <is>
          <t>Morphine IR &amp; ER</t>
        </is>
      </c>
      <c r="G2" t="inlineStr">
        <is>
          <t>Defense Logistics Agency</t>
        </is>
      </c>
      <c r="H2" s="3" t="n"/>
      <c r="I2" s="3" t="n"/>
      <c r="J2" s="4" t="n"/>
      <c r="K2" s="4" t="n"/>
      <c r="L2" t="inlineStr"/>
      <c r="M2" t="inlineStr"/>
      <c r="N2" s="5">
        <f>HYPERLINK("https://sam.gov/opp/40138a7682a74e33b6e2efc69cc75a89/view","Otevřít")</f>
        <v/>
      </c>
      <c r="O2" t="inlineStr"/>
      <c r="P2" t="inlineStr"/>
      <c r="Q2" t="inlineStr"/>
      <c r="R2" t="inlineStr"/>
      <c r="S2" t="inlineStr">
        <is>
          <t>SAM.gov</t>
        </is>
      </c>
      <c r="T2" t="inlineStr">
        <is>
          <t>SPE2D226D0004</t>
        </is>
      </c>
      <c r="U2" t="inlineStr"/>
      <c r="V2" s="5" t="inlineStr"/>
      <c r="W2" s="5">
        <f>HYPERLINK("https://sam.gov/opp/40138a7682a74e33b6e2efc69cc75a89/view","Otevřít")</f>
        <v/>
      </c>
      <c r="X2" s="5" t="inlineStr"/>
      <c r="Y2" t="inlineStr">
        <is>
          <t>2026-10-26 16:58:49</t>
        </is>
      </c>
    </row>
    <row r="3">
      <c r="A3" t="inlineStr">
        <is>
          <t>2025-09-11</t>
        </is>
      </c>
      <c r="B3" t="inlineStr">
        <is>
          <t>Nový</t>
        </is>
      </c>
      <c r="C3" t="inlineStr">
        <is>
          <t>Tactica Solutions, LLC</t>
        </is>
      </c>
      <c r="D3" t="inlineStr"/>
      <c r="E3" s="2" t="n">
        <v>5760663.79</v>
      </c>
      <c r="F3" t="inlineStr">
        <is>
          <t>Humint</t>
        </is>
      </c>
      <c r="G3" t="inlineStr">
        <is>
          <t>U.S. Air Force</t>
        </is>
      </c>
      <c r="H3" s="3" t="n"/>
      <c r="I3" s="3" t="n"/>
      <c r="J3" s="4" t="n"/>
      <c r="K3" s="4" t="n"/>
      <c r="L3" t="inlineStr"/>
      <c r="M3" t="inlineStr"/>
      <c r="N3" s="5">
        <f>HYPERLINK("https://sam.gov/opp/e4bcf9df71374f419ee479b729ab587f/view","Otevřít")</f>
        <v/>
      </c>
      <c r="O3" t="inlineStr"/>
      <c r="P3" t="inlineStr"/>
      <c r="Q3" t="inlineStr"/>
      <c r="R3" t="inlineStr"/>
      <c r="S3" t="inlineStr">
        <is>
          <t>SAM.gov</t>
        </is>
      </c>
      <c r="T3" t="inlineStr">
        <is>
          <t>FA703725C0004</t>
        </is>
      </c>
      <c r="U3" t="inlineStr"/>
      <c r="V3" s="5" t="inlineStr"/>
      <c r="W3" s="5">
        <f>HYPERLINK("https://sam.gov/opp/e4bcf9df71374f419ee479b729ab587f/view","Otevřít")</f>
        <v/>
      </c>
      <c r="X3" s="5" t="inlineStr"/>
      <c r="Y3" t="inlineStr">
        <is>
          <t>2026-10-27 18:58:37</t>
        </is>
      </c>
    </row>
  </sheetData>
  <autoFilter ref="A1:Y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Ticker</t>
        </is>
      </c>
      <c r="B1" s="1" t="inlineStr">
        <is>
          <t>Společnost</t>
        </is>
      </c>
      <c r="C1" s="1" t="inlineStr">
        <is>
          <t>Burza</t>
        </is>
      </c>
      <c r="D1" s="1" t="inlineStr">
        <is>
          <t>CIK</t>
        </is>
      </c>
      <c r="E1" s="1" t="inlineStr">
        <is>
          <t>Zdroj</t>
        </is>
      </c>
    </row>
    <row r="2">
      <c r="A2" s="5">
        <f>HYPERLINK("https://finance.yahoo.com/quote/NVDA","NVDA")</f>
        <v/>
      </c>
      <c r="B2" t="inlineStr">
        <is>
          <t>NVIDIA CORP</t>
        </is>
      </c>
      <c r="C2" t="inlineStr">
        <is>
          <t>Nasdaq</t>
        </is>
      </c>
      <c r="D2" t="n">
        <v>1045810</v>
      </c>
      <c r="E2" t="inlineStr">
        <is>
          <t>SEC</t>
        </is>
      </c>
    </row>
    <row r="3">
      <c r="A3" s="5">
        <f>HYPERLINK("https://finance.yahoo.com/quote/AAPL","AAPL")</f>
        <v/>
      </c>
      <c r="B3" t="inlineStr">
        <is>
          <t>Apple Inc.</t>
        </is>
      </c>
      <c r="C3" t="inlineStr">
        <is>
          <t>Nasdaq</t>
        </is>
      </c>
      <c r="D3" t="n">
        <v>320193</v>
      </c>
      <c r="E3" t="inlineStr">
        <is>
          <t>SEC</t>
        </is>
      </c>
    </row>
    <row r="4">
      <c r="A4" s="5">
        <f>HYPERLINK("https://finance.yahoo.com/quote/GOOGL","GOOGL")</f>
        <v/>
      </c>
      <c r="B4" t="inlineStr">
        <is>
          <t>Alphabet Inc.</t>
        </is>
      </c>
      <c r="C4" t="inlineStr">
        <is>
          <t>Nasdaq</t>
        </is>
      </c>
      <c r="D4" t="n">
        <v>1652044</v>
      </c>
      <c r="E4" t="inlineStr">
        <is>
          <t>SEC</t>
        </is>
      </c>
    </row>
    <row r="5">
      <c r="A5" s="5">
        <f>HYPERLINK("https://finance.yahoo.com/quote/MSFT","MSFT")</f>
        <v/>
      </c>
      <c r="B5" t="inlineStr">
        <is>
          <t>MICROSOFT CORP</t>
        </is>
      </c>
      <c r="C5" t="inlineStr">
        <is>
          <t>Nasdaq</t>
        </is>
      </c>
      <c r="D5" t="n">
        <v>789019</v>
      </c>
      <c r="E5" t="inlineStr">
        <is>
          <t>SEC</t>
        </is>
      </c>
    </row>
    <row r="6">
      <c r="A6" s="5">
        <f>HYPERLINK("https://finance.yahoo.com/quote/AMZN","AMZN")</f>
        <v/>
      </c>
      <c r="B6" t="inlineStr">
        <is>
          <t>AMAZON COM INC</t>
        </is>
      </c>
      <c r="C6" t="inlineStr">
        <is>
          <t>Nasdaq</t>
        </is>
      </c>
      <c r="D6" t="n">
        <v>1018724</v>
      </c>
      <c r="E6" t="inlineStr">
        <is>
          <t>SEC</t>
        </is>
      </c>
    </row>
    <row r="7">
      <c r="A7" s="5">
        <f>HYPERLINK("https://finance.yahoo.com/quote/META","META")</f>
        <v/>
      </c>
      <c r="B7" t="inlineStr">
        <is>
          <t>Meta Platforms, Inc.</t>
        </is>
      </c>
      <c r="C7" t="inlineStr">
        <is>
          <t>Nasdaq</t>
        </is>
      </c>
      <c r="D7" t="n">
        <v>1326801</v>
      </c>
      <c r="E7" t="inlineStr">
        <is>
          <t>SEC</t>
        </is>
      </c>
    </row>
    <row r="8">
      <c r="A8" s="5">
        <f>HYPERLINK("https://finance.yahoo.com/quote/AVGO","AVGO")</f>
        <v/>
      </c>
      <c r="B8" t="inlineStr">
        <is>
          <t>Broadcom Inc.</t>
        </is>
      </c>
      <c r="C8" t="inlineStr">
        <is>
          <t>Nasdaq</t>
        </is>
      </c>
      <c r="D8" t="n">
        <v>1730168</v>
      </c>
      <c r="E8" t="inlineStr">
        <is>
          <t>SEC</t>
        </is>
      </c>
    </row>
    <row r="9">
      <c r="A9" s="5">
        <f>HYPERLINK("https://finance.yahoo.com/quote/TSLA","TSLA")</f>
        <v/>
      </c>
      <c r="B9" t="inlineStr">
        <is>
          <t>Tesla, Inc.</t>
        </is>
      </c>
      <c r="C9" t="inlineStr">
        <is>
          <t>Nasdaq</t>
        </is>
      </c>
      <c r="D9" t="n">
        <v>1318605</v>
      </c>
      <c r="E9" t="inlineStr">
        <is>
          <t>SEC</t>
        </is>
      </c>
    </row>
    <row r="10">
      <c r="A10" s="5">
        <f>HYPERLINK("https://finance.yahoo.com/quote/BRK-B","BRK-B")</f>
        <v/>
      </c>
      <c r="B10" t="inlineStr">
        <is>
          <t>BERKSHIRE HATHAWAY INC</t>
        </is>
      </c>
      <c r="C10" t="inlineStr">
        <is>
          <t>NYSE</t>
        </is>
      </c>
      <c r="D10" t="n">
        <v>1067983</v>
      </c>
      <c r="E10" t="inlineStr">
        <is>
          <t>SEC</t>
        </is>
      </c>
    </row>
    <row r="11">
      <c r="A11" s="5">
        <f>HYPERLINK("https://finance.yahoo.com/quote/LLY","LLY")</f>
        <v/>
      </c>
      <c r="B11" t="inlineStr">
        <is>
          <t>ELI LILLY &amp; Co</t>
        </is>
      </c>
      <c r="C11" t="inlineStr">
        <is>
          <t>NYSE</t>
        </is>
      </c>
      <c r="D11" t="n">
        <v>59478</v>
      </c>
      <c r="E11" t="inlineStr">
        <is>
          <t>SEC</t>
        </is>
      </c>
    </row>
    <row r="12">
      <c r="A12" s="5">
        <f>HYPERLINK("https://finance.yahoo.com/quote/SKHY","SKHY")</f>
        <v/>
      </c>
      <c r="B12" t="inlineStr">
        <is>
          <t>SK hynix Inc.</t>
        </is>
      </c>
      <c r="C12" t="inlineStr">
        <is>
          <t>Nasdaq</t>
        </is>
      </c>
      <c r="D12" t="n">
        <v>2120882</v>
      </c>
      <c r="E12" t="inlineStr">
        <is>
          <t>SEC</t>
        </is>
      </c>
    </row>
    <row r="13">
      <c r="A13" s="5">
        <f>HYPERLINK("https://finance.yahoo.com/quote/MU","MU")</f>
        <v/>
      </c>
      <c r="B13" t="inlineStr">
        <is>
          <t>MICRON TECHNOLOGY INC</t>
        </is>
      </c>
      <c r="C13" t="inlineStr">
        <is>
          <t>Nasdaq</t>
        </is>
      </c>
      <c r="D13" t="n">
        <v>723125</v>
      </c>
      <c r="E13" t="inlineStr">
        <is>
          <t>SEC</t>
        </is>
      </c>
    </row>
    <row r="14">
      <c r="A14" s="5">
        <f>HYPERLINK("https://finance.yahoo.com/quote/WMT","WMT")</f>
        <v/>
      </c>
      <c r="B14" t="inlineStr">
        <is>
          <t>Walmart Inc.</t>
        </is>
      </c>
      <c r="C14" t="inlineStr">
        <is>
          <t>Nasdaq</t>
        </is>
      </c>
      <c r="D14" t="n">
        <v>104169</v>
      </c>
      <c r="E14" t="inlineStr">
        <is>
          <t>SEC</t>
        </is>
      </c>
    </row>
    <row r="15">
      <c r="A15" s="5">
        <f>HYPERLINK("https://finance.yahoo.com/quote/JPM","JPM")</f>
        <v/>
      </c>
      <c r="B15" t="inlineStr">
        <is>
          <t>JPMORGAN CHASE &amp; CO</t>
        </is>
      </c>
      <c r="C15" t="inlineStr">
        <is>
          <t>NYSE</t>
        </is>
      </c>
      <c r="D15" t="n">
        <v>19617</v>
      </c>
      <c r="E15" t="inlineStr">
        <is>
          <t>SEC</t>
        </is>
      </c>
    </row>
    <row r="16">
      <c r="A16" s="5">
        <f>HYPERLINK("https://finance.yahoo.com/quote/AMD","AMD")</f>
        <v/>
      </c>
      <c r="B16" t="inlineStr">
        <is>
          <t>ADVANCED MICRO DEVICES INC</t>
        </is>
      </c>
      <c r="C16" t="inlineStr">
        <is>
          <t>Nasdaq</t>
        </is>
      </c>
      <c r="D16" t="n">
        <v>2488</v>
      </c>
      <c r="E16" t="inlineStr">
        <is>
          <t>SEC</t>
        </is>
      </c>
    </row>
    <row r="17">
      <c r="A17" s="5">
        <f>HYPERLINK("https://finance.yahoo.com/quote/V","V")</f>
        <v/>
      </c>
      <c r="B17" t="inlineStr">
        <is>
          <t>VISA INC.</t>
        </is>
      </c>
      <c r="C17" t="inlineStr">
        <is>
          <t>NYSE</t>
        </is>
      </c>
      <c r="D17" t="n">
        <v>1403161</v>
      </c>
      <c r="E17" t="inlineStr">
        <is>
          <t>SEC</t>
        </is>
      </c>
    </row>
    <row r="18">
      <c r="A18" s="5">
        <f>HYPERLINK("https://finance.yahoo.com/quote/XOM","XOM")</f>
        <v/>
      </c>
      <c r="B18" t="inlineStr">
        <is>
          <t>ExxonMobil Holdings Corp</t>
        </is>
      </c>
      <c r="C18" t="inlineStr">
        <is>
          <t>NYSE</t>
        </is>
      </c>
      <c r="D18" t="n">
        <v>2115436</v>
      </c>
      <c r="E18" t="inlineStr">
        <is>
          <t>SEC</t>
        </is>
      </c>
    </row>
    <row r="19">
      <c r="A19" s="5">
        <f>HYPERLINK("https://finance.yahoo.com/quote/JNJ","JNJ")</f>
        <v/>
      </c>
      <c r="B19" t="inlineStr">
        <is>
          <t>JOHNSON &amp; JOHNSON</t>
        </is>
      </c>
      <c r="C19" t="inlineStr">
        <is>
          <t>NYSE</t>
        </is>
      </c>
      <c r="D19" t="n">
        <v>200406</v>
      </c>
      <c r="E19" t="inlineStr">
        <is>
          <t>SEC</t>
        </is>
      </c>
    </row>
    <row r="20">
      <c r="A20" s="5">
        <f>HYPERLINK("https://finance.yahoo.com/quote/ASML","ASML")</f>
        <v/>
      </c>
      <c r="B20" t="inlineStr">
        <is>
          <t>ASML HOLDING NV</t>
        </is>
      </c>
      <c r="C20" t="inlineStr">
        <is>
          <t>Nasdaq</t>
        </is>
      </c>
      <c r="D20" t="n">
        <v>937966</v>
      </c>
      <c r="E20" t="inlineStr">
        <is>
          <t>SEC</t>
        </is>
      </c>
    </row>
    <row r="21">
      <c r="A21" s="5">
        <f>HYPERLINK("https://finance.yahoo.com/quote/MA","MA")</f>
        <v/>
      </c>
      <c r="B21" t="inlineStr">
        <is>
          <t>Mastercard Inc</t>
        </is>
      </c>
      <c r="C21" t="inlineStr">
        <is>
          <t>NYSE</t>
        </is>
      </c>
      <c r="D21" t="n">
        <v>1141391</v>
      </c>
      <c r="E21" t="inlineStr">
        <is>
          <t>SEC</t>
        </is>
      </c>
    </row>
    <row r="22">
      <c r="A22" s="5">
        <f>HYPERLINK("https://finance.yahoo.com/quote/ABBV","ABBV")</f>
        <v/>
      </c>
      <c r="B22" t="inlineStr">
        <is>
          <t>AbbVie Inc.</t>
        </is>
      </c>
      <c r="C22" t="inlineStr">
        <is>
          <t>NYSE</t>
        </is>
      </c>
      <c r="D22" t="n">
        <v>1551152</v>
      </c>
      <c r="E22" t="inlineStr">
        <is>
          <t>SEC</t>
        </is>
      </c>
    </row>
    <row r="23">
      <c r="A23" s="5">
        <f>HYPERLINK("https://finance.yahoo.com/quote/PLTR","PLTR")</f>
        <v/>
      </c>
      <c r="B23" t="inlineStr">
        <is>
          <t>Palantir Technologies Inc.</t>
        </is>
      </c>
      <c r="C23" t="inlineStr">
        <is>
          <t>Nasdaq</t>
        </is>
      </c>
      <c r="D23" t="n">
        <v>1321655</v>
      </c>
      <c r="E23" t="inlineStr">
        <is>
          <t>SEC</t>
        </is>
      </c>
    </row>
    <row r="24">
      <c r="A24" s="5">
        <f>HYPERLINK("https://finance.yahoo.com/quote/INTC","INTC")</f>
        <v/>
      </c>
      <c r="B24" t="inlineStr">
        <is>
          <t>INTEL CORP</t>
        </is>
      </c>
      <c r="C24" t="inlineStr">
        <is>
          <t>Nasdaq</t>
        </is>
      </c>
      <c r="D24" t="n">
        <v>50863</v>
      </c>
      <c r="E24" t="inlineStr">
        <is>
          <t>SEC</t>
        </is>
      </c>
    </row>
    <row r="25">
      <c r="A25" s="5">
        <f>HYPERLINK("https://finance.yahoo.com/quote/CVX","CVX")</f>
        <v/>
      </c>
      <c r="B25" t="inlineStr">
        <is>
          <t>CHEVRON CORP</t>
        </is>
      </c>
      <c r="C25" t="inlineStr">
        <is>
          <t>NYSE</t>
        </is>
      </c>
      <c r="D25" t="n">
        <v>93410</v>
      </c>
      <c r="E25" t="inlineStr">
        <is>
          <t>SEC</t>
        </is>
      </c>
    </row>
    <row r="26">
      <c r="A26" s="5">
        <f>HYPERLINK("https://finance.yahoo.com/quote/COST","COST")</f>
        <v/>
      </c>
      <c r="B26" t="inlineStr">
        <is>
          <t>COSTCO WHOLESALE CORP /NEW</t>
        </is>
      </c>
      <c r="C26" t="inlineStr">
        <is>
          <t>Nasdaq</t>
        </is>
      </c>
      <c r="D26" t="n">
        <v>909832</v>
      </c>
      <c r="E26" t="inlineStr">
        <is>
          <t>SEC</t>
        </is>
      </c>
    </row>
    <row r="27">
      <c r="A27" s="5">
        <f>HYPERLINK("https://finance.yahoo.com/quote/CSCO","CSCO")</f>
        <v/>
      </c>
      <c r="B27" t="inlineStr">
        <is>
          <t>CISCO SYSTEMS, INC.</t>
        </is>
      </c>
      <c r="C27" t="inlineStr">
        <is>
          <t>Nasdaq</t>
        </is>
      </c>
      <c r="D27" t="n">
        <v>858877</v>
      </c>
      <c r="E27" t="inlineStr">
        <is>
          <t>SEC</t>
        </is>
      </c>
    </row>
    <row r="28">
      <c r="A28" s="5">
        <f>HYPERLINK("https://finance.yahoo.com/quote/KO","KO")</f>
        <v/>
      </c>
      <c r="B28" t="inlineStr">
        <is>
          <t>COCA COLA CO</t>
        </is>
      </c>
      <c r="C28" t="inlineStr">
        <is>
          <t>NYSE</t>
        </is>
      </c>
      <c r="D28" t="n">
        <v>21344</v>
      </c>
      <c r="E28" t="inlineStr">
        <is>
          <t>SEC</t>
        </is>
      </c>
    </row>
    <row r="29">
      <c r="A29" s="5">
        <f>HYPERLINK("https://finance.yahoo.com/quote/ORCL","ORCL")</f>
        <v/>
      </c>
      <c r="B29" t="inlineStr">
        <is>
          <t>ORACLE CORP</t>
        </is>
      </c>
      <c r="C29" t="inlineStr">
        <is>
          <t>NYSE</t>
        </is>
      </c>
      <c r="D29" t="n">
        <v>1341439</v>
      </c>
      <c r="E29" t="inlineStr">
        <is>
          <t>SEC</t>
        </is>
      </c>
    </row>
    <row r="30">
      <c r="A30" s="5">
        <f>HYPERLINK("https://finance.yahoo.com/quote/PG","PG")</f>
        <v/>
      </c>
      <c r="B30" t="inlineStr">
        <is>
          <t>PROCTER &amp; GAMBLE Co</t>
        </is>
      </c>
      <c r="C30" t="inlineStr">
        <is>
          <t>NYSE</t>
        </is>
      </c>
      <c r="D30" t="n">
        <v>80424</v>
      </c>
      <c r="E30" t="inlineStr">
        <is>
          <t>SEC</t>
        </is>
      </c>
    </row>
    <row r="31">
      <c r="A31" s="5">
        <f>HYPERLINK("https://finance.yahoo.com/quote/UNH","UNH")</f>
        <v/>
      </c>
      <c r="B31" t="inlineStr">
        <is>
          <t>UNITEDHEALTH GROUP INC</t>
        </is>
      </c>
      <c r="C31" t="inlineStr">
        <is>
          <t>NYSE</t>
        </is>
      </c>
      <c r="D31" t="n">
        <v>731766</v>
      </c>
      <c r="E31" t="inlineStr">
        <is>
          <t>SEC</t>
        </is>
      </c>
    </row>
    <row r="32">
      <c r="A32" s="5">
        <f>HYPERLINK("https://finance.yahoo.com/quote/MRK","MRK")</f>
        <v/>
      </c>
      <c r="B32" t="inlineStr">
        <is>
          <t>Merck &amp; Co., Inc.</t>
        </is>
      </c>
      <c r="C32" t="inlineStr">
        <is>
          <t>NYSE</t>
        </is>
      </c>
      <c r="D32" t="n">
        <v>310158</v>
      </c>
      <c r="E32" t="inlineStr">
        <is>
          <t>SEC</t>
        </is>
      </c>
    </row>
    <row r="33">
      <c r="A33" s="5">
        <f>HYPERLINK("https://finance.yahoo.com/quote/BAC","BAC")</f>
        <v/>
      </c>
      <c r="B33" t="inlineStr">
        <is>
          <t>BANK OF AMERICA CORP /DE/</t>
        </is>
      </c>
      <c r="C33" t="inlineStr">
        <is>
          <t>NYSE</t>
        </is>
      </c>
      <c r="D33" t="n">
        <v>70858</v>
      </c>
      <c r="E33" t="inlineStr">
        <is>
          <t>SEC</t>
        </is>
      </c>
    </row>
    <row r="34">
      <c r="A34" s="5">
        <f>HYPERLINK("https://finance.yahoo.com/quote/HD","HD")</f>
        <v/>
      </c>
      <c r="B34" t="inlineStr">
        <is>
          <t>HOME DEPOT, INC.</t>
        </is>
      </c>
      <c r="C34" t="inlineStr">
        <is>
          <t>NYSE</t>
        </is>
      </c>
      <c r="D34" t="n">
        <v>354950</v>
      </c>
      <c r="E34" t="inlineStr">
        <is>
          <t>SEC</t>
        </is>
      </c>
    </row>
    <row r="35">
      <c r="A35" s="5">
        <f>HYPERLINK("https://finance.yahoo.com/quote/CAT","CAT")</f>
        <v/>
      </c>
      <c r="B35" t="inlineStr">
        <is>
          <t>CATERPILLAR INC</t>
        </is>
      </c>
      <c r="C35" t="inlineStr">
        <is>
          <t>NYSE</t>
        </is>
      </c>
      <c r="D35" t="n">
        <v>18230</v>
      </c>
      <c r="E35" t="inlineStr">
        <is>
          <t>SEC</t>
        </is>
      </c>
    </row>
    <row r="36">
      <c r="A36" s="5">
        <f>HYPERLINK("https://finance.yahoo.com/quote/PM","PM")</f>
        <v/>
      </c>
      <c r="B36" t="inlineStr">
        <is>
          <t>Philip Morris International Inc.</t>
        </is>
      </c>
      <c r="C36" t="inlineStr">
        <is>
          <t>NYSE</t>
        </is>
      </c>
      <c r="D36" t="n">
        <v>1413329</v>
      </c>
      <c r="E36" t="inlineStr">
        <is>
          <t>SEC</t>
        </is>
      </c>
    </row>
    <row r="37">
      <c r="A37" s="5">
        <f>HYPERLINK("https://finance.yahoo.com/quote/PANW","PANW")</f>
        <v/>
      </c>
      <c r="B37" t="inlineStr">
        <is>
          <t>Palo Alto Networks Inc</t>
        </is>
      </c>
      <c r="C37" t="inlineStr">
        <is>
          <t>Nasdaq</t>
        </is>
      </c>
      <c r="D37" t="n">
        <v>1327567</v>
      </c>
      <c r="E37" t="inlineStr">
        <is>
          <t>SEC</t>
        </is>
      </c>
    </row>
    <row r="38">
      <c r="A38" s="5">
        <f>HYPERLINK("https://finance.yahoo.com/quote/HSBC","HSBC")</f>
        <v/>
      </c>
      <c r="B38" t="inlineStr">
        <is>
          <t>HSBC HOLDINGS PLC</t>
        </is>
      </c>
      <c r="C38" t="inlineStr">
        <is>
          <t>NYSE</t>
        </is>
      </c>
      <c r="D38" t="n">
        <v>1089113</v>
      </c>
      <c r="E38" t="inlineStr">
        <is>
          <t>SEC</t>
        </is>
      </c>
    </row>
    <row r="39">
      <c r="A39" s="5">
        <f>HYPERLINK("https://finance.yahoo.com/quote/SHEL","SHEL")</f>
        <v/>
      </c>
      <c r="B39" t="inlineStr">
        <is>
          <t>Shell plc</t>
        </is>
      </c>
      <c r="C39" t="inlineStr">
        <is>
          <t>NYSE</t>
        </is>
      </c>
      <c r="D39" t="n">
        <v>1306965</v>
      </c>
      <c r="E39" t="inlineStr">
        <is>
          <t>SEC</t>
        </is>
      </c>
    </row>
    <row r="40">
      <c r="A40" s="5">
        <f>HYPERLINK("https://finance.yahoo.com/quote/AMAT","AMAT")</f>
        <v/>
      </c>
      <c r="B40" t="inlineStr">
        <is>
          <t>APPLIED MATERIALS INC /DE</t>
        </is>
      </c>
      <c r="C40" t="inlineStr">
        <is>
          <t>Nasdaq</t>
        </is>
      </c>
      <c r="D40" t="n">
        <v>6951</v>
      </c>
      <c r="E40" t="inlineStr">
        <is>
          <t>SEC</t>
        </is>
      </c>
    </row>
    <row r="41">
      <c r="A41" s="5">
        <f>HYPERLINK("https://finance.yahoo.com/quote/GE","GE")</f>
        <v/>
      </c>
      <c r="B41" t="inlineStr">
        <is>
          <t>GENERAL ELECTRIC CO</t>
        </is>
      </c>
      <c r="C41" t="inlineStr">
        <is>
          <t>NYSE</t>
        </is>
      </c>
      <c r="D41" t="n">
        <v>40545</v>
      </c>
      <c r="E41" t="inlineStr">
        <is>
          <t>SEC</t>
        </is>
      </c>
    </row>
    <row r="42">
      <c r="A42" s="5">
        <f>HYPERLINK("https://finance.yahoo.com/quote/DELL","DELL")</f>
        <v/>
      </c>
      <c r="B42" t="inlineStr">
        <is>
          <t>Dell Technologies Inc.</t>
        </is>
      </c>
      <c r="C42" t="inlineStr">
        <is>
          <t>NYSE</t>
        </is>
      </c>
      <c r="D42" t="n">
        <v>1571996</v>
      </c>
      <c r="E42" t="inlineStr">
        <is>
          <t>SEC</t>
        </is>
      </c>
    </row>
    <row r="43">
      <c r="A43" s="5">
        <f>HYPERLINK("https://finance.yahoo.com/quote/LRCX","LRCX")</f>
        <v/>
      </c>
      <c r="B43" t="inlineStr">
        <is>
          <t>LAM RESEARCH CORP</t>
        </is>
      </c>
      <c r="C43" t="inlineStr">
        <is>
          <t>Nasdaq</t>
        </is>
      </c>
      <c r="D43" t="n">
        <v>707549</v>
      </c>
      <c r="E43" t="inlineStr">
        <is>
          <t>SEC</t>
        </is>
      </c>
    </row>
    <row r="44">
      <c r="A44" s="5">
        <f>HYPERLINK("https://finance.yahoo.com/quote/NVS","NVS")</f>
        <v/>
      </c>
      <c r="B44" t="inlineStr">
        <is>
          <t>NOVARTIS AG</t>
        </is>
      </c>
      <c r="C44" t="inlineStr">
        <is>
          <t>NYSE</t>
        </is>
      </c>
      <c r="D44" t="n">
        <v>1114448</v>
      </c>
      <c r="E44" t="inlineStr">
        <is>
          <t>SEC</t>
        </is>
      </c>
    </row>
    <row r="45">
      <c r="A45" s="5">
        <f>HYPERLINK("https://finance.yahoo.com/quote/MS","MS")</f>
        <v/>
      </c>
      <c r="B45" t="inlineStr">
        <is>
          <t>MORGAN STANLEY</t>
        </is>
      </c>
      <c r="C45" t="inlineStr">
        <is>
          <t>NYSE</t>
        </is>
      </c>
      <c r="D45" t="n">
        <v>895421</v>
      </c>
      <c r="E45" t="inlineStr">
        <is>
          <t>SEC</t>
        </is>
      </c>
    </row>
    <row r="46">
      <c r="A46" s="5">
        <f>HYPERLINK("https://finance.yahoo.com/quote/RY","RY")</f>
        <v/>
      </c>
      <c r="B46" t="inlineStr">
        <is>
          <t>ROYAL BANK OF CANADA</t>
        </is>
      </c>
      <c r="C46" t="inlineStr">
        <is>
          <t>NYSE</t>
        </is>
      </c>
      <c r="D46" t="n">
        <v>1000275</v>
      </c>
      <c r="E46" t="inlineStr">
        <is>
          <t>SEC</t>
        </is>
      </c>
    </row>
    <row r="47">
      <c r="A47" s="5">
        <f>HYPERLINK("https://finance.yahoo.com/quote/SAP","SAP")</f>
        <v/>
      </c>
      <c r="B47" t="inlineStr">
        <is>
          <t>SAP SE</t>
        </is>
      </c>
      <c r="C47" t="inlineStr">
        <is>
          <t>NYSE</t>
        </is>
      </c>
      <c r="D47" t="n">
        <v>1000184</v>
      </c>
      <c r="E47" t="inlineStr">
        <is>
          <t>SEC</t>
        </is>
      </c>
    </row>
    <row r="48">
      <c r="A48" s="5">
        <f>HYPERLINK("https://finance.yahoo.com/quote/NFLX","NFLX")</f>
        <v/>
      </c>
      <c r="B48" t="inlineStr">
        <is>
          <t>NETFLIX INC</t>
        </is>
      </c>
      <c r="C48" t="inlineStr">
        <is>
          <t>Nasdaq</t>
        </is>
      </c>
      <c r="D48" t="n">
        <v>1065280</v>
      </c>
      <c r="E48" t="inlineStr">
        <is>
          <t>SEC</t>
        </is>
      </c>
    </row>
    <row r="49">
      <c r="A49" s="5">
        <f>HYPERLINK("https://finance.yahoo.com/quote/AZN","AZN")</f>
        <v/>
      </c>
      <c r="B49" t="inlineStr">
        <is>
          <t>ASTRAZENECA PLC</t>
        </is>
      </c>
      <c r="C49" t="inlineStr">
        <is>
          <t>NYSE</t>
        </is>
      </c>
      <c r="D49" t="n">
        <v>901832</v>
      </c>
      <c r="E49" t="inlineStr">
        <is>
          <t>SEC</t>
        </is>
      </c>
    </row>
    <row r="50">
      <c r="A50" s="5">
        <f>HYPERLINK("https://finance.yahoo.com/quote/TXN","TXN")</f>
        <v/>
      </c>
      <c r="B50" t="inlineStr">
        <is>
          <t>TEXAS INSTRUMENTS INC</t>
        </is>
      </c>
      <c r="C50" t="inlineStr">
        <is>
          <t>Nasdaq</t>
        </is>
      </c>
      <c r="D50" t="n">
        <v>97476</v>
      </c>
      <c r="E50" t="inlineStr">
        <is>
          <t>SEC</t>
        </is>
      </c>
    </row>
    <row r="51">
      <c r="A51" s="5">
        <f>HYPERLINK("https://finance.yahoo.com/quote/CRWD","CRWD")</f>
        <v/>
      </c>
      <c r="B51" t="inlineStr">
        <is>
          <t>CrowdStrike Holdings, Inc.</t>
        </is>
      </c>
      <c r="C51" t="inlineStr">
        <is>
          <t>Nasdaq</t>
        </is>
      </c>
      <c r="D51" t="n">
        <v>1535527</v>
      </c>
      <c r="E51" t="inlineStr">
        <is>
          <t>SEC</t>
        </is>
      </c>
    </row>
    <row r="52">
      <c r="A52" s="5">
        <f>HYPERLINK("https://finance.yahoo.com/quote/RTX","RTX")</f>
        <v/>
      </c>
      <c r="B52" t="inlineStr">
        <is>
          <t>RTX Corp</t>
        </is>
      </c>
      <c r="C52" t="inlineStr">
        <is>
          <t>NYSE</t>
        </is>
      </c>
      <c r="D52" t="n">
        <v>101829</v>
      </c>
      <c r="E52" t="inlineStr">
        <is>
          <t>SEC</t>
        </is>
      </c>
    </row>
    <row r="53">
      <c r="A53" s="5">
        <f>HYPERLINK("https://finance.yahoo.com/quote/GS","GS")</f>
        <v/>
      </c>
      <c r="B53" t="inlineStr">
        <is>
          <t>GOLDMAN SACHS GROUP INC</t>
        </is>
      </c>
      <c r="C53" t="inlineStr">
        <is>
          <t>NYSE</t>
        </is>
      </c>
      <c r="D53" t="n">
        <v>886982</v>
      </c>
      <c r="E53" t="inlineStr">
        <is>
          <t>SEC</t>
        </is>
      </c>
    </row>
    <row r="54">
      <c r="A54" s="5">
        <f>HYPERLINK("https://finance.yahoo.com/quote/BABA","BABA")</f>
        <v/>
      </c>
      <c r="B54" t="inlineStr">
        <is>
          <t>Alibaba Group Holding Ltd</t>
        </is>
      </c>
      <c r="C54" t="inlineStr">
        <is>
          <t>NYSE</t>
        </is>
      </c>
      <c r="D54" t="n">
        <v>1577552</v>
      </c>
      <c r="E54" t="inlineStr">
        <is>
          <t>SEC</t>
        </is>
      </c>
    </row>
    <row r="55">
      <c r="A55" s="5">
        <f>HYPERLINK("https://finance.yahoo.com/quote/TMO","TMO")</f>
        <v/>
      </c>
      <c r="B55" t="inlineStr">
        <is>
          <t>THERMO FISHER SCIENTIFIC INC.</t>
        </is>
      </c>
      <c r="C55" t="inlineStr">
        <is>
          <t>NYSE</t>
        </is>
      </c>
      <c r="D55" t="n">
        <v>97745</v>
      </c>
      <c r="E55" t="inlineStr">
        <is>
          <t>SEC</t>
        </is>
      </c>
    </row>
    <row r="56">
      <c r="A56" s="5">
        <f>HYPERLINK("https://finance.yahoo.com/quote/WFC","WFC")</f>
        <v/>
      </c>
      <c r="B56" t="inlineStr">
        <is>
          <t>WELLS FARGO &amp; COMPANY/MN</t>
        </is>
      </c>
      <c r="C56" t="inlineStr">
        <is>
          <t>NYSE</t>
        </is>
      </c>
      <c r="D56" t="n">
        <v>72971</v>
      </c>
      <c r="E56" t="inlineStr">
        <is>
          <t>SEC</t>
        </is>
      </c>
    </row>
    <row r="57">
      <c r="A57" s="5">
        <f>HYPERLINK("https://finance.yahoo.com/quote/IBM","IBM")</f>
        <v/>
      </c>
      <c r="B57" t="inlineStr">
        <is>
          <t>INTERNATIONAL BUSINESS MACHINES CORP</t>
        </is>
      </c>
      <c r="C57" t="inlineStr">
        <is>
          <t>NYSE</t>
        </is>
      </c>
      <c r="D57" t="n">
        <v>51143</v>
      </c>
      <c r="E57" t="inlineStr">
        <is>
          <t>SEC</t>
        </is>
      </c>
    </row>
    <row r="58">
      <c r="A58" s="5">
        <f>HYPERLINK("https://finance.yahoo.com/quote/AMGN","AMGN")</f>
        <v/>
      </c>
      <c r="B58" t="inlineStr">
        <is>
          <t>AMGEN INC</t>
        </is>
      </c>
      <c r="C58" t="inlineStr">
        <is>
          <t>Nasdaq</t>
        </is>
      </c>
      <c r="D58" t="n">
        <v>318154</v>
      </c>
      <c r="E58" t="inlineStr">
        <is>
          <t>SEC</t>
        </is>
      </c>
    </row>
    <row r="59">
      <c r="A59" s="5">
        <f>HYPERLINK("https://finance.yahoo.com/quote/MUFG","MUFG")</f>
        <v/>
      </c>
      <c r="B59" t="inlineStr">
        <is>
          <t>MITSUBISHI UFJ FINANCIAL GROUP INC</t>
        </is>
      </c>
      <c r="C59" t="inlineStr">
        <is>
          <t>NYSE</t>
        </is>
      </c>
      <c r="D59" t="n">
        <v>67088</v>
      </c>
      <c r="E59" t="inlineStr">
        <is>
          <t>SEC</t>
        </is>
      </c>
    </row>
    <row r="60">
      <c r="A60" s="5">
        <f>HYPERLINK("https://finance.yahoo.com/quote/LIN","LIN")</f>
        <v/>
      </c>
      <c r="B60" t="inlineStr">
        <is>
          <t>LINDE PLC</t>
        </is>
      </c>
      <c r="C60" t="inlineStr">
        <is>
          <t>Nasdaq</t>
        </is>
      </c>
      <c r="D60" t="n">
        <v>1707925</v>
      </c>
      <c r="E60" t="inlineStr">
        <is>
          <t>SEC</t>
        </is>
      </c>
    </row>
    <row r="61">
      <c r="A61" s="5">
        <f>HYPERLINK("https://finance.yahoo.com/quote/TM","TM")</f>
        <v/>
      </c>
      <c r="B61" t="inlineStr">
        <is>
          <t>TOYOTA MOTOR CORP/</t>
        </is>
      </c>
      <c r="C61" t="inlineStr">
        <is>
          <t>NYSE</t>
        </is>
      </c>
      <c r="D61" t="n">
        <v>1094517</v>
      </c>
      <c r="E61" t="inlineStr">
        <is>
          <t>SEC</t>
        </is>
      </c>
    </row>
    <row r="62">
      <c r="A62" s="5">
        <f>HYPERLINK("https://finance.yahoo.com/quote/ARM","ARM")</f>
        <v/>
      </c>
      <c r="B62" t="inlineStr">
        <is>
          <t>ARM HOLDINGS PLC /UK</t>
        </is>
      </c>
      <c r="C62" t="inlineStr">
        <is>
          <t>Nasdaq</t>
        </is>
      </c>
      <c r="D62" t="n">
        <v>1973239</v>
      </c>
      <c r="E62" t="inlineStr">
        <is>
          <t>SEC</t>
        </is>
      </c>
    </row>
    <row r="63">
      <c r="A63" s="5">
        <f>HYPERLINK("https://finance.yahoo.com/quote/SHOP","SHOP")</f>
        <v/>
      </c>
      <c r="B63" t="inlineStr">
        <is>
          <t>SHOPIFY INC.</t>
        </is>
      </c>
      <c r="C63" t="inlineStr">
        <is>
          <t>Nasdaq</t>
        </is>
      </c>
      <c r="D63" t="n">
        <v>1594805</v>
      </c>
      <c r="E63" t="inlineStr">
        <is>
          <t>SEC</t>
        </is>
      </c>
    </row>
    <row r="64">
      <c r="A64" s="5">
        <f>HYPERLINK("https://finance.yahoo.com/quote/GEV","GEV")</f>
        <v/>
      </c>
      <c r="B64" t="inlineStr">
        <is>
          <t>GE Vernova Inc.</t>
        </is>
      </c>
      <c r="C64" t="inlineStr">
        <is>
          <t>NYSE</t>
        </is>
      </c>
      <c r="D64" t="n">
        <v>1996810</v>
      </c>
      <c r="E64" t="inlineStr">
        <is>
          <t>SEC</t>
        </is>
      </c>
    </row>
    <row r="65">
      <c r="A65" s="5">
        <f>HYPERLINK("https://finance.yahoo.com/quote/ANET","ANET")</f>
        <v/>
      </c>
      <c r="B65" t="inlineStr">
        <is>
          <t>Arista Networks, Inc.</t>
        </is>
      </c>
      <c r="C65" t="inlineStr">
        <is>
          <t>NYSE</t>
        </is>
      </c>
      <c r="D65" t="n">
        <v>1596532</v>
      </c>
      <c r="E65" t="inlineStr">
        <is>
          <t>SEC</t>
        </is>
      </c>
    </row>
    <row r="66">
      <c r="A66" s="5">
        <f>HYPERLINK("https://finance.yahoo.com/quote/AXP","AXP")</f>
        <v/>
      </c>
      <c r="B66" t="inlineStr">
        <is>
          <t>AMERICAN EXPRESS CO</t>
        </is>
      </c>
      <c r="C66" t="inlineStr">
        <is>
          <t>NYSE</t>
        </is>
      </c>
      <c r="D66" t="n">
        <v>4962</v>
      </c>
      <c r="E66" t="inlineStr">
        <is>
          <t>SEC</t>
        </is>
      </c>
    </row>
    <row r="67">
      <c r="A67" s="5">
        <f>HYPERLINK("https://finance.yahoo.com/quote/CYATY","CYATY")</f>
        <v/>
      </c>
      <c r="B67" t="inlineStr">
        <is>
          <t>Contemporary Amperex Technology Co., Limited/ADR</t>
        </is>
      </c>
      <c r="C67" t="inlineStr">
        <is>
          <t>OTC</t>
        </is>
      </c>
      <c r="D67" t="n">
        <v>2070829</v>
      </c>
      <c r="E67" t="inlineStr">
        <is>
          <t>SEC</t>
        </is>
      </c>
    </row>
    <row r="68">
      <c r="A68" s="5">
        <f>HYPERLINK("https://finance.yahoo.com/quote/MRVL","MRVL")</f>
        <v/>
      </c>
      <c r="B68" t="inlineStr">
        <is>
          <t>Marvell Technology, Inc.</t>
        </is>
      </c>
      <c r="C68" t="inlineStr">
        <is>
          <t>Nasdaq</t>
        </is>
      </c>
      <c r="D68" t="n">
        <v>1835632</v>
      </c>
      <c r="E68" t="inlineStr">
        <is>
          <t>SEC</t>
        </is>
      </c>
    </row>
    <row r="69">
      <c r="A69" s="5">
        <f>HYPERLINK("https://finance.yahoo.com/quote/TTE","TTE")</f>
        <v/>
      </c>
      <c r="B69" t="inlineStr">
        <is>
          <t>TotalEnergies SE</t>
        </is>
      </c>
      <c r="C69" t="inlineStr">
        <is>
          <t>NYSE</t>
        </is>
      </c>
      <c r="D69" t="n">
        <v>879764</v>
      </c>
      <c r="E69" t="inlineStr">
        <is>
          <t>SEC</t>
        </is>
      </c>
    </row>
    <row r="70">
      <c r="A70" s="5">
        <f>HYPERLINK("https://finance.yahoo.com/quote/CRM","CRM")</f>
        <v/>
      </c>
      <c r="B70" t="inlineStr">
        <is>
          <t>Salesforce, Inc.</t>
        </is>
      </c>
      <c r="C70" t="inlineStr">
        <is>
          <t>NYSE</t>
        </is>
      </c>
      <c r="D70" t="n">
        <v>1108524</v>
      </c>
      <c r="E70" t="inlineStr">
        <is>
          <t>SEC</t>
        </is>
      </c>
    </row>
    <row r="71">
      <c r="A71" s="5">
        <f>HYPERLINK("https://finance.yahoo.com/quote/TD","TD")</f>
        <v/>
      </c>
      <c r="B71" t="inlineStr">
        <is>
          <t>TORONTO DOMINION BANK</t>
        </is>
      </c>
      <c r="C71" t="inlineStr">
        <is>
          <t>NYSE</t>
        </is>
      </c>
      <c r="D71" t="n">
        <v>947263</v>
      </c>
      <c r="E71" t="inlineStr">
        <is>
          <t>SEC</t>
        </is>
      </c>
    </row>
    <row r="72">
      <c r="A72" s="5">
        <f>HYPERLINK("https://finance.yahoo.com/quote/C","C")</f>
        <v/>
      </c>
      <c r="B72" t="inlineStr">
        <is>
          <t>CITIGROUP INC</t>
        </is>
      </c>
      <c r="C72" t="inlineStr">
        <is>
          <t>NYSE</t>
        </is>
      </c>
      <c r="D72" t="n">
        <v>831001</v>
      </c>
      <c r="E72" t="inlineStr">
        <is>
          <t>SEC</t>
        </is>
      </c>
    </row>
    <row r="73">
      <c r="A73" s="5">
        <f>HYPERLINK("https://finance.yahoo.com/quote/BHP","BHP")</f>
        <v/>
      </c>
      <c r="B73" t="inlineStr">
        <is>
          <t>BHP Group Ltd</t>
        </is>
      </c>
      <c r="C73" t="inlineStr">
        <is>
          <t>NYSE</t>
        </is>
      </c>
      <c r="D73" t="n">
        <v>811809</v>
      </c>
      <c r="E73" t="inlineStr">
        <is>
          <t>SEC</t>
        </is>
      </c>
    </row>
    <row r="74">
      <c r="A74" s="5">
        <f>HYPERLINK("https://finance.yahoo.com/quote/GILD","GILD")</f>
        <v/>
      </c>
      <c r="B74" t="inlineStr">
        <is>
          <t>GILEAD SCIENCES, INC.</t>
        </is>
      </c>
      <c r="C74" t="inlineStr">
        <is>
          <t>Nasdaq</t>
        </is>
      </c>
      <c r="D74" t="n">
        <v>882095</v>
      </c>
      <c r="E74" t="inlineStr">
        <is>
          <t>SEC</t>
        </is>
      </c>
    </row>
    <row r="75">
      <c r="A75" s="5">
        <f>HYPERLINK("https://finance.yahoo.com/quote/DIS","DIS")</f>
        <v/>
      </c>
      <c r="B75" t="inlineStr">
        <is>
          <t>Walt Disney Co</t>
        </is>
      </c>
      <c r="C75" t="inlineStr">
        <is>
          <t>NYSE</t>
        </is>
      </c>
      <c r="D75" t="n">
        <v>1744489</v>
      </c>
      <c r="E75" t="inlineStr">
        <is>
          <t>SEC</t>
        </is>
      </c>
    </row>
    <row r="76">
      <c r="A76" s="5">
        <f>HYPERLINK("https://finance.yahoo.com/quote/KLAC","KLAC")</f>
        <v/>
      </c>
      <c r="B76" t="inlineStr">
        <is>
          <t>KLA CORP</t>
        </is>
      </c>
      <c r="C76" t="inlineStr">
        <is>
          <t>Nasdaq</t>
        </is>
      </c>
      <c r="D76" t="n">
        <v>319201</v>
      </c>
      <c r="E76" t="inlineStr">
        <is>
          <t>SEC</t>
        </is>
      </c>
    </row>
    <row r="77">
      <c r="A77" s="5">
        <f>HYPERLINK("https://finance.yahoo.com/quote/ADI","ADI")</f>
        <v/>
      </c>
      <c r="B77" t="inlineStr">
        <is>
          <t>ANALOG DEVICES INC</t>
        </is>
      </c>
      <c r="C77" t="inlineStr">
        <is>
          <t>Nasdaq</t>
        </is>
      </c>
      <c r="D77" t="n">
        <v>6281</v>
      </c>
      <c r="E77" t="inlineStr">
        <is>
          <t>SEC</t>
        </is>
      </c>
    </row>
    <row r="78">
      <c r="A78" s="5">
        <f>HYPERLINK("https://finance.yahoo.com/quote/QCOM","QCOM")</f>
        <v/>
      </c>
      <c r="B78" t="inlineStr">
        <is>
          <t>QUALCOMM INC/DE</t>
        </is>
      </c>
      <c r="C78" t="inlineStr">
        <is>
          <t>Nasdaq</t>
        </is>
      </c>
      <c r="D78" t="n">
        <v>804328</v>
      </c>
      <c r="E78" t="inlineStr">
        <is>
          <t>SEC</t>
        </is>
      </c>
    </row>
    <row r="79">
      <c r="A79" s="5">
        <f>HYPERLINK("https://finance.yahoo.com/quote/SAN","SAN")</f>
        <v/>
      </c>
      <c r="B79" t="inlineStr">
        <is>
          <t>Banco Santander, S.A.</t>
        </is>
      </c>
      <c r="C79" t="inlineStr">
        <is>
          <t>NYSE</t>
        </is>
      </c>
      <c r="D79" t="n">
        <v>891478</v>
      </c>
      <c r="E79" t="inlineStr">
        <is>
          <t>SEC</t>
        </is>
      </c>
    </row>
    <row r="80">
      <c r="A80" s="5">
        <f>HYPERLINK("https://finance.yahoo.com/quote/PEP","PEP")</f>
        <v/>
      </c>
      <c r="B80" t="inlineStr">
        <is>
          <t>PEPSICO INC</t>
        </is>
      </c>
      <c r="C80" t="inlineStr">
        <is>
          <t>Nasdaq</t>
        </is>
      </c>
      <c r="D80" t="n">
        <v>77476</v>
      </c>
      <c r="E80" t="inlineStr">
        <is>
          <t>SEC</t>
        </is>
      </c>
    </row>
    <row r="81">
      <c r="A81" s="5">
        <f>HYPERLINK("https://finance.yahoo.com/quote/VZ","VZ")</f>
        <v/>
      </c>
      <c r="B81" t="inlineStr">
        <is>
          <t>VERIZON COMMUNICATIONS INC</t>
        </is>
      </c>
      <c r="C81" t="inlineStr">
        <is>
          <t>NYSE</t>
        </is>
      </c>
      <c r="D81" t="n">
        <v>732712</v>
      </c>
      <c r="E81" t="inlineStr">
        <is>
          <t>SEC</t>
        </is>
      </c>
    </row>
    <row r="82">
      <c r="A82" s="5">
        <f>HYPERLINK("https://finance.yahoo.com/quote/APH","APH")</f>
        <v/>
      </c>
      <c r="B82" t="inlineStr">
        <is>
          <t>AMPHENOL CORP /DE/</t>
        </is>
      </c>
      <c r="C82" t="inlineStr">
        <is>
          <t>NYSE</t>
        </is>
      </c>
      <c r="D82" t="n">
        <v>820313</v>
      </c>
      <c r="E82" t="inlineStr">
        <is>
          <t>SEC</t>
        </is>
      </c>
    </row>
    <row r="83">
      <c r="A83" s="5">
        <f>HYPERLINK("https://finance.yahoo.com/quote/SNDK","SNDK")</f>
        <v/>
      </c>
      <c r="B83" t="inlineStr">
        <is>
          <t>Sandisk Corp</t>
        </is>
      </c>
      <c r="C83" t="inlineStr">
        <is>
          <t>Nasdaq</t>
        </is>
      </c>
      <c r="D83" t="n">
        <v>2023554</v>
      </c>
      <c r="E83" t="inlineStr">
        <is>
          <t>SEC</t>
        </is>
      </c>
    </row>
    <row r="84">
      <c r="A84" s="5">
        <f>HYPERLINK("https://finance.yahoo.com/quote/COP","COP")</f>
        <v/>
      </c>
      <c r="B84" t="inlineStr">
        <is>
          <t>CONOCOPHILLIPS</t>
        </is>
      </c>
      <c r="C84" t="inlineStr">
        <is>
          <t>NYSE</t>
        </is>
      </c>
      <c r="D84" t="n">
        <v>1163165</v>
      </c>
      <c r="E84" t="inlineStr">
        <is>
          <t>SEC</t>
        </is>
      </c>
    </row>
    <row r="85">
      <c r="A85" s="5">
        <f>HYPERLINK("https://finance.yahoo.com/quote/BLK","BLK")</f>
        <v/>
      </c>
      <c r="B85" t="inlineStr">
        <is>
          <t>BlackRock, Inc.</t>
        </is>
      </c>
      <c r="C85" t="inlineStr">
        <is>
          <t>NYSE</t>
        </is>
      </c>
      <c r="D85" t="n">
        <v>2012383</v>
      </c>
      <c r="E85" t="inlineStr">
        <is>
          <t>SEC</t>
        </is>
      </c>
    </row>
    <row r="86">
      <c r="A86" s="5">
        <f>HYPERLINK("https://finance.yahoo.com/quote/ABT","ABT")</f>
        <v/>
      </c>
      <c r="B86" t="inlineStr">
        <is>
          <t>ABBOTT LABORATORIES</t>
        </is>
      </c>
      <c r="C86" t="inlineStr">
        <is>
          <t>NYSE</t>
        </is>
      </c>
      <c r="D86" t="n">
        <v>1800</v>
      </c>
      <c r="E86" t="inlineStr">
        <is>
          <t>SEC</t>
        </is>
      </c>
    </row>
    <row r="87">
      <c r="A87" s="5">
        <f>HYPERLINK("https://finance.yahoo.com/quote/MCD","MCD")</f>
        <v/>
      </c>
      <c r="B87" t="inlineStr">
        <is>
          <t>MCDONALDS CORP</t>
        </is>
      </c>
      <c r="C87" t="inlineStr">
        <is>
          <t>NYSE</t>
        </is>
      </c>
      <c r="D87" t="n">
        <v>63908</v>
      </c>
      <c r="E87" t="inlineStr">
        <is>
          <t>SEC</t>
        </is>
      </c>
    </row>
    <row r="88">
      <c r="A88" s="5">
        <f>HYPERLINK("https://finance.yahoo.com/quote/UNP","UNP")</f>
        <v/>
      </c>
      <c r="B88" t="inlineStr">
        <is>
          <t>UNION PACIFIC CORP</t>
        </is>
      </c>
      <c r="C88" t="inlineStr">
        <is>
          <t>NYSE</t>
        </is>
      </c>
      <c r="D88" t="n">
        <v>100885</v>
      </c>
      <c r="E88" t="inlineStr">
        <is>
          <t>SEC</t>
        </is>
      </c>
    </row>
    <row r="89">
      <c r="A89" s="5">
        <f>HYPERLINK("https://finance.yahoo.com/quote/DE","DE")</f>
        <v/>
      </c>
      <c r="B89" t="inlineStr">
        <is>
          <t>DEERE &amp; CO</t>
        </is>
      </c>
      <c r="C89" t="inlineStr">
        <is>
          <t>NYSE</t>
        </is>
      </c>
      <c r="D89" t="n">
        <v>315189</v>
      </c>
      <c r="E89" t="inlineStr">
        <is>
          <t>SEC</t>
        </is>
      </c>
    </row>
    <row r="90">
      <c r="A90" s="5">
        <f>HYPERLINK("https://finance.yahoo.com/quote/NVO","NVO")</f>
        <v/>
      </c>
      <c r="B90" t="inlineStr">
        <is>
          <t>NOVO NORDISK A S</t>
        </is>
      </c>
      <c r="C90" t="inlineStr">
        <is>
          <t>NYSE</t>
        </is>
      </c>
      <c r="D90" t="n">
        <v>353278</v>
      </c>
      <c r="E90" t="inlineStr">
        <is>
          <t>SEC</t>
        </is>
      </c>
    </row>
    <row r="91">
      <c r="A91" s="5">
        <f>HYPERLINK("https://finance.yahoo.com/quote/NEE","NEE")</f>
        <v/>
      </c>
      <c r="B91" t="inlineStr">
        <is>
          <t>NEXTERA ENERGY INC</t>
        </is>
      </c>
      <c r="C91" t="inlineStr">
        <is>
          <t>NYSE</t>
        </is>
      </c>
      <c r="D91" t="n">
        <v>753308</v>
      </c>
      <c r="E91" t="inlineStr">
        <is>
          <t>SEC</t>
        </is>
      </c>
    </row>
    <row r="92">
      <c r="A92" s="5">
        <f>HYPERLINK("https://finance.yahoo.com/quote/PFE","PFE")</f>
        <v/>
      </c>
      <c r="B92" t="inlineStr">
        <is>
          <t>PFIZER INC</t>
        </is>
      </c>
      <c r="C92" t="inlineStr">
        <is>
          <t>NYSE</t>
        </is>
      </c>
      <c r="D92" t="n">
        <v>78003</v>
      </c>
      <c r="E92" t="inlineStr">
        <is>
          <t>SEC</t>
        </is>
      </c>
    </row>
    <row r="93">
      <c r="A93" s="5">
        <f>HYPERLINK("https://finance.yahoo.com/quote/WELL","WELL")</f>
        <v/>
      </c>
      <c r="B93" t="inlineStr">
        <is>
          <t>WELLTOWER INC.</t>
        </is>
      </c>
      <c r="C93" t="inlineStr">
        <is>
          <t>NYSE</t>
        </is>
      </c>
      <c r="D93" t="n">
        <v>766704</v>
      </c>
      <c r="E93" t="inlineStr">
        <is>
          <t>SEC</t>
        </is>
      </c>
    </row>
    <row r="94">
      <c r="A94" s="5">
        <f>HYPERLINK("https://finance.yahoo.com/quote/PBR","PBR")</f>
        <v/>
      </c>
      <c r="B94" t="inlineStr">
        <is>
          <t>PETROBRAS - PETROLEO BRASILEIRO SA</t>
        </is>
      </c>
      <c r="C94" t="inlineStr">
        <is>
          <t>NYSE</t>
        </is>
      </c>
      <c r="D94" t="n">
        <v>1119639</v>
      </c>
      <c r="E94" t="inlineStr">
        <is>
          <t>SEC</t>
        </is>
      </c>
    </row>
    <row r="95">
      <c r="A95" s="5">
        <f>HYPERLINK("https://finance.yahoo.com/quote/BUD","BUD")</f>
        <v/>
      </c>
      <c r="B95" t="inlineStr">
        <is>
          <t>Anheuser-Busch InBev SA/NV</t>
        </is>
      </c>
      <c r="C95" t="inlineStr">
        <is>
          <t>NYSE</t>
        </is>
      </c>
      <c r="D95" t="n">
        <v>1668717</v>
      </c>
      <c r="E95" t="inlineStr">
        <is>
          <t>SEC</t>
        </is>
      </c>
    </row>
    <row r="96">
      <c r="A96" s="5">
        <f>HYPERLINK("https://finance.yahoo.com/quote/RTNTF","RTNTF")</f>
        <v/>
      </c>
      <c r="B96" t="inlineStr">
        <is>
          <t>RIO TINTO LTD</t>
        </is>
      </c>
      <c r="C96" t="inlineStr">
        <is>
          <t>OTC</t>
        </is>
      </c>
      <c r="D96" t="n">
        <v>887028</v>
      </c>
      <c r="E96" t="inlineStr">
        <is>
          <t>SEC</t>
        </is>
      </c>
    </row>
    <row r="97">
      <c r="A97" s="5">
        <f>HYPERLINK("https://finance.yahoo.com/quote/NOW","NOW")</f>
        <v/>
      </c>
      <c r="B97" t="inlineStr">
        <is>
          <t>ServiceNow, Inc.</t>
        </is>
      </c>
      <c r="C97" t="inlineStr">
        <is>
          <t>NYSE</t>
        </is>
      </c>
      <c r="D97" t="n">
        <v>1373715</v>
      </c>
      <c r="E97" t="inlineStr">
        <is>
          <t>SEC</t>
        </is>
      </c>
    </row>
    <row r="98">
      <c r="A98" s="5">
        <f>HYPERLINK("https://finance.yahoo.com/quote/TJX","TJX")</f>
        <v/>
      </c>
      <c r="B98" t="inlineStr">
        <is>
          <t>TJX COMPANIES INC /DE/</t>
        </is>
      </c>
      <c r="C98" t="inlineStr">
        <is>
          <t>NYSE</t>
        </is>
      </c>
      <c r="D98" t="n">
        <v>109198</v>
      </c>
      <c r="E98" t="inlineStr">
        <is>
          <t>SEC</t>
        </is>
      </c>
    </row>
    <row r="99">
      <c r="A99" s="5">
        <f>HYPERLINK("https://finance.yahoo.com/quote/ISRG","ISRG")</f>
        <v/>
      </c>
      <c r="B99" t="inlineStr">
        <is>
          <t>INTUITIVE SURGICAL INC</t>
        </is>
      </c>
      <c r="C99" t="inlineStr">
        <is>
          <t>Nasdaq</t>
        </is>
      </c>
      <c r="D99" t="n">
        <v>1035267</v>
      </c>
      <c r="E99" t="inlineStr">
        <is>
          <t>SEC</t>
        </is>
      </c>
    </row>
    <row r="100">
      <c r="A100" s="5">
        <f>HYPERLINK("https://finance.yahoo.com/quote/DHR","DHR")</f>
        <v/>
      </c>
      <c r="B100" t="inlineStr">
        <is>
          <t>DANAHER CORP /DE/</t>
        </is>
      </c>
      <c r="C100" t="inlineStr">
        <is>
          <t>NYSE</t>
        </is>
      </c>
      <c r="D100" t="n">
        <v>313616</v>
      </c>
      <c r="E100" t="inlineStr">
        <is>
          <t>SEC</t>
        </is>
      </c>
    </row>
    <row r="101">
      <c r="A101" s="5">
        <f>HYPERLINK("https://finance.yahoo.com/quote/TMUS","TMUS")</f>
        <v/>
      </c>
      <c r="B101" t="inlineStr">
        <is>
          <t>T-Mobile US, Inc.</t>
        </is>
      </c>
      <c r="C101" t="inlineStr">
        <is>
          <t>Nasdaq</t>
        </is>
      </c>
      <c r="D101" t="n">
        <v>1283699</v>
      </c>
      <c r="E101" t="inlineStr">
        <is>
          <t>SEC</t>
        </is>
      </c>
    </row>
    <row r="102">
      <c r="A102" s="5">
        <f>HYPERLINK("https://finance.yahoo.com/quote/HTHIY","HTHIY")</f>
        <v/>
      </c>
      <c r="B102" t="inlineStr">
        <is>
          <t>HITACHI LTD</t>
        </is>
      </c>
      <c r="C102" t="inlineStr">
        <is>
          <t>OTC</t>
        </is>
      </c>
      <c r="D102" t="n">
        <v>47710</v>
      </c>
      <c r="E102" t="inlineStr">
        <is>
          <t>SEC</t>
        </is>
      </c>
    </row>
    <row r="103">
      <c r="A103" s="5">
        <f>HYPERLINK("https://finance.yahoo.com/quote/SCHW","SCHW")</f>
        <v/>
      </c>
      <c r="B103" t="inlineStr">
        <is>
          <t>SCHWAB CHARLES CORP</t>
        </is>
      </c>
      <c r="C103" t="inlineStr">
        <is>
          <t>NYSE</t>
        </is>
      </c>
      <c r="D103" t="n">
        <v>316709</v>
      </c>
      <c r="E103" t="inlineStr">
        <is>
          <t>SEC</t>
        </is>
      </c>
    </row>
    <row r="104">
      <c r="A104" s="5">
        <f>HYPERLINK("https://finance.yahoo.com/quote/SCCO","SCCO")</f>
        <v/>
      </c>
      <c r="B104" t="inlineStr">
        <is>
          <t>SOUTHERN COPPER CORP/</t>
        </is>
      </c>
      <c r="C104" t="inlineStr">
        <is>
          <t>NYSE</t>
        </is>
      </c>
      <c r="D104" t="n">
        <v>1001838</v>
      </c>
      <c r="E104" t="inlineStr">
        <is>
          <t>SEC</t>
        </is>
      </c>
    </row>
    <row r="105">
      <c r="A105" s="5">
        <f>HYPERLINK("https://finance.yahoo.com/quote/SONY","SONY")</f>
        <v/>
      </c>
      <c r="B105" t="inlineStr">
        <is>
          <t>Sony Group Corp</t>
        </is>
      </c>
      <c r="C105" t="inlineStr">
        <is>
          <t>NYSE</t>
        </is>
      </c>
      <c r="D105" t="n">
        <v>313838</v>
      </c>
      <c r="E105" t="inlineStr">
        <is>
          <t>SEC</t>
        </is>
      </c>
    </row>
    <row r="106">
      <c r="A106" s="5">
        <f>HYPERLINK("https://finance.yahoo.com/quote/ACN","ACN")</f>
        <v/>
      </c>
      <c r="B106" t="inlineStr">
        <is>
          <t>Accenture plc</t>
        </is>
      </c>
      <c r="C106" t="inlineStr">
        <is>
          <t>NYSE</t>
        </is>
      </c>
      <c r="D106" t="n">
        <v>1467373</v>
      </c>
      <c r="E106" t="inlineStr">
        <is>
          <t>SEC</t>
        </is>
      </c>
    </row>
    <row r="107">
      <c r="A107" s="5">
        <f>HYPERLINK("https://finance.yahoo.com/quote/SMFG","SMFG")</f>
        <v/>
      </c>
      <c r="B107" t="inlineStr">
        <is>
          <t>SUMITOMO MITSUI FINANCIAL GROUP, INC.</t>
        </is>
      </c>
      <c r="C107" t="inlineStr">
        <is>
          <t>NYSE</t>
        </is>
      </c>
      <c r="D107" t="n">
        <v>1022837</v>
      </c>
      <c r="E107" t="inlineStr">
        <is>
          <t>SEC</t>
        </is>
      </c>
    </row>
    <row r="108">
      <c r="A108" s="5">
        <f>HYPERLINK("https://finance.yahoo.com/quote/BA","BA")</f>
        <v/>
      </c>
      <c r="B108" t="inlineStr">
        <is>
          <t>BOEING CO</t>
        </is>
      </c>
      <c r="C108" t="inlineStr">
        <is>
          <t>NYSE</t>
        </is>
      </c>
      <c r="D108" t="n">
        <v>12927</v>
      </c>
      <c r="E108" t="inlineStr">
        <is>
          <t>SEC</t>
        </is>
      </c>
    </row>
    <row r="109">
      <c r="A109" s="5">
        <f>HYPERLINK("https://finance.yahoo.com/quote/ATEYY","ATEYY")</f>
        <v/>
      </c>
      <c r="B109" t="inlineStr">
        <is>
          <t>ADVANTEST CORP</t>
        </is>
      </c>
      <c r="C109" t="inlineStr">
        <is>
          <t>OTC</t>
        </is>
      </c>
      <c r="D109" t="n">
        <v>1158838</v>
      </c>
      <c r="E109" t="inlineStr">
        <is>
          <t>SEC</t>
        </is>
      </c>
    </row>
    <row r="110">
      <c r="A110" s="5">
        <f>HYPERLINK("https://finance.yahoo.com/quote/STX","STX")</f>
        <v/>
      </c>
      <c r="B110" t="inlineStr">
        <is>
          <t>Seagate Technology Holdings plc</t>
        </is>
      </c>
      <c r="C110" t="inlineStr">
        <is>
          <t>Nasdaq</t>
        </is>
      </c>
      <c r="D110" t="n">
        <v>1137789</v>
      </c>
      <c r="E110" t="inlineStr">
        <is>
          <t>SEC</t>
        </is>
      </c>
    </row>
    <row r="111">
      <c r="A111" s="5">
        <f>HYPERLINK("https://finance.yahoo.com/quote/ETN","ETN")</f>
        <v/>
      </c>
      <c r="B111" t="inlineStr">
        <is>
          <t>Eaton Corp plc</t>
        </is>
      </c>
      <c r="C111" t="inlineStr">
        <is>
          <t>NYSE</t>
        </is>
      </c>
      <c r="D111" t="n">
        <v>1551182</v>
      </c>
      <c r="E111" t="inlineStr">
        <is>
          <t>SEC</t>
        </is>
      </c>
    </row>
    <row r="112">
      <c r="A112" s="5">
        <f>HYPERLINK("https://finance.yahoo.com/quote/UL","UL")</f>
        <v/>
      </c>
      <c r="B112" t="inlineStr">
        <is>
          <t>UNILEVER PLC</t>
        </is>
      </c>
      <c r="C112" t="inlineStr">
        <is>
          <t>NYSE</t>
        </is>
      </c>
      <c r="D112" t="n">
        <v>217410</v>
      </c>
      <c r="E112" t="inlineStr">
        <is>
          <t>SEC</t>
        </is>
      </c>
    </row>
    <row r="113">
      <c r="A113" s="5">
        <f>HYPERLINK("https://finance.yahoo.com/quote/T","T")</f>
        <v/>
      </c>
      <c r="B113" t="inlineStr">
        <is>
          <t>AT&amp;T INC.</t>
        </is>
      </c>
      <c r="C113" t="inlineStr">
        <is>
          <t>NYSE</t>
        </is>
      </c>
      <c r="D113" t="n">
        <v>732717</v>
      </c>
      <c r="E113" t="inlineStr">
        <is>
          <t>SEC</t>
        </is>
      </c>
    </row>
    <row r="114">
      <c r="A114" s="5">
        <f>HYPERLINK("https://finance.yahoo.com/quote/UBS","UBS")</f>
        <v/>
      </c>
      <c r="B114" t="inlineStr">
        <is>
          <t>UBS Group AG</t>
        </is>
      </c>
      <c r="C114" t="inlineStr">
        <is>
          <t>NYSE</t>
        </is>
      </c>
      <c r="D114" t="n">
        <v>1610520</v>
      </c>
      <c r="E114" t="inlineStr">
        <is>
          <t>SEC</t>
        </is>
      </c>
    </row>
    <row r="115">
      <c r="A115" s="5">
        <f>HYPERLINK("https://finance.yahoo.com/quote/LMT","LMT")</f>
        <v/>
      </c>
      <c r="B115" t="inlineStr">
        <is>
          <t>LOCKHEED MARTIN CORP</t>
        </is>
      </c>
      <c r="C115" t="inlineStr">
        <is>
          <t>NYSE</t>
        </is>
      </c>
      <c r="D115" t="n">
        <v>936468</v>
      </c>
      <c r="E115" t="inlineStr">
        <is>
          <t>SEC</t>
        </is>
      </c>
    </row>
    <row r="116">
      <c r="A116" s="5">
        <f>HYPERLINK("https://finance.yahoo.com/quote/BX","BX")</f>
        <v/>
      </c>
      <c r="B116" t="inlineStr">
        <is>
          <t>Blackstone Inc.</t>
        </is>
      </c>
      <c r="C116" t="inlineStr">
        <is>
          <t>NYSE</t>
        </is>
      </c>
      <c r="D116" t="n">
        <v>1393818</v>
      </c>
      <c r="E116" t="inlineStr">
        <is>
          <t>SEC</t>
        </is>
      </c>
    </row>
    <row r="117">
      <c r="A117" s="5">
        <f>HYPERLINK("https://finance.yahoo.com/quote/IBKR","IBKR")</f>
        <v/>
      </c>
      <c r="B117" t="inlineStr">
        <is>
          <t>Interactive Brokers Group, Inc.</t>
        </is>
      </c>
      <c r="C117" t="inlineStr">
        <is>
          <t>Nasdaq</t>
        </is>
      </c>
      <c r="D117" t="n">
        <v>1381197</v>
      </c>
      <c r="E117" t="inlineStr">
        <is>
          <t>SEC</t>
        </is>
      </c>
    </row>
    <row r="118">
      <c r="A118" s="5">
        <f>HYPERLINK("https://finance.yahoo.com/quote/CB","CB")</f>
        <v/>
      </c>
      <c r="B118" t="inlineStr">
        <is>
          <t>Chubb Ltd</t>
        </is>
      </c>
      <c r="C118" t="inlineStr">
        <is>
          <t>NYSE</t>
        </is>
      </c>
      <c r="D118" t="n">
        <v>896159</v>
      </c>
      <c r="E118" t="inlineStr">
        <is>
          <t>SEC</t>
        </is>
      </c>
    </row>
    <row r="119">
      <c r="A119" s="5">
        <f>HYPERLINK("https://finance.yahoo.com/quote/BBVA","BBVA")</f>
        <v/>
      </c>
      <c r="B119" t="inlineStr">
        <is>
          <t>BANCO BILBAO VIZCAYA ARGENTARIA, S.A.</t>
        </is>
      </c>
      <c r="C119" t="inlineStr">
        <is>
          <t>NYSE</t>
        </is>
      </c>
      <c r="D119" t="n">
        <v>842180</v>
      </c>
      <c r="E119" t="inlineStr">
        <is>
          <t>SEC</t>
        </is>
      </c>
    </row>
    <row r="120">
      <c r="A120" s="5">
        <f>HYPERLINK("https://finance.yahoo.com/quote/DTEGY","DTEGY")</f>
        <v/>
      </c>
      <c r="B120" t="inlineStr">
        <is>
          <t>DEUTSCHE TELEKOM AG</t>
        </is>
      </c>
      <c r="C120" t="inlineStr">
        <is>
          <t>OTC</t>
        </is>
      </c>
      <c r="D120" t="n">
        <v>946770</v>
      </c>
      <c r="E120" t="inlineStr">
        <is>
          <t>SEC</t>
        </is>
      </c>
    </row>
    <row r="121">
      <c r="A121" s="5">
        <f>HYPERLINK("https://finance.yahoo.com/quote/UBER","UBER")</f>
        <v/>
      </c>
      <c r="B121" t="inlineStr">
        <is>
          <t>Uber Technologies, Inc</t>
        </is>
      </c>
      <c r="C121" t="inlineStr">
        <is>
          <t>NYSE</t>
        </is>
      </c>
      <c r="D121" t="n">
        <v>1543151</v>
      </c>
      <c r="E121" t="inlineStr">
        <is>
          <t>SEC</t>
        </is>
      </c>
    </row>
    <row r="122">
      <c r="A122" s="5">
        <f>HYPERLINK("https://finance.yahoo.com/quote/RIO","RIO")</f>
        <v/>
      </c>
      <c r="B122" t="inlineStr">
        <is>
          <t>RIO TINTO PLC</t>
        </is>
      </c>
      <c r="C122" t="inlineStr">
        <is>
          <t>NYSE</t>
        </is>
      </c>
      <c r="D122" t="n">
        <v>863064</v>
      </c>
      <c r="E122" t="inlineStr">
        <is>
          <t>SEC</t>
        </is>
      </c>
    </row>
    <row r="123">
      <c r="A123" s="5">
        <f>HYPERLINK("https://finance.yahoo.com/quote/VRTX","VRTX")</f>
        <v/>
      </c>
      <c r="B123" t="inlineStr">
        <is>
          <t>VERTEX PHARMACEUTICALS INC / MA</t>
        </is>
      </c>
      <c r="C123" t="inlineStr">
        <is>
          <t>Nasdaq</t>
        </is>
      </c>
      <c r="D123" t="n">
        <v>875320</v>
      </c>
      <c r="E123" t="inlineStr">
        <is>
          <t>SEC</t>
        </is>
      </c>
    </row>
    <row r="124">
      <c r="A124" s="5">
        <f>HYPERLINK("https://finance.yahoo.com/quote/SPGI","SPGI")</f>
        <v/>
      </c>
      <c r="B124" t="inlineStr">
        <is>
          <t>S&amp;P Global Inc.</t>
        </is>
      </c>
      <c r="C124" t="inlineStr">
        <is>
          <t>NYSE</t>
        </is>
      </c>
      <c r="D124" t="n">
        <v>64040</v>
      </c>
      <c r="E124" t="inlineStr">
        <is>
          <t>SEC</t>
        </is>
      </c>
    </row>
    <row r="125">
      <c r="A125" s="5">
        <f>HYPERLINK("https://finance.yahoo.com/quote/PGR","PGR")</f>
        <v/>
      </c>
      <c r="B125" t="inlineStr">
        <is>
          <t>PROGRESSIVE CORP/OH/</t>
        </is>
      </c>
      <c r="C125" t="inlineStr">
        <is>
          <t>NYSE</t>
        </is>
      </c>
      <c r="D125" t="n">
        <v>80661</v>
      </c>
      <c r="E125" t="inlineStr">
        <is>
          <t>SEC</t>
        </is>
      </c>
    </row>
    <row r="126">
      <c r="A126" s="5">
        <f>HYPERLINK("https://finance.yahoo.com/quote/BP","BP")</f>
        <v/>
      </c>
      <c r="B126" t="inlineStr">
        <is>
          <t>BP PLC</t>
        </is>
      </c>
      <c r="C126" t="inlineStr">
        <is>
          <t>NYSE</t>
        </is>
      </c>
      <c r="D126" t="n">
        <v>313807</v>
      </c>
      <c r="E126" t="inlineStr">
        <is>
          <t>SEC</t>
        </is>
      </c>
    </row>
    <row r="127">
      <c r="A127" s="5">
        <f>HYPERLINK("https://finance.yahoo.com/quote/FTNT","FTNT")</f>
        <v/>
      </c>
      <c r="B127" t="inlineStr">
        <is>
          <t>Fortinet, Inc.</t>
        </is>
      </c>
      <c r="C127" t="inlineStr">
        <is>
          <t>Nasdaq</t>
        </is>
      </c>
      <c r="D127" t="n">
        <v>1262039</v>
      </c>
      <c r="E127" t="inlineStr">
        <is>
          <t>SEC</t>
        </is>
      </c>
    </row>
    <row r="128">
      <c r="A128" s="5">
        <f>HYPERLINK("https://finance.yahoo.com/quote/MPC","MPC")</f>
        <v/>
      </c>
      <c r="B128" t="inlineStr">
        <is>
          <t>Marathon Petroleum Corp</t>
        </is>
      </c>
      <c r="C128" t="inlineStr">
        <is>
          <t>NYSE</t>
        </is>
      </c>
      <c r="D128" t="n">
        <v>1510295</v>
      </c>
      <c r="E128" t="inlineStr">
        <is>
          <t>SEC</t>
        </is>
      </c>
    </row>
    <row r="129">
      <c r="A129" s="5">
        <f>HYPERLINK("https://finance.yahoo.com/quote/BTI","BTI")</f>
        <v/>
      </c>
      <c r="B129" t="inlineStr">
        <is>
          <t>British American Tobacco p.l.c.</t>
        </is>
      </c>
      <c r="C129" t="inlineStr">
        <is>
          <t>NYSE</t>
        </is>
      </c>
      <c r="D129" t="n">
        <v>1303523</v>
      </c>
      <c r="E129" t="inlineStr">
        <is>
          <t>SEC</t>
        </is>
      </c>
    </row>
    <row r="130">
      <c r="A130" s="5">
        <f>HYPERLINK("https://finance.yahoo.com/quote/WDC","WDC")</f>
        <v/>
      </c>
      <c r="B130" t="inlineStr">
        <is>
          <t>WESTERN DIGITAL CORP</t>
        </is>
      </c>
      <c r="C130" t="inlineStr">
        <is>
          <t>Nasdaq</t>
        </is>
      </c>
      <c r="D130" t="n">
        <v>106040</v>
      </c>
      <c r="E130" t="inlineStr">
        <is>
          <t>SEC</t>
        </is>
      </c>
    </row>
    <row r="131">
      <c r="A131" s="5">
        <f>HYPERLINK("https://finance.yahoo.com/quote/BMY","BMY")</f>
        <v/>
      </c>
      <c r="B131" t="inlineStr">
        <is>
          <t>BRISTOL MYERS SQUIBB CO</t>
        </is>
      </c>
      <c r="C131" t="inlineStr">
        <is>
          <t>NYSE</t>
        </is>
      </c>
      <c r="D131" t="n">
        <v>14272</v>
      </c>
      <c r="E131" t="inlineStr">
        <is>
          <t>SEC</t>
        </is>
      </c>
    </row>
    <row r="132">
      <c r="A132" s="5">
        <f>HYPERLINK("https://finance.yahoo.com/quote/MO","MO")</f>
        <v/>
      </c>
      <c r="B132" t="inlineStr">
        <is>
          <t>ALTRIA GROUP, INC.</t>
        </is>
      </c>
      <c r="C132" t="inlineStr">
        <is>
          <t>NYSE</t>
        </is>
      </c>
      <c r="D132" t="n">
        <v>764180</v>
      </c>
      <c r="E132" t="inlineStr">
        <is>
          <t>SEC</t>
        </is>
      </c>
    </row>
    <row r="133">
      <c r="A133" s="5">
        <f>HYPERLINK("https://finance.yahoo.com/quote/COF","COF")</f>
        <v/>
      </c>
      <c r="B133" t="inlineStr">
        <is>
          <t>CAPITAL ONE FINANCIAL CORP</t>
        </is>
      </c>
      <c r="C133" t="inlineStr">
        <is>
          <t>NYSE</t>
        </is>
      </c>
      <c r="D133" t="n">
        <v>927628</v>
      </c>
      <c r="E133" t="inlineStr">
        <is>
          <t>SEC</t>
        </is>
      </c>
    </row>
    <row r="134">
      <c r="A134" s="5">
        <f>HYPERLINK("https://finance.yahoo.com/quote/MDT","MDT")</f>
        <v/>
      </c>
      <c r="B134" t="inlineStr">
        <is>
          <t>Medtronic plc</t>
        </is>
      </c>
      <c r="C134" t="inlineStr">
        <is>
          <t>NYSE</t>
        </is>
      </c>
      <c r="D134" t="n">
        <v>1613103</v>
      </c>
      <c r="E134" t="inlineStr">
        <is>
          <t>SEC</t>
        </is>
      </c>
    </row>
    <row r="135">
      <c r="A135" s="5">
        <f>HYPERLINK("https://finance.yahoo.com/quote/PLD","PLD")</f>
        <v/>
      </c>
      <c r="B135" t="inlineStr">
        <is>
          <t>Prologis, Inc.</t>
        </is>
      </c>
      <c r="C135" t="inlineStr">
        <is>
          <t>NYSE</t>
        </is>
      </c>
      <c r="D135" t="n">
        <v>1045609</v>
      </c>
      <c r="E135" t="inlineStr">
        <is>
          <t>SEC</t>
        </is>
      </c>
    </row>
    <row r="136">
      <c r="A136" s="5">
        <f>HYPERLINK("https://finance.yahoo.com/quote/ADP","ADP")</f>
        <v/>
      </c>
      <c r="B136" t="inlineStr">
        <is>
          <t>AUTOMATIC DATA PROCESSING INC</t>
        </is>
      </c>
      <c r="C136" t="inlineStr">
        <is>
          <t>Nasdaq</t>
        </is>
      </c>
      <c r="D136" t="n">
        <v>8670</v>
      </c>
      <c r="E136" t="inlineStr">
        <is>
          <t>SEC</t>
        </is>
      </c>
    </row>
    <row r="137">
      <c r="A137" s="5">
        <f>HYPERLINK("https://finance.yahoo.com/quote/VLO","VLO")</f>
        <v/>
      </c>
      <c r="B137" t="inlineStr">
        <is>
          <t>VALERO ENERGY CORP/TX</t>
        </is>
      </c>
      <c r="C137" t="inlineStr">
        <is>
          <t>NYSE</t>
        </is>
      </c>
      <c r="D137" t="n">
        <v>1035002</v>
      </c>
      <c r="E137" t="inlineStr">
        <is>
          <t>SEC</t>
        </is>
      </c>
    </row>
    <row r="138">
      <c r="A138" s="5">
        <f>HYPERLINK("https://finance.yahoo.com/quote/SPOT","SPOT")</f>
        <v/>
      </c>
      <c r="B138" t="inlineStr">
        <is>
          <t>Spotify Technology S.A.</t>
        </is>
      </c>
      <c r="C138" t="inlineStr">
        <is>
          <t>NYSE</t>
        </is>
      </c>
      <c r="D138" t="n">
        <v>1639920</v>
      </c>
      <c r="E138" t="inlineStr">
        <is>
          <t>SEC</t>
        </is>
      </c>
    </row>
    <row r="139">
      <c r="A139" s="5">
        <f>HYPERLINK("https://finance.yahoo.com/quote/CVS","CVS")</f>
        <v/>
      </c>
      <c r="B139" t="inlineStr">
        <is>
          <t>CVS HEALTH Corp</t>
        </is>
      </c>
      <c r="C139" t="inlineStr">
        <is>
          <t>NYSE</t>
        </is>
      </c>
      <c r="D139" t="n">
        <v>64803</v>
      </c>
      <c r="E139" t="inlineStr">
        <is>
          <t>SEC</t>
        </is>
      </c>
    </row>
    <row r="140">
      <c r="A140" s="5">
        <f>HYPERLINK("https://finance.yahoo.com/quote/SYK","SYK")</f>
        <v/>
      </c>
      <c r="B140" t="inlineStr">
        <is>
          <t>STRYKER CORP</t>
        </is>
      </c>
      <c r="C140" t="inlineStr">
        <is>
          <t>NYSE</t>
        </is>
      </c>
      <c r="D140" t="n">
        <v>310764</v>
      </c>
      <c r="E140" t="inlineStr">
        <is>
          <t>SEC</t>
        </is>
      </c>
    </row>
    <row r="141">
      <c r="A141" s="5">
        <f>HYPERLINK("https://finance.yahoo.com/quote/BKNG","BKNG")</f>
        <v/>
      </c>
      <c r="B141" t="inlineStr">
        <is>
          <t>Booking Holdings Inc.</t>
        </is>
      </c>
      <c r="C141" t="inlineStr">
        <is>
          <t>Nasdaq</t>
        </is>
      </c>
      <c r="D141" t="n">
        <v>1075531</v>
      </c>
      <c r="E141" t="inlineStr">
        <is>
          <t>SEC</t>
        </is>
      </c>
    </row>
    <row r="142">
      <c r="A142" s="5">
        <f>HYPERLINK("https://finance.yahoo.com/quote/BMO","BMO")</f>
        <v/>
      </c>
      <c r="B142" t="inlineStr">
        <is>
          <t>BANK OF MONTREAL /CAN/</t>
        </is>
      </c>
      <c r="C142" t="inlineStr">
        <is>
          <t>NYSE</t>
        </is>
      </c>
      <c r="D142" t="n">
        <v>927971</v>
      </c>
      <c r="E142" t="inlineStr">
        <is>
          <t>SEC</t>
        </is>
      </c>
    </row>
    <row r="143">
      <c r="A143" s="5">
        <f>HYPERLINK("https://finance.yahoo.com/quote/MCK","MCK")</f>
        <v/>
      </c>
      <c r="B143" t="inlineStr">
        <is>
          <t>MCKESSON CORP</t>
        </is>
      </c>
      <c r="C143" t="inlineStr">
        <is>
          <t>NYSE</t>
        </is>
      </c>
      <c r="D143" t="n">
        <v>927653</v>
      </c>
      <c r="E143" t="inlineStr">
        <is>
          <t>SEC</t>
        </is>
      </c>
    </row>
    <row r="144">
      <c r="A144" s="5">
        <f>HYPERLINK("https://finance.yahoo.com/quote/NET","NET")</f>
        <v/>
      </c>
      <c r="B144" t="inlineStr">
        <is>
          <t>Cloudflare, Inc.</t>
        </is>
      </c>
      <c r="C144" t="inlineStr">
        <is>
          <t>NYSE</t>
        </is>
      </c>
      <c r="D144" t="n">
        <v>1477333</v>
      </c>
      <c r="E144" t="inlineStr">
        <is>
          <t>SEC</t>
        </is>
      </c>
    </row>
    <row r="145">
      <c r="A145" s="5">
        <f>HYPERLINK("https://finance.yahoo.com/quote/EQNR","EQNR")</f>
        <v/>
      </c>
      <c r="B145" t="inlineStr">
        <is>
          <t>EQUINOR ASA</t>
        </is>
      </c>
      <c r="C145" t="inlineStr">
        <is>
          <t>NYSE</t>
        </is>
      </c>
      <c r="D145" t="n">
        <v>1140625</v>
      </c>
      <c r="E145" t="inlineStr">
        <is>
          <t>SEC</t>
        </is>
      </c>
    </row>
    <row r="146">
      <c r="A146" s="5">
        <f>HYPERLINK("https://finance.yahoo.com/quote/MFG","MFG")</f>
        <v/>
      </c>
      <c r="B146" t="inlineStr">
        <is>
          <t>MIZUHO FINANCIAL GROUP INC</t>
        </is>
      </c>
      <c r="C146" t="inlineStr">
        <is>
          <t>NYSE</t>
        </is>
      </c>
      <c r="D146" t="n">
        <v>1335730</v>
      </c>
      <c r="E146" t="inlineStr">
        <is>
          <t>SEC</t>
        </is>
      </c>
    </row>
    <row r="147">
      <c r="A147" s="5">
        <f>HYPERLINK("https://finance.yahoo.com/quote/SBUX","SBUX")</f>
        <v/>
      </c>
      <c r="B147" t="inlineStr">
        <is>
          <t>STARBUCKS CORP</t>
        </is>
      </c>
      <c r="C147" t="inlineStr">
        <is>
          <t>Nasdaq</t>
        </is>
      </c>
      <c r="D147" t="n">
        <v>829224</v>
      </c>
      <c r="E147" t="inlineStr">
        <is>
          <t>SEC</t>
        </is>
      </c>
    </row>
    <row r="148">
      <c r="A148" s="5">
        <f>HYPERLINK("https://finance.yahoo.com/quote/NEM","NEM")</f>
        <v/>
      </c>
      <c r="B148" t="inlineStr">
        <is>
          <t>NEWMONT Corp /DE/</t>
        </is>
      </c>
      <c r="C148" t="inlineStr">
        <is>
          <t>NYSE</t>
        </is>
      </c>
      <c r="D148" t="n">
        <v>1164727</v>
      </c>
      <c r="E148" t="inlineStr">
        <is>
          <t>SEC</t>
        </is>
      </c>
    </row>
    <row r="149">
      <c r="A149" s="5">
        <f>HYPERLINK("https://finance.yahoo.com/quote/SNOW","SNOW")</f>
        <v/>
      </c>
      <c r="B149" t="inlineStr">
        <is>
          <t>Snowflake Inc.</t>
        </is>
      </c>
      <c r="C149" t="inlineStr">
        <is>
          <t>NYSE</t>
        </is>
      </c>
      <c r="D149" t="n">
        <v>1640147</v>
      </c>
      <c r="E149" t="inlineStr">
        <is>
          <t>SEC</t>
        </is>
      </c>
    </row>
    <row r="150">
      <c r="A150" s="5">
        <f>HYPERLINK("https://finance.yahoo.com/quote/CNQ","CNQ")</f>
        <v/>
      </c>
      <c r="B150" t="inlineStr">
        <is>
          <t>CANADIAN NATURAL RESOURCES Ltd</t>
        </is>
      </c>
      <c r="C150" t="inlineStr">
        <is>
          <t>NYSE</t>
        </is>
      </c>
      <c r="D150" t="n">
        <v>1017413</v>
      </c>
      <c r="E150" t="inlineStr">
        <is>
          <t>SEC</t>
        </is>
      </c>
    </row>
    <row r="151">
      <c r="A151" s="5">
        <f>HYPERLINK("https://finance.yahoo.com/quote/BNS","BNS")</f>
        <v/>
      </c>
      <c r="B151" t="inlineStr">
        <is>
          <t>BANK OF NOVA SCOTIA</t>
        </is>
      </c>
      <c r="C151" t="inlineStr">
        <is>
          <t>NYSE</t>
        </is>
      </c>
      <c r="D151" t="n">
        <v>9631</v>
      </c>
      <c r="E151" t="inlineStr">
        <is>
          <t>SEC</t>
        </is>
      </c>
    </row>
    <row r="152">
      <c r="A152" s="5">
        <f>HYPERLINK("https://finance.yahoo.com/quote/PSX","PSX")</f>
        <v/>
      </c>
      <c r="B152" t="inlineStr">
        <is>
          <t>Phillips 66</t>
        </is>
      </c>
      <c r="C152" t="inlineStr">
        <is>
          <t>NYSE</t>
        </is>
      </c>
      <c r="D152" t="n">
        <v>1534701</v>
      </c>
      <c r="E152" t="inlineStr">
        <is>
          <t>SEC</t>
        </is>
      </c>
    </row>
    <row r="153">
      <c r="A153" s="5">
        <f>HYPERLINK("https://finance.yahoo.com/quote/HDB","HDB")</f>
        <v/>
      </c>
      <c r="B153" t="inlineStr">
        <is>
          <t>HDFC BANK LTD</t>
        </is>
      </c>
      <c r="C153" t="inlineStr">
        <is>
          <t>NYSE</t>
        </is>
      </c>
      <c r="D153" t="n">
        <v>1144967</v>
      </c>
      <c r="E153" t="inlineStr">
        <is>
          <t>SEC</t>
        </is>
      </c>
    </row>
    <row r="154">
      <c r="A154" s="5">
        <f>HYPERLINK("https://finance.yahoo.com/quote/PDD","PDD")</f>
        <v/>
      </c>
      <c r="B154" t="inlineStr">
        <is>
          <t>PDD Holdings Inc.</t>
        </is>
      </c>
      <c r="C154" t="inlineStr">
        <is>
          <t>Nasdaq</t>
        </is>
      </c>
      <c r="D154" t="n">
        <v>1737806</v>
      </c>
      <c r="E154" t="inlineStr">
        <is>
          <t>SEC</t>
        </is>
      </c>
    </row>
    <row r="155">
      <c r="A155" s="5">
        <f>HYPERLINK("https://finance.yahoo.com/quote/SMERY","SMERY")</f>
        <v/>
      </c>
      <c r="B155" t="inlineStr">
        <is>
          <t>Siemens Energy AG/ADR</t>
        </is>
      </c>
      <c r="C155" t="inlineStr">
        <is>
          <t>OTC</t>
        </is>
      </c>
      <c r="D155" t="n">
        <v>1830056</v>
      </c>
      <c r="E155" t="inlineStr">
        <is>
          <t>SEC</t>
        </is>
      </c>
    </row>
    <row r="156">
      <c r="A156" s="5">
        <f>HYPERLINK("https://finance.yahoo.com/quote/LOW","LOW")</f>
        <v/>
      </c>
      <c r="B156" t="inlineStr">
        <is>
          <t>LOWES COMPANIES INC</t>
        </is>
      </c>
      <c r="C156" t="inlineStr">
        <is>
          <t>NYSE</t>
        </is>
      </c>
      <c r="D156" t="n">
        <v>60667</v>
      </c>
      <c r="E156" t="inlineStr">
        <is>
          <t>SEC</t>
        </is>
      </c>
    </row>
    <row r="157">
      <c r="A157" s="5">
        <f>HYPERLINK("https://finance.yahoo.com/quote/PH","PH")</f>
        <v/>
      </c>
      <c r="B157" t="inlineStr">
        <is>
          <t>Parker-Hannifin Corp</t>
        </is>
      </c>
      <c r="C157" t="inlineStr">
        <is>
          <t>NYSE</t>
        </is>
      </c>
      <c r="D157" t="n">
        <v>76334</v>
      </c>
      <c r="E157" t="inlineStr">
        <is>
          <t>SEC</t>
        </is>
      </c>
    </row>
    <row r="158">
      <c r="A158" s="5">
        <f>HYPERLINK("https://finance.yahoo.com/quote/CME","CME")</f>
        <v/>
      </c>
      <c r="B158" t="inlineStr">
        <is>
          <t>CME GROUP INC.</t>
        </is>
      </c>
      <c r="C158" t="inlineStr">
        <is>
          <t>Nasdaq</t>
        </is>
      </c>
      <c r="D158" t="n">
        <v>1156375</v>
      </c>
      <c r="E158" t="inlineStr">
        <is>
          <t>SEC</t>
        </is>
      </c>
    </row>
    <row r="159">
      <c r="A159" s="5">
        <f>HYPERLINK("https://finance.yahoo.com/quote/ENB","ENB")</f>
        <v/>
      </c>
      <c r="B159" t="inlineStr">
        <is>
          <t>ENBRIDGE INC</t>
        </is>
      </c>
      <c r="C159" t="inlineStr">
        <is>
          <t>NYSE</t>
        </is>
      </c>
      <c r="D159" t="n">
        <v>895728</v>
      </c>
      <c r="E159" t="inlineStr">
        <is>
          <t>SEC</t>
        </is>
      </c>
    </row>
    <row r="160">
      <c r="A160" s="5">
        <f>HYPERLINK("https://finance.yahoo.com/quote/GLW","GLW")</f>
        <v/>
      </c>
      <c r="B160" t="inlineStr">
        <is>
          <t>CORNING INC /NY</t>
        </is>
      </c>
      <c r="C160" t="inlineStr">
        <is>
          <t>NYSE</t>
        </is>
      </c>
      <c r="D160" t="n">
        <v>24741</v>
      </c>
      <c r="E160" t="inlineStr">
        <is>
          <t>SEC</t>
        </is>
      </c>
    </row>
    <row r="161">
      <c r="A161" s="5">
        <f>HYPERLINK("https://finance.yahoo.com/quote/SO","SO")</f>
        <v/>
      </c>
      <c r="B161" t="inlineStr">
        <is>
          <t>SOUTHERN CO</t>
        </is>
      </c>
      <c r="C161" t="inlineStr">
        <is>
          <t>NYSE</t>
        </is>
      </c>
      <c r="D161" t="n">
        <v>92122</v>
      </c>
      <c r="E161" t="inlineStr">
        <is>
          <t>SEC</t>
        </is>
      </c>
    </row>
    <row r="162">
      <c r="A162" s="5">
        <f>HYPERLINK("https://finance.yahoo.com/quote/ITUB","ITUB")</f>
        <v/>
      </c>
      <c r="B162" t="inlineStr">
        <is>
          <t>Itau Unibanco Holding S.A.</t>
        </is>
      </c>
      <c r="C162" t="inlineStr">
        <is>
          <t>NYSE</t>
        </is>
      </c>
      <c r="D162" t="n">
        <v>1132597</v>
      </c>
      <c r="E162" t="inlineStr">
        <is>
          <t>SEC</t>
        </is>
      </c>
    </row>
    <row r="163">
      <c r="A163" s="5">
        <f>HYPERLINK("https://finance.yahoo.com/quote/IBN","IBN")</f>
        <v/>
      </c>
      <c r="B163" t="inlineStr">
        <is>
          <t>ICICI BANK LTD</t>
        </is>
      </c>
      <c r="C163" t="inlineStr">
        <is>
          <t>NYSE</t>
        </is>
      </c>
      <c r="D163" t="n">
        <v>1103838</v>
      </c>
      <c r="E163" t="inlineStr">
        <is>
          <t>SEC</t>
        </is>
      </c>
    </row>
    <row r="164">
      <c r="A164" s="5">
        <f>HYPERLINK("https://finance.yahoo.com/quote/CM","CM")</f>
        <v/>
      </c>
      <c r="B164" t="inlineStr">
        <is>
          <t>CANADIAN IMPERIAL BANK OF COMMERCE /CAN/</t>
        </is>
      </c>
      <c r="C164" t="inlineStr">
        <is>
          <t>NYSE</t>
        </is>
      </c>
      <c r="D164" t="n">
        <v>1045520</v>
      </c>
      <c r="E164" t="inlineStr">
        <is>
          <t>SEC</t>
        </is>
      </c>
    </row>
    <row r="165">
      <c r="A165" s="5">
        <f>HYPERLINK("https://finance.yahoo.com/quote/ABNB","ABNB")</f>
        <v/>
      </c>
      <c r="B165" t="inlineStr">
        <is>
          <t>Airbnb, Inc.</t>
        </is>
      </c>
      <c r="C165" t="inlineStr">
        <is>
          <t>Nasdaq</t>
        </is>
      </c>
      <c r="D165" t="n">
        <v>1559720</v>
      </c>
      <c r="E165" t="inlineStr">
        <is>
          <t>SEC</t>
        </is>
      </c>
    </row>
    <row r="166">
      <c r="A166" s="5">
        <f>HYPERLINK("https://finance.yahoo.com/quote/ADBE","ADBE")</f>
        <v/>
      </c>
      <c r="B166" t="inlineStr">
        <is>
          <t>ADOBE INC.</t>
        </is>
      </c>
      <c r="C166" t="inlineStr">
        <is>
          <t>Nasdaq</t>
        </is>
      </c>
      <c r="D166" t="n">
        <v>796343</v>
      </c>
      <c r="E166" t="inlineStr">
        <is>
          <t>SEC</t>
        </is>
      </c>
    </row>
    <row r="167">
      <c r="A167" s="5">
        <f>HYPERLINK("https://finance.yahoo.com/quote/HCA","HCA")</f>
        <v/>
      </c>
      <c r="B167" t="inlineStr">
        <is>
          <t>HCA Healthcare, Inc.</t>
        </is>
      </c>
      <c r="C167" t="inlineStr">
        <is>
          <t>NYSE</t>
        </is>
      </c>
      <c r="D167" t="n">
        <v>860730</v>
      </c>
      <c r="E167" t="inlineStr">
        <is>
          <t>SEC</t>
        </is>
      </c>
    </row>
    <row r="168">
      <c r="A168" s="5">
        <f>HYPERLINK("https://finance.yahoo.com/quote/MAR","MAR")</f>
        <v/>
      </c>
      <c r="B168" t="inlineStr">
        <is>
          <t>MARRIOTT INTERNATIONAL INC /MD/</t>
        </is>
      </c>
      <c r="C168" t="inlineStr">
        <is>
          <t>Nasdaq</t>
        </is>
      </c>
      <c r="D168" t="n">
        <v>1048286</v>
      </c>
      <c r="E168" t="inlineStr">
        <is>
          <t>SEC</t>
        </is>
      </c>
    </row>
    <row r="169">
      <c r="A169" s="5">
        <f>HYPERLINK("https://finance.yahoo.com/quote/GSK","GSK")</f>
        <v/>
      </c>
      <c r="B169" t="inlineStr">
        <is>
          <t>GSK plc</t>
        </is>
      </c>
      <c r="C169" t="inlineStr">
        <is>
          <t>NYSE</t>
        </is>
      </c>
      <c r="D169" t="n">
        <v>1131399</v>
      </c>
      <c r="E169" t="inlineStr">
        <is>
          <t>SEC</t>
        </is>
      </c>
    </row>
    <row r="170">
      <c r="A170" s="5">
        <f>HYPERLINK("https://finance.yahoo.com/quote/SNY","SNY")</f>
        <v/>
      </c>
      <c r="B170" t="inlineStr">
        <is>
          <t>Sanofi</t>
        </is>
      </c>
      <c r="C170" t="inlineStr">
        <is>
          <t>Nasdaq</t>
        </is>
      </c>
      <c r="D170" t="n">
        <v>1121404</v>
      </c>
      <c r="E170" t="inlineStr">
        <is>
          <t>SEC</t>
        </is>
      </c>
    </row>
    <row r="171">
      <c r="A171" s="5">
        <f>HYPERLINK("https://finance.yahoo.com/quote/TT","TT")</f>
        <v/>
      </c>
      <c r="B171" t="inlineStr">
        <is>
          <t>Trane Technologies plc</t>
        </is>
      </c>
      <c r="C171" t="inlineStr">
        <is>
          <t>NYSE</t>
        </is>
      </c>
      <c r="D171" t="n">
        <v>1466258</v>
      </c>
      <c r="E171" t="inlineStr">
        <is>
          <t>SEC</t>
        </is>
      </c>
    </row>
    <row r="172">
      <c r="A172" s="5">
        <f>HYPERLINK("https://finance.yahoo.com/quote/BNY","BNY")</f>
        <v/>
      </c>
      <c r="B172" t="inlineStr">
        <is>
          <t>Bank of New York Mellon Corp</t>
        </is>
      </c>
      <c r="C172" t="inlineStr">
        <is>
          <t>NYSE</t>
        </is>
      </c>
      <c r="D172" t="n">
        <v>1390777</v>
      </c>
      <c r="E172" t="inlineStr">
        <is>
          <t>SEC</t>
        </is>
      </c>
    </row>
    <row r="173">
      <c r="A173" s="5">
        <f>HYPERLINK("https://finance.yahoo.com/quote/DDOG","DDOG")</f>
        <v/>
      </c>
      <c r="B173" t="inlineStr">
        <is>
          <t>Datadog, Inc.</t>
        </is>
      </c>
      <c r="C173" t="inlineStr">
        <is>
          <t>Nasdaq</t>
        </is>
      </c>
      <c r="D173" t="n">
        <v>1561550</v>
      </c>
      <c r="E173" t="inlineStr">
        <is>
          <t>SEC</t>
        </is>
      </c>
    </row>
    <row r="174">
      <c r="A174" s="5">
        <f>HYPERLINK("https://finance.yahoo.com/quote/DUK","DUK")</f>
        <v/>
      </c>
      <c r="B174" t="inlineStr">
        <is>
          <t>Duke Energy CORP</t>
        </is>
      </c>
      <c r="C174" t="inlineStr">
        <is>
          <t>NYSE</t>
        </is>
      </c>
      <c r="D174" t="n">
        <v>1326160</v>
      </c>
      <c r="E174" t="inlineStr">
        <is>
          <t>SEC</t>
        </is>
      </c>
    </row>
    <row r="175">
      <c r="A175" s="5">
        <f>HYPERLINK("https://finance.yahoo.com/quote/ELV","ELV")</f>
        <v/>
      </c>
      <c r="B175" t="inlineStr">
        <is>
          <t>Elevance Health, Inc.</t>
        </is>
      </c>
      <c r="C175" t="inlineStr">
        <is>
          <t>NYSE</t>
        </is>
      </c>
      <c r="D175" t="n">
        <v>1156039</v>
      </c>
      <c r="E175" t="inlineStr">
        <is>
          <t>SEC</t>
        </is>
      </c>
    </row>
    <row r="176">
      <c r="A176" s="5">
        <f>HYPERLINK("https://finance.yahoo.com/quote/WM","WM")</f>
        <v/>
      </c>
      <c r="B176" t="inlineStr">
        <is>
          <t>WASTE MANAGEMENT INC</t>
        </is>
      </c>
      <c r="C176" t="inlineStr">
        <is>
          <t>NYSE</t>
        </is>
      </c>
      <c r="D176" t="n">
        <v>823768</v>
      </c>
      <c r="E176" t="inlineStr">
        <is>
          <t>SEC</t>
        </is>
      </c>
    </row>
    <row r="177">
      <c r="A177" s="5">
        <f>HYPERLINK("https://finance.yahoo.com/quote/CSX","CSX")</f>
        <v/>
      </c>
      <c r="B177" t="inlineStr">
        <is>
          <t>CSX CORP</t>
        </is>
      </c>
      <c r="C177" t="inlineStr">
        <is>
          <t>Nasdaq</t>
        </is>
      </c>
      <c r="D177" t="n">
        <v>277948</v>
      </c>
      <c r="E177" t="inlineStr">
        <is>
          <t>SEC</t>
        </is>
      </c>
    </row>
    <row r="178">
      <c r="A178" s="5">
        <f>HYPERLINK("https://finance.yahoo.com/quote/GD","GD")</f>
        <v/>
      </c>
      <c r="B178" t="inlineStr">
        <is>
          <t>GENERAL DYNAMICS CORP</t>
        </is>
      </c>
      <c r="C178" t="inlineStr">
        <is>
          <t>NYSE</t>
        </is>
      </c>
      <c r="D178" t="n">
        <v>40533</v>
      </c>
      <c r="E178" t="inlineStr">
        <is>
          <t>SEC</t>
        </is>
      </c>
    </row>
    <row r="179">
      <c r="A179" s="5">
        <f>HYPERLINK("https://finance.yahoo.com/quote/FCX","FCX")</f>
        <v/>
      </c>
      <c r="B179" t="inlineStr">
        <is>
          <t>FREEPORT-MCMORAN INC</t>
        </is>
      </c>
      <c r="C179" t="inlineStr">
        <is>
          <t>NYSE</t>
        </is>
      </c>
      <c r="D179" t="n">
        <v>831259</v>
      </c>
      <c r="E179" t="inlineStr">
        <is>
          <t>SEC</t>
        </is>
      </c>
    </row>
    <row r="180">
      <c r="A180" s="5">
        <f>HYPERLINK("https://finance.yahoo.com/quote/MRSH","MRSH")</f>
        <v/>
      </c>
      <c r="B180" t="inlineStr">
        <is>
          <t>MARSH &amp; MCLENNAN COMPANIES, INC.</t>
        </is>
      </c>
      <c r="C180" t="inlineStr">
        <is>
          <t>NYSE</t>
        </is>
      </c>
      <c r="D180" t="n">
        <v>62709</v>
      </c>
      <c r="E180" t="inlineStr">
        <is>
          <t>SEC</t>
        </is>
      </c>
    </row>
    <row r="181">
      <c r="A181" s="5">
        <f>HYPERLINK("https://finance.yahoo.com/quote/SU","SU")</f>
        <v/>
      </c>
      <c r="B181" t="inlineStr">
        <is>
          <t>SUNCOR ENERGY INC</t>
        </is>
      </c>
      <c r="C181" t="inlineStr">
        <is>
          <t>NYSE</t>
        </is>
      </c>
      <c r="D181" t="n">
        <v>311337</v>
      </c>
      <c r="E181" t="inlineStr">
        <is>
          <t>SEC</t>
        </is>
      </c>
    </row>
    <row r="182">
      <c r="A182" s="5">
        <f>HYPERLINK("https://finance.yahoo.com/quote/EQIX","EQIX")</f>
        <v/>
      </c>
      <c r="B182" t="inlineStr">
        <is>
          <t>EQUINIX INC</t>
        </is>
      </c>
      <c r="C182" t="inlineStr">
        <is>
          <t>Nasdaq</t>
        </is>
      </c>
      <c r="D182" t="n">
        <v>1101239</v>
      </c>
      <c r="E182" t="inlineStr">
        <is>
          <t>SEC</t>
        </is>
      </c>
    </row>
    <row r="183">
      <c r="A183" s="5">
        <f>HYPERLINK("https://finance.yahoo.com/quote/USB","USB")</f>
        <v/>
      </c>
      <c r="B183" t="inlineStr">
        <is>
          <t>US BANCORP DE</t>
        </is>
      </c>
      <c r="C183" t="inlineStr">
        <is>
          <t>NYSE</t>
        </is>
      </c>
      <c r="D183" t="n">
        <v>36104</v>
      </c>
      <c r="E183" t="inlineStr">
        <is>
          <t>SEC</t>
        </is>
      </c>
    </row>
    <row r="184">
      <c r="A184" s="5">
        <f>HYPERLINK("https://finance.yahoo.com/quote/INTU","INTU")</f>
        <v/>
      </c>
      <c r="B184" t="inlineStr">
        <is>
          <t>INTUIT INC.</t>
        </is>
      </c>
      <c r="C184" t="inlineStr">
        <is>
          <t>Nasdaq</t>
        </is>
      </c>
      <c r="D184" t="n">
        <v>896878</v>
      </c>
      <c r="E184" t="inlineStr">
        <is>
          <t>SEC</t>
        </is>
      </c>
    </row>
    <row r="185">
      <c r="A185" s="5">
        <f>HYPERLINK("https://finance.yahoo.com/quote/MELI","MELI")</f>
        <v/>
      </c>
      <c r="B185" t="inlineStr">
        <is>
          <t>MERCADOLIBRE INC</t>
        </is>
      </c>
      <c r="C185" t="inlineStr">
        <is>
          <t>Nasdaq</t>
        </is>
      </c>
      <c r="D185" t="n">
        <v>1099590</v>
      </c>
      <c r="E185" t="inlineStr">
        <is>
          <t>SEC</t>
        </is>
      </c>
    </row>
    <row r="186">
      <c r="A186" s="5">
        <f>HYPERLINK("https://finance.yahoo.com/quote/ICE","ICE")</f>
        <v/>
      </c>
      <c r="B186" t="inlineStr">
        <is>
          <t>Intercontinental Exchange, Inc.</t>
        </is>
      </c>
      <c r="C186" t="inlineStr">
        <is>
          <t>NYSE</t>
        </is>
      </c>
      <c r="D186" t="n">
        <v>1571949</v>
      </c>
      <c r="E186" t="inlineStr">
        <is>
          <t>SEC</t>
        </is>
      </c>
    </row>
    <row r="187">
      <c r="A187" s="5">
        <f>HYPERLINK("https://finance.yahoo.com/quote/MGCLY","MGCLY")</f>
        <v/>
      </c>
      <c r="B187" t="inlineStr">
        <is>
          <t>Midea Group Co., Ltd./ADR</t>
        </is>
      </c>
      <c r="C187" t="inlineStr">
        <is>
          <t>OTC</t>
        </is>
      </c>
      <c r="D187" t="n">
        <v>2039784</v>
      </c>
      <c r="E187" t="inlineStr">
        <is>
          <t>SEC</t>
        </is>
      </c>
    </row>
    <row r="188">
      <c r="A188" s="5">
        <f>HYPERLINK("https://finance.yahoo.com/quote/EMR","EMR")</f>
        <v/>
      </c>
      <c r="B188" t="inlineStr">
        <is>
          <t>EMERSON ELECTRIC CO</t>
        </is>
      </c>
      <c r="C188" t="inlineStr">
        <is>
          <t>NYSE</t>
        </is>
      </c>
      <c r="D188" t="n">
        <v>32604</v>
      </c>
      <c r="E188" t="inlineStr">
        <is>
          <t>SEC</t>
        </is>
      </c>
    </row>
    <row r="189">
      <c r="A189" s="5">
        <f>HYPERLINK("https://finance.yahoo.com/quote/MNST","MNST")</f>
        <v/>
      </c>
      <c r="B189" t="inlineStr">
        <is>
          <t>Monster Beverage Corp</t>
        </is>
      </c>
      <c r="C189" t="inlineStr">
        <is>
          <t>Nasdaq</t>
        </is>
      </c>
      <c r="D189" t="n">
        <v>865752</v>
      </c>
      <c r="E189" t="inlineStr">
        <is>
          <t>SEC</t>
        </is>
      </c>
    </row>
    <row r="190">
      <c r="A190" s="5">
        <f>HYPERLINK("https://finance.yahoo.com/quote/ING","ING")</f>
        <v/>
      </c>
      <c r="B190" t="inlineStr">
        <is>
          <t>ING GROEP NV</t>
        </is>
      </c>
      <c r="C190" t="inlineStr">
        <is>
          <t>NYSE</t>
        </is>
      </c>
      <c r="D190" t="n">
        <v>1039765</v>
      </c>
      <c r="E190" t="inlineStr">
        <is>
          <t>SEC</t>
        </is>
      </c>
    </row>
    <row r="191">
      <c r="A191" s="5">
        <f>HYPERLINK("https://finance.yahoo.com/quote/MMM","MMM")</f>
        <v/>
      </c>
      <c r="B191" t="inlineStr">
        <is>
          <t>3M CO</t>
        </is>
      </c>
      <c r="C191" t="inlineStr">
        <is>
          <t>NYSE</t>
        </is>
      </c>
      <c r="D191" t="n">
        <v>66740</v>
      </c>
      <c r="E191" t="inlineStr">
        <is>
          <t>SEC</t>
        </is>
      </c>
    </row>
    <row r="192">
      <c r="A192" s="5">
        <f>HYPERLINK("https://finance.yahoo.com/quote/CEG","CEG")</f>
        <v/>
      </c>
      <c r="B192" t="inlineStr">
        <is>
          <t>Constellation Energy Corp</t>
        </is>
      </c>
      <c r="C192" t="inlineStr">
        <is>
          <t>Nasdaq</t>
        </is>
      </c>
      <c r="D192" t="n">
        <v>1868275</v>
      </c>
      <c r="E192" t="inlineStr">
        <is>
          <t>SEC</t>
        </is>
      </c>
    </row>
    <row r="193">
      <c r="A193" s="5">
        <f>HYPERLINK("https://finance.yahoo.com/quote/PNC","PNC")</f>
        <v/>
      </c>
      <c r="B193" t="inlineStr">
        <is>
          <t>PNC FINANCIAL SERVICES GROUP, INC.</t>
        </is>
      </c>
      <c r="C193" t="inlineStr">
        <is>
          <t>NYSE</t>
        </is>
      </c>
      <c r="D193" t="n">
        <v>713676</v>
      </c>
      <c r="E193" t="inlineStr">
        <is>
          <t>SEC</t>
        </is>
      </c>
    </row>
    <row r="194">
      <c r="A194" s="5">
        <f>HYPERLINK("https://finance.yahoo.com/quote/CTAS","CTAS")</f>
        <v/>
      </c>
      <c r="B194" t="inlineStr">
        <is>
          <t>CINTAS CORP</t>
        </is>
      </c>
      <c r="C194" t="inlineStr">
        <is>
          <t>Nasdaq</t>
        </is>
      </c>
      <c r="D194" t="n">
        <v>723254</v>
      </c>
      <c r="E194" t="inlineStr">
        <is>
          <t>SEC</t>
        </is>
      </c>
    </row>
    <row r="195">
      <c r="A195" s="5">
        <f>HYPERLINK("https://finance.yahoo.com/quote/E","E")</f>
        <v/>
      </c>
      <c r="B195" t="inlineStr">
        <is>
          <t>ENI SPA</t>
        </is>
      </c>
      <c r="C195" t="inlineStr">
        <is>
          <t>NYSE</t>
        </is>
      </c>
      <c r="D195" t="n">
        <v>1002242</v>
      </c>
      <c r="E195" t="inlineStr">
        <is>
          <t>SEC</t>
        </is>
      </c>
    </row>
    <row r="196">
      <c r="A196" s="5">
        <f>HYPERLINK("https://finance.yahoo.com/quote/AEM","AEM")</f>
        <v/>
      </c>
      <c r="B196" t="inlineStr">
        <is>
          <t>AGNICO EAGLE MINES LTD</t>
        </is>
      </c>
      <c r="C196" t="inlineStr">
        <is>
          <t>NYSE</t>
        </is>
      </c>
      <c r="D196" t="n">
        <v>2809</v>
      </c>
      <c r="E196" t="inlineStr">
        <is>
          <t>SEC</t>
        </is>
      </c>
    </row>
    <row r="197">
      <c r="A197" s="5">
        <f>HYPERLINK("https://finance.yahoo.com/quote/APP","APP")</f>
        <v/>
      </c>
      <c r="B197" t="inlineStr">
        <is>
          <t>AppLovin Corp</t>
        </is>
      </c>
      <c r="C197" t="inlineStr">
        <is>
          <t>Nasdaq</t>
        </is>
      </c>
      <c r="D197" t="n">
        <v>1751008</v>
      </c>
      <c r="E197" t="inlineStr">
        <is>
          <t>SEC</t>
        </is>
      </c>
    </row>
    <row r="198">
      <c r="A198" s="5">
        <f>HYPERLINK("https://finance.yahoo.com/quote/WMB","WMB")</f>
        <v/>
      </c>
      <c r="B198" t="inlineStr">
        <is>
          <t>WILLIAMS COMPANIES, INC.</t>
        </is>
      </c>
      <c r="C198" t="inlineStr">
        <is>
          <t>NYSE</t>
        </is>
      </c>
      <c r="D198" t="n">
        <v>107263</v>
      </c>
      <c r="E198" t="inlineStr">
        <is>
          <t>SEC</t>
        </is>
      </c>
    </row>
    <row r="199">
      <c r="A199" s="5">
        <f>HYPERLINK("https://finance.yahoo.com/quote/AMT","AMT")</f>
        <v/>
      </c>
      <c r="B199" t="inlineStr">
        <is>
          <t>AMERICAN TOWER CORP /MA/</t>
        </is>
      </c>
      <c r="C199" t="inlineStr">
        <is>
          <t>NYSE</t>
        </is>
      </c>
      <c r="D199" t="n">
        <v>1053507</v>
      </c>
      <c r="E199" t="inlineStr">
        <is>
          <t>SEC</t>
        </is>
      </c>
    </row>
    <row r="200">
      <c r="A200" s="5">
        <f>HYPERLINK("https://finance.yahoo.com/quote/JCI","JCI")</f>
        <v/>
      </c>
      <c r="B200" t="inlineStr">
        <is>
          <t>Johnson Controls International plc</t>
        </is>
      </c>
      <c r="C200" t="inlineStr">
        <is>
          <t>NYSE</t>
        </is>
      </c>
      <c r="D200" t="n">
        <v>833444</v>
      </c>
      <c r="E200" t="inlineStr">
        <is>
          <t>SEC</t>
        </is>
      </c>
    </row>
    <row r="201">
      <c r="A201" s="5">
        <f>HYPERLINK("https://finance.yahoo.com/quote/CDNS","CDNS")</f>
        <v/>
      </c>
      <c r="B201" t="inlineStr">
        <is>
          <t>CADENCE DESIGN SYSTEMS INC</t>
        </is>
      </c>
      <c r="C201" t="inlineStr">
        <is>
          <t>Nasdaq</t>
        </is>
      </c>
      <c r="D201" t="n">
        <v>813672</v>
      </c>
      <c r="E201" t="inlineStr">
        <is>
          <t>SEC</t>
        </is>
      </c>
    </row>
    <row r="202">
      <c r="A202" s="5">
        <f>HYPERLINK("https://finance.yahoo.com/quote/SNHIY","SNHIY")</f>
        <v/>
      </c>
      <c r="B202" t="inlineStr">
        <is>
          <t>Sany Heavy Industries Co., Ltd./ADR</t>
        </is>
      </c>
      <c r="C202" t="inlineStr">
        <is>
          <t>OTC</t>
        </is>
      </c>
      <c r="D202" t="n">
        <v>2098326</v>
      </c>
      <c r="E202" t="inlineStr">
        <is>
          <t>SEC</t>
        </is>
      </c>
    </row>
    <row r="203">
      <c r="A203" s="5">
        <f>HYPERLINK("https://finance.yahoo.com/quote/UPS","UPS")</f>
        <v/>
      </c>
      <c r="B203" t="inlineStr">
        <is>
          <t>UNITED PARCEL SERVICE INC</t>
        </is>
      </c>
      <c r="C203" t="inlineStr">
        <is>
          <t>NYSE</t>
        </is>
      </c>
      <c r="D203" t="n">
        <v>1090727</v>
      </c>
      <c r="E203" t="inlineStr">
        <is>
          <t>SEC</t>
        </is>
      </c>
    </row>
    <row r="204">
      <c r="A204" s="5">
        <f>HYPERLINK("https://finance.yahoo.com/quote/EOG","EOG")</f>
        <v/>
      </c>
      <c r="B204" t="inlineStr">
        <is>
          <t>EOG RESOURCES INC</t>
        </is>
      </c>
      <c r="C204" t="inlineStr">
        <is>
          <t>NYSE</t>
        </is>
      </c>
      <c r="D204" t="n">
        <v>821189</v>
      </c>
      <c r="E204" t="inlineStr">
        <is>
          <t>SEC</t>
        </is>
      </c>
    </row>
    <row r="205">
      <c r="A205" s="5">
        <f>HYPERLINK("https://finance.yahoo.com/quote/HOOD","HOOD")</f>
        <v/>
      </c>
      <c r="B205" t="inlineStr">
        <is>
          <t>Robinhood Markets, Inc.</t>
        </is>
      </c>
      <c r="C205" t="inlineStr">
        <is>
          <t>Nasdaq</t>
        </is>
      </c>
      <c r="D205" t="n">
        <v>1783879</v>
      </c>
      <c r="E205" t="inlineStr">
        <is>
          <t>SEC</t>
        </is>
      </c>
    </row>
    <row r="206">
      <c r="A206" s="5">
        <f>HYPERLINK("https://finance.yahoo.com/quote/ASX","ASX")</f>
        <v/>
      </c>
      <c r="B206" t="inlineStr">
        <is>
          <t>ASE Technology Holding Co., Ltd.</t>
        </is>
      </c>
      <c r="C206" t="inlineStr">
        <is>
          <t>NYSE</t>
        </is>
      </c>
      <c r="D206" t="n">
        <v>1122411</v>
      </c>
      <c r="E206" t="inlineStr">
        <is>
          <t>SEC</t>
        </is>
      </c>
    </row>
    <row r="207">
      <c r="A207" s="5">
        <f>HYPERLINK("https://finance.yahoo.com/quote/BN","BN")</f>
        <v/>
      </c>
      <c r="B207" t="inlineStr">
        <is>
          <t>BROOKFIELD Corp /ON/</t>
        </is>
      </c>
      <c r="C207" t="inlineStr">
        <is>
          <t>NYSE</t>
        </is>
      </c>
      <c r="D207" t="n">
        <v>1001085</v>
      </c>
      <c r="E207" t="inlineStr">
        <is>
          <t>SEC</t>
        </is>
      </c>
    </row>
    <row r="208">
      <c r="A208" s="5">
        <f>HYPERLINK("https://finance.yahoo.com/quote/KKR","KKR")</f>
        <v/>
      </c>
      <c r="B208" t="inlineStr">
        <is>
          <t>KKR &amp; Co. Inc.</t>
        </is>
      </c>
      <c r="C208" t="inlineStr">
        <is>
          <t>NYSE</t>
        </is>
      </c>
      <c r="D208" t="n">
        <v>1404912</v>
      </c>
      <c r="E208" t="inlineStr">
        <is>
          <t>SEC</t>
        </is>
      </c>
    </row>
    <row r="209">
      <c r="A209" s="5">
        <f>HYPERLINK("https://finance.yahoo.com/quote/TRV","TRV")</f>
        <v/>
      </c>
      <c r="B209" t="inlineStr">
        <is>
          <t>TRAVELERS COMPANIES, INC.</t>
        </is>
      </c>
      <c r="C209" t="inlineStr">
        <is>
          <t>NYSE</t>
        </is>
      </c>
      <c r="D209" t="n">
        <v>86312</v>
      </c>
      <c r="E209" t="inlineStr">
        <is>
          <t>SEC</t>
        </is>
      </c>
    </row>
    <row r="210">
      <c r="A210" s="5">
        <f>HYPERLINK("https://finance.yahoo.com/quote/MCO","MCO")</f>
        <v/>
      </c>
      <c r="B210" t="inlineStr">
        <is>
          <t>MOODYS CORP /DE/</t>
        </is>
      </c>
      <c r="C210" t="inlineStr">
        <is>
          <t>NYSE</t>
        </is>
      </c>
      <c r="D210" t="n">
        <v>1059556</v>
      </c>
      <c r="E210" t="inlineStr">
        <is>
          <t>SEC</t>
        </is>
      </c>
    </row>
    <row r="211">
      <c r="A211" s="5">
        <f>HYPERLINK("https://finance.yahoo.com/quote/REGN","REGN")</f>
        <v/>
      </c>
      <c r="B211" t="inlineStr">
        <is>
          <t>REGENERON PHARMACEUTICALS, INC.</t>
        </is>
      </c>
      <c r="C211" t="inlineStr">
        <is>
          <t>Nasdaq</t>
        </is>
      </c>
      <c r="D211" t="n">
        <v>872589</v>
      </c>
      <c r="E211" t="inlineStr">
        <is>
          <t>SEC</t>
        </is>
      </c>
    </row>
    <row r="212">
      <c r="A212" s="5">
        <f>HYPERLINK("https://finance.yahoo.com/quote/SNPS","SNPS")</f>
        <v/>
      </c>
      <c r="B212" t="inlineStr">
        <is>
          <t>SYNOPSYS INC</t>
        </is>
      </c>
      <c r="C212" t="inlineStr">
        <is>
          <t>Nasdaq</t>
        </is>
      </c>
      <c r="D212" t="n">
        <v>883241</v>
      </c>
      <c r="E212" t="inlineStr">
        <is>
          <t>SEC</t>
        </is>
      </c>
    </row>
    <row r="213">
      <c r="A213" s="5">
        <f>HYPERLINK("https://finance.yahoo.com/quote/PWR","PWR")</f>
        <v/>
      </c>
      <c r="B213" t="inlineStr">
        <is>
          <t>QUANTA SERVICES, INC.</t>
        </is>
      </c>
      <c r="C213" t="inlineStr">
        <is>
          <t>NYSE</t>
        </is>
      </c>
      <c r="D213" t="n">
        <v>1050915</v>
      </c>
      <c r="E213" t="inlineStr">
        <is>
          <t>SEC</t>
        </is>
      </c>
    </row>
    <row r="214">
      <c r="A214" s="5">
        <f>HYPERLINK("https://finance.yahoo.com/quote/SHW","SHW")</f>
        <v/>
      </c>
      <c r="B214" t="inlineStr">
        <is>
          <t>SHERWIN WILLIAMS CO</t>
        </is>
      </c>
      <c r="C214" t="inlineStr">
        <is>
          <t>NYSE</t>
        </is>
      </c>
      <c r="D214" t="n">
        <v>89800</v>
      </c>
      <c r="E214" t="inlineStr">
        <is>
          <t>SEC</t>
        </is>
      </c>
    </row>
    <row r="215">
      <c r="A215" s="5">
        <f>HYPERLINK("https://finance.yahoo.com/quote/NGG","NGG")</f>
        <v/>
      </c>
      <c r="B215" t="inlineStr">
        <is>
          <t>NATIONAL GRID PLC</t>
        </is>
      </c>
      <c r="C215" t="inlineStr">
        <is>
          <t>NYSE</t>
        </is>
      </c>
      <c r="D215" t="n">
        <v>1004315</v>
      </c>
      <c r="E215" t="inlineStr">
        <is>
          <t>SEC</t>
        </is>
      </c>
    </row>
    <row r="216">
      <c r="A216" s="5">
        <f>HYPERLINK("https://finance.yahoo.com/quote/ECL","ECL")</f>
        <v/>
      </c>
      <c r="B216" t="inlineStr">
        <is>
          <t>ECOLAB INC.</t>
        </is>
      </c>
      <c r="C216" t="inlineStr">
        <is>
          <t>NYSE</t>
        </is>
      </c>
      <c r="D216" t="n">
        <v>31462</v>
      </c>
      <c r="E216" t="inlineStr">
        <is>
          <t>SEC</t>
        </is>
      </c>
    </row>
    <row r="217">
      <c r="A217" s="5">
        <f>HYPERLINK("https://finance.yahoo.com/quote/MDLZ","MDLZ")</f>
        <v/>
      </c>
      <c r="B217" t="inlineStr">
        <is>
          <t>Mondelez International, Inc.</t>
        </is>
      </c>
      <c r="C217" t="inlineStr">
        <is>
          <t>Nasdaq</t>
        </is>
      </c>
      <c r="D217" t="n">
        <v>1103982</v>
      </c>
      <c r="E217" t="inlineStr">
        <is>
          <t>SEC</t>
        </is>
      </c>
    </row>
    <row r="218">
      <c r="A218" s="5">
        <f>HYPERLINK("https://finance.yahoo.com/quote/CI","CI")</f>
        <v/>
      </c>
      <c r="B218" t="inlineStr">
        <is>
          <t>Cigna Group</t>
        </is>
      </c>
      <c r="C218" t="inlineStr">
        <is>
          <t>NYSE</t>
        </is>
      </c>
      <c r="D218" t="n">
        <v>1739940</v>
      </c>
      <c r="E218" t="inlineStr">
        <is>
          <t>SEC</t>
        </is>
      </c>
    </row>
    <row r="219">
      <c r="A219" s="5">
        <f>HYPERLINK("https://finance.yahoo.com/quote/CMCSA","CMCSA")</f>
        <v/>
      </c>
      <c r="B219" t="inlineStr">
        <is>
          <t>COMCAST CORP</t>
        </is>
      </c>
      <c r="C219" t="inlineStr">
        <is>
          <t>Nasdaq</t>
        </is>
      </c>
      <c r="D219" t="n">
        <v>1166691</v>
      </c>
      <c r="E219" t="inlineStr">
        <is>
          <t>SEC</t>
        </is>
      </c>
    </row>
    <row r="220">
      <c r="A220" s="5">
        <f>HYPERLINK("https://finance.yahoo.com/quote/EPD","EPD")</f>
        <v/>
      </c>
      <c r="B220" t="inlineStr">
        <is>
          <t>ENTERPRISE PRODUCTS PARTNERS L.P.</t>
        </is>
      </c>
      <c r="C220" t="inlineStr">
        <is>
          <t>NYSE</t>
        </is>
      </c>
      <c r="D220" t="n">
        <v>1061219</v>
      </c>
      <c r="E220" t="inlineStr">
        <is>
          <t>SEC</t>
        </is>
      </c>
    </row>
    <row r="221">
      <c r="A221" s="5">
        <f>HYPERLINK("https://finance.yahoo.com/quote/SPG","SPG")</f>
        <v/>
      </c>
      <c r="B221" t="inlineStr">
        <is>
          <t>SIMON PROPERTY GROUP INC.</t>
        </is>
      </c>
      <c r="C221" t="inlineStr">
        <is>
          <t>NYSE</t>
        </is>
      </c>
      <c r="D221" t="n">
        <v>1063761</v>
      </c>
      <c r="E221" t="inlineStr">
        <is>
          <t>SEC</t>
        </is>
      </c>
    </row>
    <row r="222">
      <c r="A222" s="5">
        <f>HYPERLINK("https://finance.yahoo.com/quote/MSI","MSI")</f>
        <v/>
      </c>
      <c r="B222" t="inlineStr">
        <is>
          <t>Motorola Solutions, Inc.</t>
        </is>
      </c>
      <c r="C222" t="inlineStr">
        <is>
          <t>NYSE</t>
        </is>
      </c>
      <c r="D222" t="n">
        <v>68505</v>
      </c>
      <c r="E222" t="inlineStr">
        <is>
          <t>SEC</t>
        </is>
      </c>
    </row>
    <row r="223">
      <c r="A223" s="5">
        <f>HYPERLINK("https://finance.yahoo.com/quote/MRNA","MRNA")</f>
        <v/>
      </c>
      <c r="B223" t="inlineStr">
        <is>
          <t>Moderna, Inc.</t>
        </is>
      </c>
      <c r="C223" t="inlineStr">
        <is>
          <t>Nasdaq</t>
        </is>
      </c>
      <c r="D223" t="n">
        <v>1682852</v>
      </c>
      <c r="E223" t="inlineStr">
        <is>
          <t>SEC</t>
        </is>
      </c>
    </row>
    <row r="224">
      <c r="A224" s="5">
        <f>HYPERLINK("https://finance.yahoo.com/quote/CP","CP")</f>
        <v/>
      </c>
      <c r="B224" t="inlineStr">
        <is>
          <t>CANADIAN PACIFIC KANSAS CITY LTD/CN</t>
        </is>
      </c>
      <c r="C224" t="inlineStr">
        <is>
          <t>NYSE</t>
        </is>
      </c>
      <c r="D224" t="n">
        <v>16875</v>
      </c>
      <c r="E224" t="inlineStr">
        <is>
          <t>SEC</t>
        </is>
      </c>
    </row>
    <row r="225">
      <c r="A225" s="5">
        <f>HYPERLINK("https://finance.yahoo.com/quote/HLT","HLT")</f>
        <v/>
      </c>
      <c r="B225" t="inlineStr">
        <is>
          <t>Hilton Worldwide Holdings Inc.</t>
        </is>
      </c>
      <c r="C225" t="inlineStr">
        <is>
          <t>NYSE</t>
        </is>
      </c>
      <c r="D225" t="n">
        <v>1585689</v>
      </c>
      <c r="E225" t="inlineStr">
        <is>
          <t>SEC</t>
        </is>
      </c>
    </row>
    <row r="226">
      <c r="A226" s="5">
        <f>HYPERLINK("https://finance.yahoo.com/quote/SLB","SLB")</f>
        <v/>
      </c>
      <c r="B226" t="inlineStr">
        <is>
          <t>SLB LIMITED/NV</t>
        </is>
      </c>
      <c r="C226" t="inlineStr">
        <is>
          <t>NYSE</t>
        </is>
      </c>
      <c r="D226" t="n">
        <v>87347</v>
      </c>
      <c r="E226" t="inlineStr">
        <is>
          <t>SEC</t>
        </is>
      </c>
    </row>
    <row r="227">
      <c r="A227" s="5">
        <f>HYPERLINK("https://finance.yahoo.com/quote/ITW","ITW")</f>
        <v/>
      </c>
      <c r="B227" t="inlineStr">
        <is>
          <t>ILLINOIS TOOL WORKS INC</t>
        </is>
      </c>
      <c r="C227" t="inlineStr">
        <is>
          <t>NYSE</t>
        </is>
      </c>
      <c r="D227" t="n">
        <v>49826</v>
      </c>
      <c r="E227" t="inlineStr">
        <is>
          <t>SEC</t>
        </is>
      </c>
    </row>
    <row r="228">
      <c r="A228" s="5">
        <f>HYPERLINK("https://finance.yahoo.com/quote/DASH","DASH")</f>
        <v/>
      </c>
      <c r="B228" t="inlineStr">
        <is>
          <t>DoorDash, Inc.</t>
        </is>
      </c>
      <c r="C228" t="inlineStr">
        <is>
          <t>Nasdaq</t>
        </is>
      </c>
      <c r="D228" t="n">
        <v>1792789</v>
      </c>
      <c r="E228" t="inlineStr">
        <is>
          <t>SEC</t>
        </is>
      </c>
    </row>
    <row r="229">
      <c r="A229" s="5">
        <f>HYPERLINK("https://finance.yahoo.com/quote/NOC","NOC")</f>
        <v/>
      </c>
      <c r="B229" t="inlineStr">
        <is>
          <t>NORTHROP GRUMMAN CORP /DE/</t>
        </is>
      </c>
      <c r="C229" t="inlineStr">
        <is>
          <t>NYSE</t>
        </is>
      </c>
      <c r="D229" t="n">
        <v>1133421</v>
      </c>
      <c r="E229" t="inlineStr">
        <is>
          <t>SEC</t>
        </is>
      </c>
    </row>
    <row r="230">
      <c r="A230" s="5">
        <f>HYPERLINK("https://finance.yahoo.com/quote/KMI","KMI")</f>
        <v/>
      </c>
      <c r="B230" t="inlineStr">
        <is>
          <t>KINDER MORGAN, INC.</t>
        </is>
      </c>
      <c r="C230" t="inlineStr">
        <is>
          <t>NYSE</t>
        </is>
      </c>
      <c r="D230" t="n">
        <v>1506307</v>
      </c>
      <c r="E230" t="inlineStr">
        <is>
          <t>SEC</t>
        </is>
      </c>
    </row>
    <row r="231">
      <c r="A231" s="5">
        <f>HYPERLINK("https://finance.yahoo.com/quote/LYG","LYG")</f>
        <v/>
      </c>
      <c r="B231" t="inlineStr">
        <is>
          <t>Lloyds Banking Group plc</t>
        </is>
      </c>
      <c r="C231" t="inlineStr">
        <is>
          <t>NYSE</t>
        </is>
      </c>
      <c r="D231" t="n">
        <v>1160106</v>
      </c>
      <c r="E231" t="inlineStr">
        <is>
          <t>SEC</t>
        </is>
      </c>
    </row>
    <row r="232">
      <c r="A232" s="5">
        <f>HYPERLINK("https://finance.yahoo.com/quote/NTES","NTES")</f>
        <v/>
      </c>
      <c r="B232" t="inlineStr">
        <is>
          <t>NetEase, Inc.</t>
        </is>
      </c>
      <c r="C232" t="inlineStr">
        <is>
          <t>Nasdaq</t>
        </is>
      </c>
      <c r="D232" t="n">
        <v>1110646</v>
      </c>
      <c r="E232" t="inlineStr">
        <is>
          <t>SEC</t>
        </is>
      </c>
    </row>
    <row r="233">
      <c r="A233" s="5">
        <f>HYPERLINK("https://finance.yahoo.com/quote/HPE","HPE")</f>
        <v/>
      </c>
      <c r="B233" t="inlineStr">
        <is>
          <t>Hewlett Packard Enterprise Co</t>
        </is>
      </c>
      <c r="C233" t="inlineStr">
        <is>
          <t>NYSE</t>
        </is>
      </c>
      <c r="D233" t="n">
        <v>1645590</v>
      </c>
      <c r="E233" t="inlineStr">
        <is>
          <t>SEC</t>
        </is>
      </c>
    </row>
    <row r="234">
      <c r="A234" s="5">
        <f>HYPERLINK("https://finance.yahoo.com/quote/BAESY","BAESY")</f>
        <v/>
      </c>
      <c r="B234" t="inlineStr">
        <is>
          <t>BAE SYSTEMS PLC /FI/</t>
        </is>
      </c>
      <c r="C234" t="inlineStr">
        <is>
          <t>OTC</t>
        </is>
      </c>
      <c r="D234" t="n">
        <v>895564</v>
      </c>
      <c r="E234" t="inlineStr">
        <is>
          <t>SEC</t>
        </is>
      </c>
    </row>
    <row r="235">
      <c r="A235" s="5">
        <f>HYPERLINK("https://finance.yahoo.com/quote/BAM","BAM")</f>
        <v/>
      </c>
      <c r="B235" t="inlineStr">
        <is>
          <t>Brookfield Asset Management Ltd.</t>
        </is>
      </c>
      <c r="C235" t="inlineStr">
        <is>
          <t>NYSE</t>
        </is>
      </c>
      <c r="D235" t="n">
        <v>1937926</v>
      </c>
      <c r="E235" t="inlineStr">
        <is>
          <t>SEC</t>
        </is>
      </c>
    </row>
    <row r="236">
      <c r="A236" s="5">
        <f>HYPERLINK("https://finance.yahoo.com/quote/VRT","VRT")</f>
        <v/>
      </c>
      <c r="B236" t="inlineStr">
        <is>
          <t>Vertiv Holdings Co</t>
        </is>
      </c>
      <c r="C236" t="inlineStr">
        <is>
          <t>NYSE</t>
        </is>
      </c>
      <c r="D236" t="n">
        <v>1674101</v>
      </c>
      <c r="E236" t="inlineStr">
        <is>
          <t>SEC</t>
        </is>
      </c>
    </row>
    <row r="237">
      <c r="A237" s="5">
        <f>HYPERLINK("https://finance.yahoo.com/quote/CL","CL")</f>
        <v/>
      </c>
      <c r="B237" t="inlineStr">
        <is>
          <t>COLGATE PALMOLIVE CO</t>
        </is>
      </c>
      <c r="C237" t="inlineStr">
        <is>
          <t>NYSE</t>
        </is>
      </c>
      <c r="D237" t="n">
        <v>21665</v>
      </c>
      <c r="E237" t="inlineStr">
        <is>
          <t>SEC</t>
        </is>
      </c>
    </row>
    <row r="238">
      <c r="A238" s="5">
        <f>HYPERLINK("https://finance.yahoo.com/quote/HWM","HWM")</f>
        <v/>
      </c>
      <c r="B238" t="inlineStr">
        <is>
          <t>Howmet Aerospace Inc.</t>
        </is>
      </c>
      <c r="C238" t="inlineStr">
        <is>
          <t>NYSE</t>
        </is>
      </c>
      <c r="D238" t="n">
        <v>4281</v>
      </c>
      <c r="E238" t="inlineStr">
        <is>
          <t>SEC</t>
        </is>
      </c>
    </row>
    <row r="239">
      <c r="A239" s="5">
        <f>HYPERLINK("https://finance.yahoo.com/quote/NSC","NSC")</f>
        <v/>
      </c>
      <c r="B239" t="inlineStr">
        <is>
          <t>NORFOLK SOUTHERN CORP</t>
        </is>
      </c>
      <c r="C239" t="inlineStr">
        <is>
          <t>NYSE</t>
        </is>
      </c>
      <c r="D239" t="n">
        <v>702165</v>
      </c>
      <c r="E239" t="inlineStr">
        <is>
          <t>SEC</t>
        </is>
      </c>
    </row>
    <row r="240">
      <c r="A240" s="5">
        <f>HYPERLINK("https://finance.yahoo.com/quote/CNI","CNI")</f>
        <v/>
      </c>
      <c r="B240" t="inlineStr">
        <is>
          <t>CANADIAN NATIONAL RAILWAY CO</t>
        </is>
      </c>
      <c r="C240" t="inlineStr">
        <is>
          <t>NYSE</t>
        </is>
      </c>
      <c r="D240" t="n">
        <v>16868</v>
      </c>
      <c r="E240" t="inlineStr">
        <is>
          <t>SEC</t>
        </is>
      </c>
    </row>
    <row r="241">
      <c r="A241" s="5">
        <f>HYPERLINK("https://finance.yahoo.com/quote/MFC","MFC")</f>
        <v/>
      </c>
      <c r="B241" t="inlineStr">
        <is>
          <t>MANULIFE FINANCIAL CORP</t>
        </is>
      </c>
      <c r="C241" t="inlineStr">
        <is>
          <t>NYSE</t>
        </is>
      </c>
      <c r="D241" t="n">
        <v>1086888</v>
      </c>
      <c r="E241" t="inlineStr">
        <is>
          <t>SEC</t>
        </is>
      </c>
    </row>
    <row r="242">
      <c r="A242" s="5">
        <f>HYPERLINK("https://finance.yahoo.com/quote/RCL","RCL")</f>
        <v/>
      </c>
      <c r="B242" t="inlineStr">
        <is>
          <t>ROYAL CARIBBEAN CRUISES LTD</t>
        </is>
      </c>
      <c r="C242" t="inlineStr">
        <is>
          <t>NYSE</t>
        </is>
      </c>
      <c r="D242" t="n">
        <v>884887</v>
      </c>
      <c r="E242" t="inlineStr">
        <is>
          <t>SEC</t>
        </is>
      </c>
    </row>
    <row r="243">
      <c r="A243" s="5">
        <f>HYPERLINK("https://finance.yahoo.com/quote/AMX","AMX")</f>
        <v/>
      </c>
      <c r="B243" t="inlineStr">
        <is>
          <t>AMERICA MOVIL SAB DE CV/</t>
        </is>
      </c>
      <c r="C243" t="inlineStr">
        <is>
          <t>NYSE</t>
        </is>
      </c>
      <c r="D243" t="n">
        <v>1129137</v>
      </c>
      <c r="E243" t="inlineStr">
        <is>
          <t>SEC</t>
        </is>
      </c>
    </row>
    <row r="244">
      <c r="A244" s="5">
        <f>HYPERLINK("https://finance.yahoo.com/quote/RSG","RSG")</f>
        <v/>
      </c>
      <c r="B244" t="inlineStr">
        <is>
          <t>REPUBLIC SERVICES, INC.</t>
        </is>
      </c>
      <c r="C244" t="inlineStr">
        <is>
          <t>NYSE</t>
        </is>
      </c>
      <c r="D244" t="n">
        <v>1060391</v>
      </c>
      <c r="E244" t="inlineStr">
        <is>
          <t>SEC</t>
        </is>
      </c>
    </row>
    <row r="245">
      <c r="A245" s="5">
        <f>HYPERLINK("https://finance.yahoo.com/quote/ROST","ROST")</f>
        <v/>
      </c>
      <c r="B245" t="inlineStr">
        <is>
          <t>ROSS STORES, INC.</t>
        </is>
      </c>
      <c r="C245" t="inlineStr">
        <is>
          <t>Nasdaq</t>
        </is>
      </c>
      <c r="D245" t="n">
        <v>745732</v>
      </c>
      <c r="E245" t="inlineStr">
        <is>
          <t>SEC</t>
        </is>
      </c>
    </row>
    <row r="246">
      <c r="A246" s="5">
        <f>HYPERLINK("https://finance.yahoo.com/quote/NU","NU")</f>
        <v/>
      </c>
      <c r="B246" t="inlineStr">
        <is>
          <t>Nu Holdings Ltd.</t>
        </is>
      </c>
      <c r="C246" t="inlineStr">
        <is>
          <t>NYSE</t>
        </is>
      </c>
      <c r="D246" t="n">
        <v>1691493</v>
      </c>
      <c r="E246" t="inlineStr">
        <is>
          <t>SEC</t>
        </is>
      </c>
    </row>
    <row r="247">
      <c r="A247" s="5">
        <f>HYPERLINK("https://finance.yahoo.com/quote/ORLY","ORLY")</f>
        <v/>
      </c>
      <c r="B247" t="inlineStr">
        <is>
          <t>O REILLY AUTOMOTIVE INC</t>
        </is>
      </c>
      <c r="C247" t="inlineStr">
        <is>
          <t>Nasdaq</t>
        </is>
      </c>
      <c r="D247" t="n">
        <v>898173</v>
      </c>
      <c r="E247" t="inlineStr">
        <is>
          <t>SEC</t>
        </is>
      </c>
    </row>
    <row r="248">
      <c r="A248" s="5">
        <f>HYPERLINK("https://finance.yahoo.com/quote/BCS","BCS")</f>
        <v/>
      </c>
      <c r="B248" t="inlineStr">
        <is>
          <t>BARCLAYS PLC</t>
        </is>
      </c>
      <c r="C248" t="inlineStr">
        <is>
          <t>NYSE</t>
        </is>
      </c>
      <c r="D248" t="n">
        <v>312069</v>
      </c>
      <c r="E248" t="inlineStr">
        <is>
          <t>SEC</t>
        </is>
      </c>
    </row>
    <row r="249">
      <c r="A249" s="5">
        <f>HYPERLINK("https://finance.yahoo.com/quote/CMI","CMI")</f>
        <v/>
      </c>
      <c r="B249" t="inlineStr">
        <is>
          <t>CUMMINS INC</t>
        </is>
      </c>
      <c r="C249" t="inlineStr">
        <is>
          <t>NYSE</t>
        </is>
      </c>
      <c r="D249" t="n">
        <v>26172</v>
      </c>
      <c r="E249" t="inlineStr">
        <is>
          <t>SEC</t>
        </is>
      </c>
    </row>
    <row r="250">
      <c r="A250" s="5">
        <f>HYPERLINK("https://finance.yahoo.com/quote/FDX","FDX")</f>
        <v/>
      </c>
      <c r="B250" t="inlineStr">
        <is>
          <t>FEDEX CORP</t>
        </is>
      </c>
      <c r="C250" t="inlineStr">
        <is>
          <t>NYSE</t>
        </is>
      </c>
      <c r="D250" t="n">
        <v>1048911</v>
      </c>
      <c r="E250" t="inlineStr">
        <is>
          <t>SEC</t>
        </is>
      </c>
    </row>
    <row r="251">
      <c r="A251" s="5">
        <f>HYPERLINK("https://finance.yahoo.com/quote/IFNNY","IFNNY")</f>
        <v/>
      </c>
      <c r="B251" t="inlineStr">
        <is>
          <t>INFINEON TECHNOLOGIES AG</t>
        </is>
      </c>
      <c r="C251" t="inlineStr">
        <is>
          <t>OTC</t>
        </is>
      </c>
      <c r="D251" t="n">
        <v>1107457</v>
      </c>
      <c r="E251" t="inlineStr">
        <is>
          <t>SEC</t>
        </is>
      </c>
    </row>
    <row r="252">
      <c r="A252" s="5">
        <f>HYPERLINK("https://finance.yahoo.com/quote/AEP","AEP")</f>
        <v/>
      </c>
      <c r="B252" t="inlineStr">
        <is>
          <t>AMERICAN ELECTRIC POWER CO INC</t>
        </is>
      </c>
      <c r="C252" t="inlineStr">
        <is>
          <t>Nasdaq</t>
        </is>
      </c>
      <c r="D252" t="n">
        <v>4904</v>
      </c>
      <c r="E252" t="inlineStr">
        <is>
          <t>SEC</t>
        </is>
      </c>
    </row>
    <row r="253">
      <c r="A253" s="5">
        <f>HYPERLINK("https://finance.yahoo.com/quote/HON","HON")</f>
        <v/>
      </c>
      <c r="B253" t="inlineStr">
        <is>
          <t>HONEYWELL INTERNATIONAL INC</t>
        </is>
      </c>
      <c r="C253" t="inlineStr">
        <is>
          <t>Nasdaq</t>
        </is>
      </c>
      <c r="D253" t="n">
        <v>773840</v>
      </c>
      <c r="E253" t="inlineStr">
        <is>
          <t>SEC</t>
        </is>
      </c>
    </row>
    <row r="254">
      <c r="A254" s="5">
        <f>HYPERLINK("https://finance.yahoo.com/quote/RELX","RELX")</f>
        <v/>
      </c>
      <c r="B254" t="inlineStr">
        <is>
          <t>RELX PLC</t>
        </is>
      </c>
      <c r="C254" t="inlineStr">
        <is>
          <t>NYSE</t>
        </is>
      </c>
      <c r="D254" t="n">
        <v>929869</v>
      </c>
      <c r="E254" t="inlineStr">
        <is>
          <t>SEC</t>
        </is>
      </c>
    </row>
    <row r="255">
      <c r="A255" s="5">
        <f>HYPERLINK("https://finance.yahoo.com/quote/ET","ET")</f>
        <v/>
      </c>
      <c r="B255" t="inlineStr">
        <is>
          <t>Energy Transfer LP</t>
        </is>
      </c>
      <c r="C255" t="inlineStr">
        <is>
          <t>TXSE</t>
        </is>
      </c>
      <c r="D255" t="n">
        <v>1276187</v>
      </c>
      <c r="E255" t="inlineStr">
        <is>
          <t>SEC</t>
        </is>
      </c>
    </row>
    <row r="256">
      <c r="A256" s="5">
        <f>HYPERLINK("https://finance.yahoo.com/quote/LITE","LITE")</f>
        <v/>
      </c>
      <c r="B256" t="inlineStr">
        <is>
          <t>Lumentum Holdings Inc.</t>
        </is>
      </c>
      <c r="C256" t="inlineStr">
        <is>
          <t>Nasdaq</t>
        </is>
      </c>
      <c r="D256" t="n">
        <v>1633978</v>
      </c>
      <c r="E256" t="inlineStr">
        <is>
          <t>SEC</t>
        </is>
      </c>
    </row>
    <row r="257">
      <c r="A257" s="5">
        <f>HYPERLINK("https://finance.yahoo.com/quote/TGT","TGT")</f>
        <v/>
      </c>
      <c r="B257" t="inlineStr">
        <is>
          <t>TARGET CORP</t>
        </is>
      </c>
      <c r="C257" t="inlineStr">
        <is>
          <t>NYSE</t>
        </is>
      </c>
      <c r="D257" t="n">
        <v>27419</v>
      </c>
      <c r="E257" t="inlineStr">
        <is>
          <t>SEC</t>
        </is>
      </c>
    </row>
    <row r="258">
      <c r="A258" s="5">
        <f>HYPERLINK("https://finance.yahoo.com/quote/RACE","RACE")</f>
        <v/>
      </c>
      <c r="B258" t="inlineStr">
        <is>
          <t>Ferrari N.V.</t>
        </is>
      </c>
      <c r="C258" t="inlineStr">
        <is>
          <t>NYSE</t>
        </is>
      </c>
      <c r="D258" t="n">
        <v>1648416</v>
      </c>
      <c r="E258" t="inlineStr">
        <is>
          <t>SEC</t>
        </is>
      </c>
    </row>
    <row r="259">
      <c r="A259" s="5">
        <f>HYPERLINK("https://finance.yahoo.com/quote/AJG","AJG")</f>
        <v/>
      </c>
      <c r="B259" t="inlineStr">
        <is>
          <t>Arthur J. Gallagher &amp; Co.</t>
        </is>
      </c>
      <c r="C259" t="inlineStr">
        <is>
          <t>NYSE</t>
        </is>
      </c>
      <c r="D259" t="n">
        <v>354190</v>
      </c>
      <c r="E259" t="inlineStr">
        <is>
          <t>SEC</t>
        </is>
      </c>
    </row>
    <row r="260">
      <c r="A260" s="5">
        <f>HYPERLINK("https://finance.yahoo.com/quote/APD","APD")</f>
        <v/>
      </c>
      <c r="B260" t="inlineStr">
        <is>
          <t>Air Products &amp; Chemicals, Inc.</t>
        </is>
      </c>
      <c r="C260" t="inlineStr">
        <is>
          <t>NYSE</t>
        </is>
      </c>
      <c r="D260" t="n">
        <v>2969</v>
      </c>
      <c r="E260" t="inlineStr">
        <is>
          <t>SEC</t>
        </is>
      </c>
    </row>
    <row r="261">
      <c r="A261" s="5">
        <f>HYPERLINK("https://finance.yahoo.com/quote/URI","URI")</f>
        <v/>
      </c>
      <c r="B261" t="inlineStr">
        <is>
          <t>UNITED RENTALS, INC.</t>
        </is>
      </c>
      <c r="C261" t="inlineStr">
        <is>
          <t>NYSE</t>
        </is>
      </c>
      <c r="D261" t="n">
        <v>1067701</v>
      </c>
      <c r="E261" t="inlineStr">
        <is>
          <t>SEC</t>
        </is>
      </c>
    </row>
    <row r="262">
      <c r="A262" s="5">
        <f>HYPERLINK("https://finance.yahoo.com/quote/APO","APO")</f>
        <v/>
      </c>
      <c r="B262" t="inlineStr">
        <is>
          <t>Apollo Global Management, Inc.</t>
        </is>
      </c>
      <c r="C262" t="inlineStr">
        <is>
          <t>NYSE</t>
        </is>
      </c>
      <c r="D262" t="n">
        <v>1858681</v>
      </c>
      <c r="E262" t="inlineStr">
        <is>
          <t>SEC</t>
        </is>
      </c>
    </row>
    <row r="263">
      <c r="A263" s="5">
        <f>HYPERLINK("https://finance.yahoo.com/quote/GM","GM")</f>
        <v/>
      </c>
      <c r="B263" t="inlineStr">
        <is>
          <t>General Motors Co</t>
        </is>
      </c>
      <c r="C263" t="inlineStr">
        <is>
          <t>NYSE</t>
        </is>
      </c>
      <c r="D263" t="n">
        <v>1467858</v>
      </c>
      <c r="E263" t="inlineStr">
        <is>
          <t>SEC</t>
        </is>
      </c>
    </row>
    <row r="264">
      <c r="A264" s="5">
        <f>HYPERLINK("https://finance.yahoo.com/quote/NWG","NWG")</f>
        <v/>
      </c>
      <c r="B264" t="inlineStr">
        <is>
          <t>NatWest Group plc</t>
        </is>
      </c>
      <c r="C264" t="inlineStr">
        <is>
          <t>NYSE</t>
        </is>
      </c>
      <c r="D264" t="n">
        <v>844150</v>
      </c>
      <c r="E264" t="inlineStr">
        <is>
          <t>SEC</t>
        </is>
      </c>
    </row>
    <row r="265">
      <c r="A265" s="5">
        <f>HYPERLINK("https://finance.yahoo.com/quote/CSLLY","CSLLY")</f>
        <v/>
      </c>
      <c r="B265" t="inlineStr">
        <is>
          <t>CSL LTD</t>
        </is>
      </c>
      <c r="C265" t="inlineStr">
        <is>
          <t>OTC</t>
        </is>
      </c>
      <c r="D265" t="n">
        <v>1274152</v>
      </c>
      <c r="E265" t="inlineStr">
        <is>
          <t>SEC</t>
        </is>
      </c>
    </row>
    <row r="266">
      <c r="A266" s="5">
        <f>HYPERLINK("https://finance.yahoo.com/quote/BSX","BSX")</f>
        <v/>
      </c>
      <c r="B266" t="inlineStr">
        <is>
          <t>BOSTON SCIENTIFIC CORP</t>
        </is>
      </c>
      <c r="C266" t="inlineStr">
        <is>
          <t>NYSE</t>
        </is>
      </c>
      <c r="D266" t="n">
        <v>885725</v>
      </c>
      <c r="E266" t="inlineStr">
        <is>
          <t>SEC</t>
        </is>
      </c>
    </row>
    <row r="267">
      <c r="A267" s="5">
        <f>HYPERLINK("https://finance.yahoo.com/quote/TRGP","TRGP")</f>
        <v/>
      </c>
      <c r="B267" t="inlineStr">
        <is>
          <t>Targa Resources Corp.</t>
        </is>
      </c>
      <c r="C267" t="inlineStr">
        <is>
          <t>NYSE</t>
        </is>
      </c>
      <c r="D267" t="n">
        <v>1389170</v>
      </c>
      <c r="E267" t="inlineStr">
        <is>
          <t>SEC</t>
        </is>
      </c>
    </row>
    <row r="268">
      <c r="A268" s="5">
        <f>HYPERLINK("https://finance.yahoo.com/quote/DLR","DLR")</f>
        <v/>
      </c>
      <c r="B268" t="inlineStr">
        <is>
          <t>DIGITAL REALTY TRUST, INC.</t>
        </is>
      </c>
      <c r="C268" t="inlineStr">
        <is>
          <t>NYSE</t>
        </is>
      </c>
      <c r="D268" t="n">
        <v>1297996</v>
      </c>
      <c r="E268" t="inlineStr">
        <is>
          <t>SEC</t>
        </is>
      </c>
    </row>
    <row r="269">
      <c r="A269" s="5">
        <f>HYPERLINK("https://finance.yahoo.com/quote/TAK","TAK")</f>
        <v/>
      </c>
      <c r="B269" t="inlineStr">
        <is>
          <t>TAKEDA PHARMACEUTICAL CO LTD</t>
        </is>
      </c>
      <c r="C269" t="inlineStr">
        <is>
          <t>NYSE</t>
        </is>
      </c>
      <c r="D269" t="n">
        <v>1395064</v>
      </c>
      <c r="E269" t="inlineStr">
        <is>
          <t>SEC</t>
        </is>
      </c>
    </row>
    <row r="270">
      <c r="A270" s="5">
        <f>HYPERLINK("https://finance.yahoo.com/quote/ALL","ALL")</f>
        <v/>
      </c>
      <c r="B270" t="inlineStr">
        <is>
          <t>ALLSTATE CORP</t>
        </is>
      </c>
      <c r="C270" t="inlineStr">
        <is>
          <t>NYSE</t>
        </is>
      </c>
      <c r="D270" t="n">
        <v>899051</v>
      </c>
      <c r="E270" t="inlineStr">
        <is>
          <t>SEC</t>
        </is>
      </c>
    </row>
    <row r="271">
      <c r="A271" s="5">
        <f>HYPERLINK("https://finance.yahoo.com/quote/OXY","OXY")</f>
        <v/>
      </c>
      <c r="B271" t="inlineStr">
        <is>
          <t>OCCIDENTAL PETROLEUM CORP /DE/</t>
        </is>
      </c>
      <c r="C271" t="inlineStr">
        <is>
          <t>NYSE</t>
        </is>
      </c>
      <c r="D271" t="n">
        <v>797468</v>
      </c>
      <c r="E271" t="inlineStr">
        <is>
          <t>SEC</t>
        </is>
      </c>
    </row>
    <row r="272">
      <c r="A272" s="5">
        <f>HYPERLINK("https://finance.yahoo.com/quote/AON","AON")</f>
        <v/>
      </c>
      <c r="B272" t="inlineStr">
        <is>
          <t>Aon plc</t>
        </is>
      </c>
      <c r="C272" t="inlineStr">
        <is>
          <t>NYSE</t>
        </is>
      </c>
      <c r="D272" t="n">
        <v>315293</v>
      </c>
      <c r="E272" t="inlineStr">
        <is>
          <t>SEC</t>
        </is>
      </c>
    </row>
    <row r="273">
      <c r="A273" s="5">
        <f>HYPERLINK("https://finance.yahoo.com/quote/CVNA","CVNA")</f>
        <v/>
      </c>
      <c r="B273" t="inlineStr">
        <is>
          <t>CARVANA CO.</t>
        </is>
      </c>
      <c r="C273" t="inlineStr">
        <is>
          <t>NYSE</t>
        </is>
      </c>
      <c r="D273" t="n">
        <v>1690820</v>
      </c>
      <c r="E273" t="inlineStr">
        <is>
          <t>SEC</t>
        </is>
      </c>
    </row>
    <row r="274">
      <c r="A274" s="5">
        <f>HYPERLINK("https://finance.yahoo.com/quote/GWW","GWW")</f>
        <v/>
      </c>
      <c r="B274" t="inlineStr">
        <is>
          <t>W.W. GRAINGER, INC.</t>
        </is>
      </c>
      <c r="C274" t="inlineStr">
        <is>
          <t>NYSE</t>
        </is>
      </c>
      <c r="D274" t="n">
        <v>277135</v>
      </c>
      <c r="E274" t="inlineStr">
        <is>
          <t>SEC</t>
        </is>
      </c>
    </row>
    <row r="275">
      <c r="A275" s="5">
        <f>HYPERLINK("https://finance.yahoo.com/quote/COR","COR")</f>
        <v/>
      </c>
      <c r="B275" t="inlineStr">
        <is>
          <t>Cencora, Inc.</t>
        </is>
      </c>
      <c r="C275" t="inlineStr">
        <is>
          <t>NYSE</t>
        </is>
      </c>
      <c r="D275" t="n">
        <v>1140859</v>
      </c>
      <c r="E275" t="inlineStr">
        <is>
          <t>SEC</t>
        </is>
      </c>
    </row>
    <row r="276">
      <c r="A276" s="5">
        <f>HYPERLINK("https://finance.yahoo.com/quote/B","B")</f>
        <v/>
      </c>
      <c r="B276" t="inlineStr">
        <is>
          <t>BARRICK MINING CORP</t>
        </is>
      </c>
      <c r="C276" t="inlineStr">
        <is>
          <t>NYSE</t>
        </is>
      </c>
      <c r="D276" t="n">
        <v>756894</v>
      </c>
      <c r="E276" t="inlineStr">
        <is>
          <t>SEC</t>
        </is>
      </c>
    </row>
    <row r="277">
      <c r="A277" s="5">
        <f>HYPERLINK("https://finance.yahoo.com/quote/MET","MET")</f>
        <v/>
      </c>
      <c r="B277" t="inlineStr">
        <is>
          <t>METLIFE INC</t>
        </is>
      </c>
      <c r="C277" t="inlineStr">
        <is>
          <t>NYSE</t>
        </is>
      </c>
      <c r="D277" t="n">
        <v>1099219</v>
      </c>
      <c r="E277" t="inlineStr">
        <is>
          <t>SEC</t>
        </is>
      </c>
    </row>
    <row r="278">
      <c r="A278" s="5">
        <f>HYPERLINK("https://finance.yahoo.com/quote/MSTR","MSTR")</f>
        <v/>
      </c>
      <c r="B278" t="inlineStr">
        <is>
          <t>Strategy Inc</t>
        </is>
      </c>
      <c r="C278" t="inlineStr">
        <is>
          <t>Nasdaq</t>
        </is>
      </c>
      <c r="D278" t="n">
        <v>1050446</v>
      </c>
      <c r="E278" t="inlineStr">
        <is>
          <t>SEC</t>
        </is>
      </c>
    </row>
    <row r="279">
      <c r="A279" s="5">
        <f>HYPERLINK("https://finance.yahoo.com/quote/LNG","LNG")</f>
        <v/>
      </c>
      <c r="B279" t="inlineStr">
        <is>
          <t>Cheniere Energy, Inc.</t>
        </is>
      </c>
      <c r="C279" t="inlineStr">
        <is>
          <t>NYSE</t>
        </is>
      </c>
      <c r="D279" t="n">
        <v>3570</v>
      </c>
      <c r="E279" t="inlineStr">
        <is>
          <t>SEC</t>
        </is>
      </c>
    </row>
    <row r="280">
      <c r="A280" s="5">
        <f>HYPERLINK("https://finance.yahoo.com/quote/LSEGY","LSEGY")</f>
        <v/>
      </c>
      <c r="B280" t="inlineStr">
        <is>
          <t>London Stock Exchange Group plc</t>
        </is>
      </c>
      <c r="C280" t="inlineStr">
        <is>
          <t>OTC</t>
        </is>
      </c>
      <c r="D280" t="n">
        <v>1842726</v>
      </c>
      <c r="E280" t="inlineStr">
        <is>
          <t>SEC</t>
        </is>
      </c>
    </row>
    <row r="281">
      <c r="A281" s="5">
        <f>HYPERLINK("https://finance.yahoo.com/quote/TDG","TDG")</f>
        <v/>
      </c>
      <c r="B281" t="inlineStr">
        <is>
          <t>TransDigm Group INC</t>
        </is>
      </c>
      <c r="C281" t="inlineStr">
        <is>
          <t>NYSE</t>
        </is>
      </c>
      <c r="D281" t="n">
        <v>1260221</v>
      </c>
      <c r="E281" t="inlineStr">
        <is>
          <t>SEC</t>
        </is>
      </c>
    </row>
    <row r="282">
      <c r="A282" s="5">
        <f>HYPERLINK("https://finance.yahoo.com/quote/CVE","CVE")</f>
        <v/>
      </c>
      <c r="B282" t="inlineStr">
        <is>
          <t>CENOVUS ENERGY INC.</t>
        </is>
      </c>
      <c r="C282" t="inlineStr">
        <is>
          <t>NYSE</t>
        </is>
      </c>
      <c r="D282" t="n">
        <v>1475260</v>
      </c>
      <c r="E282" t="inlineStr">
        <is>
          <t>SEC</t>
        </is>
      </c>
    </row>
    <row r="283">
      <c r="A283" s="5">
        <f>HYPERLINK("https://finance.yahoo.com/quote/OKE","OKE")</f>
        <v/>
      </c>
      <c r="B283" t="inlineStr">
        <is>
          <t>ONEOK INC /NEW/</t>
        </is>
      </c>
      <c r="C283" t="inlineStr">
        <is>
          <t>NYSE</t>
        </is>
      </c>
      <c r="D283" t="n">
        <v>1039684</v>
      </c>
      <c r="E283" t="inlineStr">
        <is>
          <t>SEC</t>
        </is>
      </c>
    </row>
    <row r="284">
      <c r="A284" s="5">
        <f>HYPERLINK("https://finance.yahoo.com/quote/AFL","AFL")</f>
        <v/>
      </c>
      <c r="B284" t="inlineStr">
        <is>
          <t>AFLAC INC</t>
        </is>
      </c>
      <c r="C284" t="inlineStr">
        <is>
          <t>NYSE</t>
        </is>
      </c>
      <c r="D284" t="n">
        <v>4977</v>
      </c>
      <c r="E284" t="inlineStr">
        <is>
          <t>SEC</t>
        </is>
      </c>
    </row>
    <row r="285">
      <c r="A285" s="5">
        <f>HYPERLINK("https://finance.yahoo.com/quote/FAST","FAST")</f>
        <v/>
      </c>
      <c r="B285" t="inlineStr">
        <is>
          <t>FASTENAL CO</t>
        </is>
      </c>
      <c r="C285" t="inlineStr">
        <is>
          <t>Nasdaq</t>
        </is>
      </c>
      <c r="D285" t="n">
        <v>815556</v>
      </c>
      <c r="E285" t="inlineStr">
        <is>
          <t>SEC</t>
        </is>
      </c>
    </row>
    <row r="286">
      <c r="A286" s="5">
        <f>HYPERLINK("https://finance.yahoo.com/quote/TEL","TEL")</f>
        <v/>
      </c>
      <c r="B286" t="inlineStr">
        <is>
          <t>TE Connectivity plc</t>
        </is>
      </c>
      <c r="C286" t="inlineStr">
        <is>
          <t>NYSE</t>
        </is>
      </c>
      <c r="D286" t="n">
        <v>1385157</v>
      </c>
      <c r="E286" t="inlineStr">
        <is>
          <t>SEC</t>
        </is>
      </c>
    </row>
    <row r="287">
      <c r="A287" s="5">
        <f>HYPERLINK("https://finance.yahoo.com/quote/NXPI","NXPI")</f>
        <v/>
      </c>
      <c r="B287" t="inlineStr">
        <is>
          <t>NXP Semiconductors N.V.</t>
        </is>
      </c>
      <c r="C287" t="inlineStr">
        <is>
          <t>Nasdaq</t>
        </is>
      </c>
      <c r="D287" t="n">
        <v>1413447</v>
      </c>
      <c r="E287" t="inlineStr">
        <is>
          <t>SEC</t>
        </is>
      </c>
    </row>
    <row r="288">
      <c r="A288" s="5">
        <f>HYPERLINK("https://finance.yahoo.com/quote/MPLX","MPLX")</f>
        <v/>
      </c>
      <c r="B288" t="inlineStr">
        <is>
          <t>MPLX LP</t>
        </is>
      </c>
      <c r="C288" t="inlineStr">
        <is>
          <t>NYSE</t>
        </is>
      </c>
      <c r="D288" t="n">
        <v>1552000</v>
      </c>
      <c r="E288" t="inlineStr">
        <is>
          <t>SEC</t>
        </is>
      </c>
    </row>
    <row r="289">
      <c r="A289" s="5">
        <f>HYPERLINK("https://finance.yahoo.com/quote/NUE","NUE")</f>
        <v/>
      </c>
      <c r="B289" t="inlineStr">
        <is>
          <t>NUCOR CORP</t>
        </is>
      </c>
      <c r="C289" t="inlineStr">
        <is>
          <t>NYSE</t>
        </is>
      </c>
      <c r="D289" t="n">
        <v>73309</v>
      </c>
      <c r="E289" t="inlineStr">
        <is>
          <t>SEC</t>
        </is>
      </c>
    </row>
    <row r="290">
      <c r="A290" s="5">
        <f>HYPERLINK("https://finance.yahoo.com/quote/TFC","TFC")</f>
        <v/>
      </c>
      <c r="B290" t="inlineStr">
        <is>
          <t>TRUIST FINANCIAL CORP</t>
        </is>
      </c>
      <c r="C290" t="inlineStr">
        <is>
          <t>NYSE</t>
        </is>
      </c>
      <c r="D290" t="n">
        <v>92230</v>
      </c>
      <c r="E290" t="inlineStr">
        <is>
          <t>SEC</t>
        </is>
      </c>
    </row>
    <row r="291">
      <c r="A291" s="5">
        <f>HYPERLINK("https://finance.yahoo.com/quote/DB","DB")</f>
        <v/>
      </c>
      <c r="B291" t="inlineStr">
        <is>
          <t>DEUTSCHE BANK AKTIENGESELLSCHAFT</t>
        </is>
      </c>
      <c r="C291" t="inlineStr">
        <is>
          <t>NYSE</t>
        </is>
      </c>
      <c r="D291" t="n">
        <v>1159508</v>
      </c>
      <c r="E291" t="inlineStr">
        <is>
          <t>SEC</t>
        </is>
      </c>
    </row>
    <row r="292">
      <c r="A292" s="5">
        <f>HYPERLINK("https://finance.yahoo.com/quote/NTRA","NTRA")</f>
        <v/>
      </c>
      <c r="B292" t="inlineStr">
        <is>
          <t>Natera, Inc.</t>
        </is>
      </c>
      <c r="C292" t="inlineStr">
        <is>
          <t>Nasdaq</t>
        </is>
      </c>
      <c r="D292" t="n">
        <v>1604821</v>
      </c>
      <c r="E292" t="inlineStr">
        <is>
          <t>SEC</t>
        </is>
      </c>
    </row>
    <row r="293">
      <c r="A293" s="5">
        <f>HYPERLINK("https://finance.yahoo.com/quote/CAH","CAH")</f>
        <v/>
      </c>
      <c r="B293" t="inlineStr">
        <is>
          <t>CARDINAL HEALTH INC</t>
        </is>
      </c>
      <c r="C293" t="inlineStr">
        <is>
          <t>NYSE</t>
        </is>
      </c>
      <c r="D293" t="n">
        <v>721371</v>
      </c>
      <c r="E293" t="inlineStr">
        <is>
          <t>SEC</t>
        </is>
      </c>
    </row>
    <row r="294">
      <c r="A294" s="5">
        <f>HYPERLINK("https://finance.yahoo.com/quote/NDAQ","NDAQ")</f>
        <v/>
      </c>
      <c r="B294" t="inlineStr">
        <is>
          <t>NASDAQ, INC.</t>
        </is>
      </c>
      <c r="C294" t="inlineStr">
        <is>
          <t>Nasdaq</t>
        </is>
      </c>
      <c r="D294" t="n">
        <v>1120193</v>
      </c>
      <c r="E294" t="inlineStr">
        <is>
          <t>SEC</t>
        </is>
      </c>
    </row>
    <row r="295">
      <c r="A295" s="5">
        <f>HYPERLINK("https://finance.yahoo.com/quote/PSA","PSA")</f>
        <v/>
      </c>
      <c r="B295" t="inlineStr">
        <is>
          <t>Public Storage</t>
        </is>
      </c>
      <c r="C295" t="inlineStr">
        <is>
          <t>NYSE</t>
        </is>
      </c>
      <c r="D295" t="n">
        <v>1393311</v>
      </c>
      <c r="E295" t="inlineStr">
        <is>
          <t>SEC</t>
        </is>
      </c>
    </row>
    <row r="296">
      <c r="A296" s="5">
        <f>HYPERLINK("https://finance.yahoo.com/quote/FANG","FANG")</f>
        <v/>
      </c>
      <c r="B296" t="inlineStr">
        <is>
          <t>Diamondback Energy, Inc.</t>
        </is>
      </c>
      <c r="C296" t="inlineStr">
        <is>
          <t>Nasdaq</t>
        </is>
      </c>
      <c r="D296" t="n">
        <v>1539838</v>
      </c>
      <c r="E296" t="inlineStr">
        <is>
          <t>SEC</t>
        </is>
      </c>
    </row>
    <row r="297">
      <c r="A297" s="5">
        <f>HYPERLINK("https://finance.yahoo.com/quote/GWLIF","GWLIF")</f>
        <v/>
      </c>
      <c r="B297" t="inlineStr">
        <is>
          <t>GREAT-WEST LIFECO INC.</t>
        </is>
      </c>
      <c r="C297" t="inlineStr">
        <is>
          <t>OTC</t>
        </is>
      </c>
      <c r="D297" t="n">
        <v>850918</v>
      </c>
      <c r="E297" t="inlineStr">
        <is>
          <t>SEC</t>
        </is>
      </c>
    </row>
    <row r="298">
      <c r="A298" s="5">
        <f>HYPERLINK("https://finance.yahoo.com/quote/BE","BE")</f>
        <v/>
      </c>
      <c r="B298" t="inlineStr">
        <is>
          <t>Bloom Energy Corp</t>
        </is>
      </c>
      <c r="C298" t="inlineStr">
        <is>
          <t>NYSE</t>
        </is>
      </c>
      <c r="D298" t="n">
        <v>1664703</v>
      </c>
      <c r="E298" t="inlineStr">
        <is>
          <t>SEC</t>
        </is>
      </c>
    </row>
    <row r="299">
      <c r="A299" s="5">
        <f>HYPERLINK("https://finance.yahoo.com/quote/D","D")</f>
        <v/>
      </c>
      <c r="B299" t="inlineStr">
        <is>
          <t>DOMINION ENERGY, INC</t>
        </is>
      </c>
      <c r="C299" t="inlineStr">
        <is>
          <t>NYSE</t>
        </is>
      </c>
      <c r="D299" t="n">
        <v>715957</v>
      </c>
      <c r="E299" t="inlineStr">
        <is>
          <t>SEC</t>
        </is>
      </c>
    </row>
    <row r="300">
      <c r="A300" s="5">
        <f>HYPERLINK("https://finance.yahoo.com/quote/TEAM","TEAM")</f>
        <v/>
      </c>
      <c r="B300" t="inlineStr">
        <is>
          <t>Atlassian Corp</t>
        </is>
      </c>
      <c r="C300" t="inlineStr">
        <is>
          <t>Nasdaq</t>
        </is>
      </c>
      <c r="D300" t="n">
        <v>1650372</v>
      </c>
      <c r="E300" t="inlineStr">
        <is>
          <t>SEC</t>
        </is>
      </c>
    </row>
    <row r="301">
      <c r="A301" s="5">
        <f>HYPERLINK("https://finance.yahoo.com/quote/GRMN","GRMN")</f>
        <v/>
      </c>
      <c r="B301" t="inlineStr">
        <is>
          <t>GARMIN LTD</t>
        </is>
      </c>
      <c r="C301" t="inlineStr">
        <is>
          <t>NYSE</t>
        </is>
      </c>
      <c r="D301" t="n">
        <v>1121788</v>
      </c>
      <c r="E301" t="inlineStr">
        <is>
          <t>SEC</t>
        </is>
      </c>
    </row>
    <row r="302">
      <c r="A302" s="5">
        <f>HYPERLINK("https://finance.yahoo.com/quote/CRH","CRH")</f>
        <v/>
      </c>
      <c r="B302" t="inlineStr">
        <is>
          <t>CRH PUBLIC LTD CO</t>
        </is>
      </c>
      <c r="C302" t="inlineStr">
        <is>
          <t>NYSE</t>
        </is>
      </c>
      <c r="D302" t="n">
        <v>849395</v>
      </c>
      <c r="E302" t="inlineStr">
        <is>
          <t>SEC</t>
        </is>
      </c>
    </row>
    <row r="303">
      <c r="A303" s="5">
        <f>HYPERLINK("https://finance.yahoo.com/quote/PCAR","PCAR")</f>
        <v/>
      </c>
      <c r="B303" t="inlineStr">
        <is>
          <t>PACCAR INC</t>
        </is>
      </c>
      <c r="C303" t="inlineStr">
        <is>
          <t>Nasdaq</t>
        </is>
      </c>
      <c r="D303" t="n">
        <v>75362</v>
      </c>
      <c r="E303" t="inlineStr">
        <is>
          <t>SEC</t>
        </is>
      </c>
    </row>
    <row r="304">
      <c r="A304" s="5">
        <f>HYPERLINK("https://finance.yahoo.com/quote/MPWR","MPWR")</f>
        <v/>
      </c>
      <c r="B304" t="inlineStr">
        <is>
          <t>MONOLITHIC POWER SYSTEMS, INC.</t>
        </is>
      </c>
      <c r="C304" t="inlineStr">
        <is>
          <t>Nasdaq</t>
        </is>
      </c>
      <c r="D304" t="n">
        <v>1280452</v>
      </c>
      <c r="E304" t="inlineStr">
        <is>
          <t>SEC</t>
        </is>
      </c>
    </row>
    <row r="305">
      <c r="A305" s="5">
        <f>HYPERLINK("https://finance.yahoo.com/quote/DVN","DVN")</f>
        <v/>
      </c>
      <c r="B305" t="inlineStr">
        <is>
          <t>DEVON ENERGY CORP/DE</t>
        </is>
      </c>
      <c r="C305" t="inlineStr">
        <is>
          <t>NYSE</t>
        </is>
      </c>
      <c r="D305" t="n">
        <v>1090012</v>
      </c>
      <c r="E305" t="inlineStr">
        <is>
          <t>SEC</t>
        </is>
      </c>
    </row>
    <row r="306">
      <c r="A306" s="5">
        <f>HYPERLINK("https://finance.yahoo.com/quote/NKE","NKE")</f>
        <v/>
      </c>
      <c r="B306" t="inlineStr">
        <is>
          <t>NIKE, Inc.</t>
        </is>
      </c>
      <c r="C306" t="inlineStr">
        <is>
          <t>NYSE</t>
        </is>
      </c>
      <c r="D306" t="n">
        <v>320187</v>
      </c>
      <c r="E306" t="inlineStr">
        <is>
          <t>SEC</t>
        </is>
      </c>
    </row>
    <row r="307">
      <c r="A307" s="5">
        <f>HYPERLINK("https://finance.yahoo.com/quote/BKR","BKR")</f>
        <v/>
      </c>
      <c r="B307" t="inlineStr">
        <is>
          <t>Baker Hughes Co</t>
        </is>
      </c>
      <c r="C307" t="inlineStr">
        <is>
          <t>Nasdaq</t>
        </is>
      </c>
      <c r="D307" t="n">
        <v>1701605</v>
      </c>
      <c r="E307" t="inlineStr">
        <is>
          <t>SEC</t>
        </is>
      </c>
    </row>
    <row r="308">
      <c r="A308" s="5">
        <f>HYPERLINK("https://finance.yahoo.com/quote/AME","AME")</f>
        <v/>
      </c>
      <c r="B308" t="inlineStr">
        <is>
          <t>AMETEK INC/</t>
        </is>
      </c>
      <c r="C308" t="inlineStr">
        <is>
          <t>NYSE</t>
        </is>
      </c>
      <c r="D308" t="n">
        <v>1037868</v>
      </c>
      <c r="E308" t="inlineStr">
        <is>
          <t>SEC</t>
        </is>
      </c>
    </row>
    <row r="309">
      <c r="A309" s="5">
        <f>HYPERLINK("https://finance.yahoo.com/quote/WPM","WPM")</f>
        <v/>
      </c>
      <c r="B309" t="inlineStr">
        <is>
          <t>Wheaton Precious Metals Corp.</t>
        </is>
      </c>
      <c r="C309" t="inlineStr">
        <is>
          <t>NYSE</t>
        </is>
      </c>
      <c r="D309" t="n">
        <v>1323404</v>
      </c>
      <c r="E309" t="inlineStr">
        <is>
          <t>SEC</t>
        </is>
      </c>
    </row>
    <row r="310">
      <c r="A310" s="5">
        <f>HYPERLINK("https://finance.yahoo.com/quote/SRE","SRE")</f>
        <v/>
      </c>
      <c r="B310" t="inlineStr">
        <is>
          <t>SEMPRA</t>
        </is>
      </c>
      <c r="C310" t="inlineStr">
        <is>
          <t>NYSE</t>
        </is>
      </c>
      <c r="D310" t="n">
        <v>1032208</v>
      </c>
      <c r="E310" t="inlineStr">
        <is>
          <t>SEC</t>
        </is>
      </c>
    </row>
    <row r="311">
      <c r="A311" s="5">
        <f>HYPERLINK("https://finance.yahoo.com/quote/ARGX","ARGX")</f>
        <v/>
      </c>
      <c r="B311" t="inlineStr">
        <is>
          <t>ARGENX SE</t>
        </is>
      </c>
      <c r="C311" t="inlineStr">
        <is>
          <t>Nasdaq</t>
        </is>
      </c>
      <c r="D311" t="n">
        <v>1697862</v>
      </c>
      <c r="E311" t="inlineStr">
        <is>
          <t>SEC</t>
        </is>
      </c>
    </row>
    <row r="312">
      <c r="A312" s="5">
        <f>HYPERLINK("https://finance.yahoo.com/quote/BDX","BDX")</f>
        <v/>
      </c>
      <c r="B312" t="inlineStr">
        <is>
          <t>BECTON DICKINSON &amp; CO</t>
        </is>
      </c>
      <c r="C312" t="inlineStr">
        <is>
          <t>NYSE</t>
        </is>
      </c>
      <c r="D312" t="n">
        <v>10795</v>
      </c>
      <c r="E312" t="inlineStr">
        <is>
          <t>SEC</t>
        </is>
      </c>
    </row>
    <row r="313">
      <c r="A313" s="5">
        <f>HYPERLINK("https://finance.yahoo.com/quote/EONGY","EONGY")</f>
        <v/>
      </c>
      <c r="B313" t="inlineStr">
        <is>
          <t>E.ON SE</t>
        </is>
      </c>
      <c r="C313" t="inlineStr">
        <is>
          <t>OTC</t>
        </is>
      </c>
      <c r="D313" t="n">
        <v>1136808</v>
      </c>
      <c r="E313" t="inlineStr">
        <is>
          <t>SEC</t>
        </is>
      </c>
    </row>
    <row r="314">
      <c r="A314" s="5">
        <f>HYPERLINK("https://finance.yahoo.com/quote/KEYS","KEYS")</f>
        <v/>
      </c>
      <c r="B314" t="inlineStr">
        <is>
          <t>Keysight Technologies, Inc.</t>
        </is>
      </c>
      <c r="C314" t="inlineStr">
        <is>
          <t>NYSE</t>
        </is>
      </c>
      <c r="D314" t="n">
        <v>1601046</v>
      </c>
      <c r="E314" t="inlineStr">
        <is>
          <t>SEC</t>
        </is>
      </c>
    </row>
    <row r="315">
      <c r="A315" s="5">
        <f>HYPERLINK("https://finance.yahoo.com/quote/GALDY","GALDY")</f>
        <v/>
      </c>
      <c r="B315" t="inlineStr">
        <is>
          <t>Galderma Group AG/ADR</t>
        </is>
      </c>
      <c r="C315" t="inlineStr">
        <is>
          <t>OTC</t>
        </is>
      </c>
      <c r="D315" t="n">
        <v>2021390</v>
      </c>
      <c r="E315" t="inlineStr">
        <is>
          <t>SEC</t>
        </is>
      </c>
    </row>
    <row r="316">
      <c r="A316" s="5">
        <f>HYPERLINK("https://finance.yahoo.com/quote/EBAY","EBAY")</f>
        <v/>
      </c>
      <c r="B316" t="inlineStr">
        <is>
          <t>EBAY INC</t>
        </is>
      </c>
      <c r="C316" t="inlineStr">
        <is>
          <t>Nasdaq</t>
        </is>
      </c>
      <c r="D316" t="n">
        <v>1065088</v>
      </c>
      <c r="E316" t="inlineStr">
        <is>
          <t>SEC</t>
        </is>
      </c>
    </row>
    <row r="317">
      <c r="A317" s="5">
        <f>HYPERLINK("https://finance.yahoo.com/quote/O","O")</f>
        <v/>
      </c>
      <c r="B317" t="inlineStr">
        <is>
          <t>REALTY INCOME CORP</t>
        </is>
      </c>
      <c r="C317" t="inlineStr">
        <is>
          <t>NYSE</t>
        </is>
      </c>
      <c r="D317" t="n">
        <v>726728</v>
      </c>
      <c r="E317" t="inlineStr">
        <is>
          <t>SEC</t>
        </is>
      </c>
    </row>
    <row r="318">
      <c r="A318" s="5">
        <f>HYPERLINK("https://finance.yahoo.com/quote/TRI","TRI")</f>
        <v/>
      </c>
      <c r="B318" t="inlineStr">
        <is>
          <t>THOMSON REUTERS CORP /CAN/</t>
        </is>
      </c>
      <c r="C318" t="inlineStr">
        <is>
          <t>Nasdaq</t>
        </is>
      </c>
      <c r="D318" t="n">
        <v>1075124</v>
      </c>
      <c r="E318" t="inlineStr">
        <is>
          <t>SEC</t>
        </is>
      </c>
    </row>
    <row r="319">
      <c r="A319" s="5">
        <f>HYPERLINK("https://finance.yahoo.com/quote/DEO","DEO")</f>
        <v/>
      </c>
      <c r="B319" t="inlineStr">
        <is>
          <t>DIAGEO PLC</t>
        </is>
      </c>
      <c r="C319" t="inlineStr">
        <is>
          <t>NYSE</t>
        </is>
      </c>
      <c r="D319" t="n">
        <v>835403</v>
      </c>
      <c r="E319" t="inlineStr">
        <is>
          <t>SEC</t>
        </is>
      </c>
    </row>
    <row r="320">
      <c r="A320" s="5">
        <f>HYPERLINK("https://finance.yahoo.com/quote/ADSK","ADSK")</f>
        <v/>
      </c>
      <c r="B320" t="inlineStr">
        <is>
          <t>Autodesk, Inc.</t>
        </is>
      </c>
      <c r="C320" t="inlineStr">
        <is>
          <t>Nasdaq</t>
        </is>
      </c>
      <c r="D320" t="n">
        <v>769397</v>
      </c>
      <c r="E320" t="inlineStr">
        <is>
          <t>SEC</t>
        </is>
      </c>
    </row>
    <row r="321">
      <c r="A321" s="5">
        <f>HYPERLINK("https://finance.yahoo.com/quote/VALE","VALE")</f>
        <v/>
      </c>
      <c r="B321" t="inlineStr">
        <is>
          <t>Vale S.A.</t>
        </is>
      </c>
      <c r="C321" t="inlineStr">
        <is>
          <t>NYSE</t>
        </is>
      </c>
      <c r="D321" t="n">
        <v>917851</v>
      </c>
      <c r="E321" t="inlineStr">
        <is>
          <t>SEC</t>
        </is>
      </c>
    </row>
    <row r="322">
      <c r="A322" s="5">
        <f>HYPERLINK("https://finance.yahoo.com/quote/HONA","HONA")</f>
        <v/>
      </c>
      <c r="B322" t="inlineStr">
        <is>
          <t>Honeywell Aerospace Inc.</t>
        </is>
      </c>
      <c r="C322" t="inlineStr">
        <is>
          <t>Nasdaq</t>
        </is>
      </c>
      <c r="D322" t="n">
        <v>2089271</v>
      </c>
      <c r="E322" t="inlineStr">
        <is>
          <t>SEC</t>
        </is>
      </c>
    </row>
    <row r="323">
      <c r="A323" s="5">
        <f>HYPERLINK("https://finance.yahoo.com/quote/VEEV","VEEV")</f>
        <v/>
      </c>
      <c r="B323" t="inlineStr">
        <is>
          <t>VEEVA SYSTEMS INC</t>
        </is>
      </c>
      <c r="C323" t="inlineStr">
        <is>
          <t>NYSE</t>
        </is>
      </c>
      <c r="D323" t="n">
        <v>1393052</v>
      </c>
      <c r="E323" t="inlineStr">
        <is>
          <t>SEC</t>
        </is>
      </c>
    </row>
    <row r="324">
      <c r="A324" s="5">
        <f>HYPERLINK("https://finance.yahoo.com/quote/SMMNY","SMMNY")</f>
        <v/>
      </c>
      <c r="B324" t="inlineStr">
        <is>
          <t>Siemens Healthineers AG/ADR</t>
        </is>
      </c>
      <c r="C324" t="inlineStr">
        <is>
          <t>OTC</t>
        </is>
      </c>
      <c r="D324" t="n">
        <v>1738519</v>
      </c>
      <c r="E324" t="inlineStr">
        <is>
          <t>SEC</t>
        </is>
      </c>
    </row>
    <row r="325">
      <c r="A325" s="5">
        <f>HYPERLINK("https://finance.yahoo.com/quote/AZO","AZO")</f>
        <v/>
      </c>
      <c r="B325" t="inlineStr">
        <is>
          <t>AUTOZONE INC</t>
        </is>
      </c>
      <c r="C325" t="inlineStr">
        <is>
          <t>NYSE</t>
        </is>
      </c>
      <c r="D325" t="n">
        <v>866787</v>
      </c>
      <c r="E325" t="inlineStr">
        <is>
          <t>SEC</t>
        </is>
      </c>
    </row>
    <row r="326">
      <c r="A326" s="5">
        <f>HYPERLINK("https://finance.yahoo.com/quote/EW","EW")</f>
        <v/>
      </c>
      <c r="B326" t="inlineStr">
        <is>
          <t>Edwards Lifesciences Corp</t>
        </is>
      </c>
      <c r="C326" t="inlineStr">
        <is>
          <t>NYSE</t>
        </is>
      </c>
      <c r="D326" t="n">
        <v>1099800</v>
      </c>
      <c r="E326" t="inlineStr">
        <is>
          <t>SEC</t>
        </is>
      </c>
    </row>
    <row r="327">
      <c r="A327" s="5">
        <f>HYPERLINK("https://finance.yahoo.com/quote/ETR","ETR")</f>
        <v/>
      </c>
      <c r="B327" t="inlineStr">
        <is>
          <t>ENTERGY CORP /DE/</t>
        </is>
      </c>
      <c r="C327" t="inlineStr">
        <is>
          <t>NYSE</t>
        </is>
      </c>
      <c r="D327" t="n">
        <v>65984</v>
      </c>
      <c r="E327" t="inlineStr">
        <is>
          <t>SEC</t>
        </is>
      </c>
    </row>
    <row r="328">
      <c r="A328" s="5">
        <f>HYPERLINK("https://finance.yahoo.com/quote/ABEV","ABEV")</f>
        <v/>
      </c>
      <c r="B328" t="inlineStr">
        <is>
          <t>AMBEV S.A.</t>
        </is>
      </c>
      <c r="C328" t="inlineStr">
        <is>
          <t>NYSE</t>
        </is>
      </c>
      <c r="D328" t="n">
        <v>1565025</v>
      </c>
      <c r="E328" t="inlineStr">
        <is>
          <t>SEC</t>
        </is>
      </c>
    </row>
    <row r="329">
      <c r="A329" s="5">
        <f>HYPERLINK("https://finance.yahoo.com/quote/HUM","HUM")</f>
        <v/>
      </c>
      <c r="B329" t="inlineStr">
        <is>
          <t>HUMANA INC</t>
        </is>
      </c>
      <c r="C329" t="inlineStr">
        <is>
          <t>NYSE</t>
        </is>
      </c>
      <c r="D329" t="n">
        <v>49071</v>
      </c>
      <c r="E329" t="inlineStr">
        <is>
          <t>SEC</t>
        </is>
      </c>
    </row>
    <row r="330">
      <c r="A330" s="5">
        <f>HYPERLINK("https://finance.yahoo.com/quote/WDAY","WDAY")</f>
        <v/>
      </c>
      <c r="B330" t="inlineStr">
        <is>
          <t>Workday, Inc.</t>
        </is>
      </c>
      <c r="C330" t="inlineStr">
        <is>
          <t>Nasdaq</t>
        </is>
      </c>
      <c r="D330" t="n">
        <v>1327811</v>
      </c>
      <c r="E330" t="inlineStr">
        <is>
          <t>SEC</t>
        </is>
      </c>
    </row>
    <row r="331">
      <c r="A331" s="5">
        <f>HYPERLINK("https://finance.yahoo.com/quote/DAL","DAL")</f>
        <v/>
      </c>
      <c r="B331" t="inlineStr">
        <is>
          <t>DELTA AIR LINES, INC.</t>
        </is>
      </c>
      <c r="C331" t="inlineStr">
        <is>
          <t>NYSE</t>
        </is>
      </c>
      <c r="D331" t="n">
        <v>27904</v>
      </c>
      <c r="E331" t="inlineStr">
        <is>
          <t>SEC</t>
        </is>
      </c>
    </row>
    <row r="332">
      <c r="A332" s="5">
        <f>HYPERLINK("https://finance.yahoo.com/quote/INFY","INFY")</f>
        <v/>
      </c>
      <c r="B332" t="inlineStr">
        <is>
          <t>Infosys Ltd</t>
        </is>
      </c>
      <c r="C332" t="inlineStr">
        <is>
          <t>NYSE</t>
        </is>
      </c>
      <c r="D332" t="n">
        <v>1067491</v>
      </c>
      <c r="E332" t="inlineStr">
        <is>
          <t>SEC</t>
        </is>
      </c>
    </row>
    <row r="333">
      <c r="A333" s="5">
        <f>HYPERLINK("https://finance.yahoo.com/quote/VYLR","VYLR")</f>
        <v/>
      </c>
      <c r="B333" t="inlineStr">
        <is>
          <t>Vylor Inc.</t>
        </is>
      </c>
      <c r="C333" t="inlineStr">
        <is>
          <t>NYSE</t>
        </is>
      </c>
      <c r="D333" t="n">
        <v>2128626</v>
      </c>
      <c r="E333" t="inlineStr">
        <is>
          <t>SEC</t>
        </is>
      </c>
    </row>
    <row r="334">
      <c r="A334" s="5">
        <f>HYPERLINK("https://finance.yahoo.com/quote/TER","TER")</f>
        <v/>
      </c>
      <c r="B334" t="inlineStr">
        <is>
          <t>TERADYNE, INC</t>
        </is>
      </c>
      <c r="C334" t="inlineStr">
        <is>
          <t>Nasdaq</t>
        </is>
      </c>
      <c r="D334" t="n">
        <v>97210</v>
      </c>
      <c r="E334" t="inlineStr">
        <is>
          <t>SEC</t>
        </is>
      </c>
    </row>
    <row r="335">
      <c r="A335" s="5">
        <f>HYPERLINK("https://finance.yahoo.com/quote/PYPL","PYPL")</f>
        <v/>
      </c>
      <c r="B335" t="inlineStr">
        <is>
          <t>PayPal Holdings, Inc.</t>
        </is>
      </c>
      <c r="C335" t="inlineStr">
        <is>
          <t>Nasdaq</t>
        </is>
      </c>
      <c r="D335" t="n">
        <v>1633917</v>
      </c>
      <c r="E335" t="inlineStr">
        <is>
          <t>SEC</t>
        </is>
      </c>
    </row>
    <row r="336">
      <c r="A336" s="5">
        <f>HYPERLINK("https://finance.yahoo.com/quote/VMRK","VMRK")</f>
        <v/>
      </c>
      <c r="B336" t="inlineStr">
        <is>
          <t>VIVMARK RESIDENTIAL</t>
        </is>
      </c>
      <c r="C336" t="inlineStr">
        <is>
          <t>NYSE</t>
        </is>
      </c>
      <c r="D336" t="n">
        <v>906107</v>
      </c>
      <c r="E336" t="inlineStr">
        <is>
          <t>SEC</t>
        </is>
      </c>
    </row>
    <row r="337">
      <c r="A337" s="5">
        <f>HYPERLINK("https://finance.yahoo.com/quote/CCEP","CCEP")</f>
        <v/>
      </c>
      <c r="B337" t="inlineStr">
        <is>
          <t>COCA-COLA EUROPACIFIC PARTNERS plc</t>
        </is>
      </c>
      <c r="C337" t="inlineStr">
        <is>
          <t>Nasdaq</t>
        </is>
      </c>
      <c r="D337" t="n">
        <v>1650107</v>
      </c>
      <c r="E337" t="inlineStr">
        <is>
          <t>SEC</t>
        </is>
      </c>
    </row>
    <row r="338">
      <c r="A338" s="5">
        <f>HYPERLINK("https://finance.yahoo.com/quote/XEL","XEL")</f>
        <v/>
      </c>
      <c r="B338" t="inlineStr">
        <is>
          <t>XCEL ENERGY INC</t>
        </is>
      </c>
      <c r="C338" t="inlineStr">
        <is>
          <t>Nasdaq</t>
        </is>
      </c>
      <c r="D338" t="n">
        <v>72903</v>
      </c>
      <c r="E338" t="inlineStr">
        <is>
          <t>SEC</t>
        </is>
      </c>
    </row>
    <row r="339">
      <c r="A339" s="5">
        <f>HYPERLINK("https://finance.yahoo.com/quote/A","A")</f>
        <v/>
      </c>
      <c r="B339" t="inlineStr">
        <is>
          <t>AGILENT TECHNOLOGIES, INC.</t>
        </is>
      </c>
      <c r="C339" t="inlineStr">
        <is>
          <t>NYSE</t>
        </is>
      </c>
      <c r="D339" t="n">
        <v>1090872</v>
      </c>
      <c r="E339" t="inlineStr">
        <is>
          <t>SEC</t>
        </is>
      </c>
    </row>
    <row r="340">
      <c r="A340" s="5">
        <f>HYPERLINK("https://finance.yahoo.com/quote/FITB","FITB")</f>
        <v/>
      </c>
      <c r="B340" t="inlineStr">
        <is>
          <t>FIFTH THIRD BANCORP</t>
        </is>
      </c>
      <c r="C340" t="inlineStr">
        <is>
          <t>NYSE</t>
        </is>
      </c>
      <c r="D340" t="n">
        <v>35527</v>
      </c>
      <c r="E340" t="inlineStr">
        <is>
          <t>SEC</t>
        </is>
      </c>
    </row>
    <row r="341">
      <c r="A341" s="5">
        <f>HYPERLINK("https://finance.yahoo.com/quote/ROK","ROK")</f>
        <v/>
      </c>
      <c r="B341" t="inlineStr">
        <is>
          <t>ROCKWELL AUTOMATION, INC</t>
        </is>
      </c>
      <c r="C341" t="inlineStr">
        <is>
          <t>NYSE</t>
        </is>
      </c>
      <c r="D341" t="n">
        <v>1024478</v>
      </c>
      <c r="E341" t="inlineStr">
        <is>
          <t>SEC</t>
        </is>
      </c>
    </row>
    <row r="342">
      <c r="A342" s="5">
        <f>HYPERLINK("https://finance.yahoo.com/quote/KDP","KDP")</f>
        <v/>
      </c>
      <c r="B342" t="inlineStr">
        <is>
          <t>Keurig Dr Pepper Inc.</t>
        </is>
      </c>
      <c r="C342" t="inlineStr">
        <is>
          <t>Nasdaq</t>
        </is>
      </c>
      <c r="D342" t="n">
        <v>1418135</v>
      </c>
      <c r="E342" t="inlineStr">
        <is>
          <t>SEC</t>
        </is>
      </c>
    </row>
    <row r="343">
      <c r="A343" s="5">
        <f>HYPERLINK("https://finance.yahoo.com/quote/UMC","UMC")</f>
        <v/>
      </c>
      <c r="B343" t="inlineStr">
        <is>
          <t>UNITED MICROELECTRONICS CORP</t>
        </is>
      </c>
      <c r="C343" t="inlineStr">
        <is>
          <t>NYSE</t>
        </is>
      </c>
      <c r="D343" t="n">
        <v>1033767</v>
      </c>
      <c r="E343" t="inlineStr">
        <is>
          <t>SEC</t>
        </is>
      </c>
    </row>
    <row r="344">
      <c r="A344" s="5">
        <f>HYPERLINK("https://finance.yahoo.com/quote/LHX","LHX")</f>
        <v/>
      </c>
      <c r="B344" t="inlineStr">
        <is>
          <t>L3HARRIS TECHNOLOGIES, INC. /DE/</t>
        </is>
      </c>
      <c r="C344" t="inlineStr">
        <is>
          <t>NYSE</t>
        </is>
      </c>
      <c r="D344" t="n">
        <v>202058</v>
      </c>
      <c r="E344" t="inlineStr">
        <is>
          <t>SEC</t>
        </is>
      </c>
    </row>
    <row r="345">
      <c r="A345" s="5">
        <f>HYPERLINK("https://finance.yahoo.com/quote/RBGLY","RBGLY")</f>
        <v/>
      </c>
      <c r="B345" t="inlineStr">
        <is>
          <t>RECKITT BENCKISER GROUP PLC</t>
        </is>
      </c>
      <c r="C345" t="inlineStr">
        <is>
          <t>OTC</t>
        </is>
      </c>
      <c r="D345" t="n">
        <v>1420798</v>
      </c>
      <c r="E345" t="inlineStr">
        <is>
          <t>SEC</t>
        </is>
      </c>
    </row>
    <row r="346">
      <c r="A346" s="5">
        <f>HYPERLINK("https://finance.yahoo.com/quote/VST","VST")</f>
        <v/>
      </c>
      <c r="B346" t="inlineStr">
        <is>
          <t>Vistra Corp.</t>
        </is>
      </c>
      <c r="C346" t="inlineStr">
        <is>
          <t>NYSE</t>
        </is>
      </c>
      <c r="D346" t="n">
        <v>1692819</v>
      </c>
      <c r="E346" t="inlineStr">
        <is>
          <t>SEC</t>
        </is>
      </c>
    </row>
    <row r="347">
      <c r="A347" s="5">
        <f>HYPERLINK("https://finance.yahoo.com/quote/WCN","WCN")</f>
        <v/>
      </c>
      <c r="B347" t="inlineStr">
        <is>
          <t>Waste Connections, Inc.</t>
        </is>
      </c>
      <c r="C347" t="inlineStr">
        <is>
          <t>NYSE</t>
        </is>
      </c>
      <c r="D347" t="n">
        <v>1318220</v>
      </c>
      <c r="E347" t="inlineStr">
        <is>
          <t>SEC</t>
        </is>
      </c>
    </row>
    <row r="348">
      <c r="A348" s="5">
        <f>HYPERLINK("https://finance.yahoo.com/quote/CARR","CARR")</f>
        <v/>
      </c>
      <c r="B348" t="inlineStr">
        <is>
          <t>CARRIER GLOBAL Corp</t>
        </is>
      </c>
      <c r="C348" t="inlineStr">
        <is>
          <t>NYSE</t>
        </is>
      </c>
      <c r="D348" t="n">
        <v>1783180</v>
      </c>
      <c r="E348" t="inlineStr">
        <is>
          <t>SEC</t>
        </is>
      </c>
    </row>
    <row r="349">
      <c r="A349" s="5">
        <f>HYPERLINK("https://finance.yahoo.com/quote/STT","STT")</f>
        <v/>
      </c>
      <c r="B349" t="inlineStr">
        <is>
          <t>STATE STREET CORP</t>
        </is>
      </c>
      <c r="C349" t="inlineStr">
        <is>
          <t>NYSE</t>
        </is>
      </c>
      <c r="D349" t="n">
        <v>93751</v>
      </c>
      <c r="E349" t="inlineStr">
        <is>
          <t>SEC</t>
        </is>
      </c>
    </row>
    <row r="350">
      <c r="A350" s="5">
        <f>HYPERLINK("https://finance.yahoo.com/quote/F","F")</f>
        <v/>
      </c>
      <c r="B350" t="inlineStr">
        <is>
          <t>FORD MOTOR CO</t>
        </is>
      </c>
      <c r="C350" t="inlineStr">
        <is>
          <t>NYSE</t>
        </is>
      </c>
      <c r="D350" t="n">
        <v>37996</v>
      </c>
      <c r="E350" t="inlineStr">
        <is>
          <t>SEC</t>
        </is>
      </c>
    </row>
    <row r="351">
      <c r="A351" s="5">
        <f>HYPERLINK("https://finance.yahoo.com/quote/SE","SE")</f>
        <v/>
      </c>
      <c r="B351" t="inlineStr">
        <is>
          <t>Sea Ltd</t>
        </is>
      </c>
      <c r="C351" t="inlineStr">
        <is>
          <t>NYSE</t>
        </is>
      </c>
      <c r="D351" t="n">
        <v>1703399</v>
      </c>
      <c r="E351" t="inlineStr">
        <is>
          <t>SEC</t>
        </is>
      </c>
    </row>
    <row r="352">
      <c r="A352" s="5">
        <f>HYPERLINK("https://finance.yahoo.com/quote/WAB","WAB")</f>
        <v/>
      </c>
      <c r="B352" t="inlineStr">
        <is>
          <t>WESTINGHOUSE AIR BRAKE TECHNOLOGIES CORP</t>
        </is>
      </c>
      <c r="C352" t="inlineStr">
        <is>
          <t>NYSE</t>
        </is>
      </c>
      <c r="D352" t="n">
        <v>943452</v>
      </c>
      <c r="E352" t="inlineStr">
        <is>
          <t>SEC</t>
        </is>
      </c>
    </row>
    <row r="353">
      <c r="A353" s="5">
        <f>HYPERLINK("https://finance.yahoo.com/quote/TEVA","TEVA")</f>
        <v/>
      </c>
      <c r="B353" t="inlineStr">
        <is>
          <t>TEVA PHARMACEUTICAL INDUSTRIES LTD</t>
        </is>
      </c>
      <c r="C353" t="inlineStr">
        <is>
          <t>NYSE</t>
        </is>
      </c>
      <c r="D353" t="n">
        <v>818686</v>
      </c>
      <c r="E353" t="inlineStr">
        <is>
          <t>SEC</t>
        </is>
      </c>
    </row>
    <row r="354">
      <c r="A354" s="5">
        <f>HYPERLINK("https://finance.yahoo.com/quote/XYZ","XYZ")</f>
        <v/>
      </c>
      <c r="B354" t="inlineStr">
        <is>
          <t>Block, Inc.</t>
        </is>
      </c>
      <c r="C354" t="inlineStr">
        <is>
          <t>NYSE</t>
        </is>
      </c>
      <c r="D354" t="n">
        <v>1512673</v>
      </c>
      <c r="E354" t="inlineStr">
        <is>
          <t>SEC</t>
        </is>
      </c>
    </row>
    <row r="355">
      <c r="A355" s="5">
        <f>HYPERLINK("https://finance.yahoo.com/quote/MDLN","MDLN")</f>
        <v/>
      </c>
      <c r="B355" t="inlineStr">
        <is>
          <t>Medline Inc.</t>
        </is>
      </c>
      <c r="C355" t="inlineStr">
        <is>
          <t>Nasdaq</t>
        </is>
      </c>
      <c r="D355" t="n">
        <v>2046386</v>
      </c>
      <c r="E355" t="inlineStr">
        <is>
          <t>SEC</t>
        </is>
      </c>
    </row>
    <row r="356">
      <c r="A356" s="5">
        <f>HYPERLINK("https://finance.yahoo.com/quote/CIEN","CIEN")</f>
        <v/>
      </c>
      <c r="B356" t="inlineStr">
        <is>
          <t>CIENA CORP</t>
        </is>
      </c>
      <c r="C356" t="inlineStr">
        <is>
          <t>NYSE</t>
        </is>
      </c>
      <c r="D356" t="n">
        <v>936395</v>
      </c>
      <c r="E356" t="inlineStr">
        <is>
          <t>SEC</t>
        </is>
      </c>
    </row>
    <row r="357">
      <c r="A357" s="5">
        <f>HYPERLINK("https://finance.yahoo.com/quote/IQV","IQV")</f>
        <v/>
      </c>
      <c r="B357" t="inlineStr">
        <is>
          <t>IQVIA HOLDINGS INC.</t>
        </is>
      </c>
      <c r="C357" t="inlineStr">
        <is>
          <t>NYSE</t>
        </is>
      </c>
      <c r="D357" t="n">
        <v>1478242</v>
      </c>
      <c r="E357" t="inlineStr">
        <is>
          <t>SEC</t>
        </is>
      </c>
    </row>
    <row r="358">
      <c r="A358" s="5">
        <f>HYPERLINK("https://finance.yahoo.com/quote/EXC","EXC")</f>
        <v/>
      </c>
      <c r="B358" t="inlineStr">
        <is>
          <t>EXELON CORP</t>
        </is>
      </c>
      <c r="C358" t="inlineStr">
        <is>
          <t>Nasdaq</t>
        </is>
      </c>
      <c r="D358" t="n">
        <v>1109357</v>
      </c>
      <c r="E358" t="inlineStr">
        <is>
          <t>SEC</t>
        </is>
      </c>
    </row>
    <row r="359">
      <c r="A359" s="5">
        <f>HYPERLINK("https://finance.yahoo.com/quote/NOK","NOK")</f>
        <v/>
      </c>
      <c r="B359" t="inlineStr">
        <is>
          <t>NOKIA CORP</t>
        </is>
      </c>
      <c r="C359" t="inlineStr">
        <is>
          <t>NYSE</t>
        </is>
      </c>
      <c r="D359" t="n">
        <v>924613</v>
      </c>
      <c r="E359" t="inlineStr">
        <is>
          <t>SEC</t>
        </is>
      </c>
    </row>
    <row r="360">
      <c r="A360" s="5">
        <f>HYPERLINK("https://finance.yahoo.com/quote/BBD","BBD")</f>
        <v/>
      </c>
      <c r="B360" t="inlineStr">
        <is>
          <t>BANK BRADESCO</t>
        </is>
      </c>
      <c r="C360" t="inlineStr">
        <is>
          <t>NYSE</t>
        </is>
      </c>
      <c r="D360" t="n">
        <v>1160330</v>
      </c>
      <c r="E360" t="inlineStr">
        <is>
          <t>SEC</t>
        </is>
      </c>
    </row>
    <row r="361">
      <c r="A361" s="5">
        <f>HYPERLINK("https://finance.yahoo.com/quote/HLN","HLN")</f>
        <v/>
      </c>
      <c r="B361" t="inlineStr">
        <is>
          <t>Haleon plc</t>
        </is>
      </c>
      <c r="C361" t="inlineStr">
        <is>
          <t>NYSE</t>
        </is>
      </c>
      <c r="D361" t="n">
        <v>1900304</v>
      </c>
      <c r="E361" t="inlineStr">
        <is>
          <t>SEC</t>
        </is>
      </c>
    </row>
    <row r="362">
      <c r="A362" s="5">
        <f>HYPERLINK("https://finance.yahoo.com/quote/ALAB","ALAB")</f>
        <v/>
      </c>
      <c r="B362" t="inlineStr">
        <is>
          <t>Astera Labs, Inc.</t>
        </is>
      </c>
      <c r="C362" t="inlineStr">
        <is>
          <t>Nasdaq</t>
        </is>
      </c>
      <c r="D362" t="n">
        <v>1736297</v>
      </c>
      <c r="E362" t="inlineStr">
        <is>
          <t>SEC</t>
        </is>
      </c>
    </row>
    <row r="363">
      <c r="A363" s="5">
        <f>HYPERLINK("https://finance.yahoo.com/quote/MT","MT")</f>
        <v/>
      </c>
      <c r="B363" t="inlineStr">
        <is>
          <t>ArcelorMittal</t>
        </is>
      </c>
      <c r="C363" t="inlineStr">
        <is>
          <t>NYSE</t>
        </is>
      </c>
      <c r="D363" t="n">
        <v>1243429</v>
      </c>
      <c r="E363" t="inlineStr">
        <is>
          <t>SEC</t>
        </is>
      </c>
    </row>
    <row r="364">
      <c r="A364" s="5">
        <f>HYPERLINK("https://finance.yahoo.com/quote/MSCI","MSCI")</f>
        <v/>
      </c>
      <c r="B364" t="inlineStr">
        <is>
          <t>MSCI Inc.</t>
        </is>
      </c>
      <c r="C364" t="inlineStr">
        <is>
          <t>NYSE</t>
        </is>
      </c>
      <c r="D364" t="n">
        <v>1408198</v>
      </c>
      <c r="E364" t="inlineStr">
        <is>
          <t>SEC</t>
        </is>
      </c>
    </row>
    <row r="365">
      <c r="A365" s="5">
        <f>HYPERLINK("https://finance.yahoo.com/quote/FNV","FNV")</f>
        <v/>
      </c>
      <c r="B365" t="inlineStr">
        <is>
          <t>FRANCO NEVADA Corp</t>
        </is>
      </c>
      <c r="C365" t="inlineStr">
        <is>
          <t>NYSE</t>
        </is>
      </c>
      <c r="D365" t="n">
        <v>1456346</v>
      </c>
      <c r="E365" t="inlineStr">
        <is>
          <t>SEC</t>
        </is>
      </c>
    </row>
    <row r="366">
      <c r="A366" s="5">
        <f>HYPERLINK("https://finance.yahoo.com/quote/WAT","WAT")</f>
        <v/>
      </c>
      <c r="B366" t="inlineStr">
        <is>
          <t>WATERS CORP /DE/</t>
        </is>
      </c>
      <c r="C366" t="inlineStr">
        <is>
          <t>NYSE</t>
        </is>
      </c>
      <c r="D366" t="n">
        <v>1000697</v>
      </c>
      <c r="E366" t="inlineStr">
        <is>
          <t>SEC</t>
        </is>
      </c>
    </row>
    <row r="367">
      <c r="A367" s="5">
        <f>HYPERLINK("https://finance.yahoo.com/quote/VTR","VTR")</f>
        <v/>
      </c>
      <c r="B367" t="inlineStr">
        <is>
          <t>Ventas, Inc.</t>
        </is>
      </c>
      <c r="C367" t="inlineStr">
        <is>
          <t>NYSE</t>
        </is>
      </c>
      <c r="D367" t="n">
        <v>740260</v>
      </c>
      <c r="E367" t="inlineStr">
        <is>
          <t>SEC</t>
        </is>
      </c>
    </row>
    <row r="368">
      <c r="A368" s="5">
        <f>HYPERLINK("https://finance.yahoo.com/quote/IDXX","IDXX")</f>
        <v/>
      </c>
      <c r="B368" t="inlineStr">
        <is>
          <t>IDEXX LABORATORIES INC /DE</t>
        </is>
      </c>
      <c r="C368" t="inlineStr">
        <is>
          <t>Nasdaq</t>
        </is>
      </c>
      <c r="D368" t="n">
        <v>874716</v>
      </c>
      <c r="E368" t="inlineStr">
        <is>
          <t>SEC</t>
        </is>
      </c>
    </row>
    <row r="369">
      <c r="A369" s="5">
        <f>HYPERLINK("https://finance.yahoo.com/quote/HMC","HMC")</f>
        <v/>
      </c>
      <c r="B369" t="inlineStr">
        <is>
          <t>HONDA MOTOR CO LTD</t>
        </is>
      </c>
      <c r="C369" t="inlineStr">
        <is>
          <t>NYSE</t>
        </is>
      </c>
      <c r="D369" t="n">
        <v>715153</v>
      </c>
      <c r="E369" t="inlineStr">
        <is>
          <t>SEC</t>
        </is>
      </c>
    </row>
    <row r="370">
      <c r="A370" s="5">
        <f>HYPERLINK("https://finance.yahoo.com/quote/SLF","SLF")</f>
        <v/>
      </c>
      <c r="B370" t="inlineStr">
        <is>
          <t>SUN LIFE FINANCIAL INC</t>
        </is>
      </c>
      <c r="C370" t="inlineStr">
        <is>
          <t>NYSE</t>
        </is>
      </c>
      <c r="D370" t="n">
        <v>1097362</v>
      </c>
      <c r="E370" t="inlineStr">
        <is>
          <t>SEC</t>
        </is>
      </c>
    </row>
    <row r="371">
      <c r="A371" s="5">
        <f>HYPERLINK("https://finance.yahoo.com/quote/FERG","FERG")</f>
        <v/>
      </c>
      <c r="B371" t="inlineStr">
        <is>
          <t>Ferguson Enterprises Inc. /DE/</t>
        </is>
      </c>
      <c r="C371" t="inlineStr">
        <is>
          <t>NYSE</t>
        </is>
      </c>
      <c r="D371" t="n">
        <v>2011641</v>
      </c>
      <c r="E371" t="inlineStr">
        <is>
          <t>SEC</t>
        </is>
      </c>
    </row>
    <row r="372">
      <c r="A372" s="5">
        <f>HYPERLINK("https://finance.yahoo.com/quote/FMX","FMX")</f>
        <v/>
      </c>
      <c r="B372" t="inlineStr">
        <is>
          <t>MEXICAN ECONOMIC DEVELOPMENT INC</t>
        </is>
      </c>
      <c r="C372" t="inlineStr">
        <is>
          <t>NYSE</t>
        </is>
      </c>
      <c r="D372" t="n">
        <v>1061736</v>
      </c>
      <c r="E372" t="inlineStr">
        <is>
          <t>SEC</t>
        </is>
      </c>
    </row>
    <row r="373">
      <c r="A373" s="5">
        <f>HYPERLINK("https://finance.yahoo.com/quote/COIN","COIN")</f>
        <v/>
      </c>
      <c r="B373" t="inlineStr">
        <is>
          <t>Coinbase Global, Inc.</t>
        </is>
      </c>
      <c r="C373" t="inlineStr">
        <is>
          <t>Nasdaq</t>
        </is>
      </c>
      <c r="D373" t="n">
        <v>1679788</v>
      </c>
      <c r="E373" t="inlineStr">
        <is>
          <t>SEC</t>
        </is>
      </c>
    </row>
    <row r="374">
      <c r="A374" s="5">
        <f>HYPERLINK("https://finance.yahoo.com/quote/NBIS","NBIS")</f>
        <v/>
      </c>
      <c r="B374" t="inlineStr">
        <is>
          <t>Nebius Group N.V.</t>
        </is>
      </c>
      <c r="C374" t="inlineStr">
        <is>
          <t>Nasdaq</t>
        </is>
      </c>
      <c r="D374" t="n">
        <v>1513845</v>
      </c>
      <c r="E374" t="inlineStr">
        <is>
          <t>SEC</t>
        </is>
      </c>
    </row>
    <row r="375">
      <c r="A375" s="5">
        <f>HYPERLINK("https://finance.yahoo.com/quote/AMP","AMP")</f>
        <v/>
      </c>
      <c r="B375" t="inlineStr">
        <is>
          <t>AMERIPRISE FINANCIAL INC</t>
        </is>
      </c>
      <c r="C375" t="inlineStr">
        <is>
          <t>NYSE</t>
        </is>
      </c>
      <c r="D375" t="n">
        <v>820027</v>
      </c>
      <c r="E375" t="inlineStr">
        <is>
          <t>SEC</t>
        </is>
      </c>
    </row>
    <row r="376">
      <c r="A376" s="5">
        <f>HYPERLINK("https://finance.yahoo.com/quote/SCMWY","SCMWY")</f>
        <v/>
      </c>
      <c r="B376" t="inlineStr">
        <is>
          <t>SWISSCOM AG</t>
        </is>
      </c>
      <c r="C376" t="inlineStr">
        <is>
          <t>OTC</t>
        </is>
      </c>
      <c r="D376" t="n">
        <v>1069336</v>
      </c>
      <c r="E376" t="inlineStr">
        <is>
          <t>SEC</t>
        </is>
      </c>
    </row>
    <row r="377">
      <c r="A377" s="5">
        <f>HYPERLINK("https://finance.yahoo.com/quote/TYHOY","TYHOY")</f>
        <v/>
      </c>
      <c r="B377" t="inlineStr">
        <is>
          <t>Toyota Tsusho Corporation/ADR</t>
        </is>
      </c>
      <c r="C377" t="inlineStr">
        <is>
          <t>OTC</t>
        </is>
      </c>
      <c r="D377" t="n">
        <v>2018139</v>
      </c>
      <c r="E377" t="inlineStr">
        <is>
          <t>SEC</t>
        </is>
      </c>
    </row>
    <row r="378">
      <c r="A378" s="5">
        <f>HYPERLINK("https://finance.yahoo.com/quote/ROP","ROP")</f>
        <v/>
      </c>
      <c r="B378" t="inlineStr">
        <is>
          <t>ROPER TECHNOLOGIES INC</t>
        </is>
      </c>
      <c r="C378" t="inlineStr">
        <is>
          <t>Nasdaq</t>
        </is>
      </c>
      <c r="D378" t="n">
        <v>882835</v>
      </c>
      <c r="E378" t="inlineStr">
        <is>
          <t>SEC</t>
        </is>
      </c>
    </row>
    <row r="379">
      <c r="A379" s="5">
        <f>HYPERLINK("https://finance.yahoo.com/quote/ONC","ONC")</f>
        <v/>
      </c>
      <c r="B379" t="inlineStr">
        <is>
          <t>BeOne Medicines Ltd.</t>
        </is>
      </c>
      <c r="C379" t="inlineStr">
        <is>
          <t>Nasdaq</t>
        </is>
      </c>
      <c r="D379" t="n">
        <v>1651308</v>
      </c>
      <c r="E379" t="inlineStr">
        <is>
          <t>SEC</t>
        </is>
      </c>
    </row>
    <row r="380">
      <c r="A380" s="5">
        <f>HYPERLINK("https://finance.yahoo.com/quote/AIG","AIG")</f>
        <v/>
      </c>
      <c r="B380" t="inlineStr">
        <is>
          <t>AMERICAN INTERNATIONAL GROUP, INC.</t>
        </is>
      </c>
      <c r="C380" t="inlineStr">
        <is>
          <t>NYSE</t>
        </is>
      </c>
      <c r="D380" t="n">
        <v>5272</v>
      </c>
      <c r="E380" t="inlineStr">
        <is>
          <t>SEC</t>
        </is>
      </c>
    </row>
    <row r="381">
      <c r="A381" s="5">
        <f>HYPERLINK("https://finance.yahoo.com/quote/ED","ED")</f>
        <v/>
      </c>
      <c r="B381" t="inlineStr">
        <is>
          <t>CONSOLIDATED EDISON INC</t>
        </is>
      </c>
      <c r="C381" t="inlineStr">
        <is>
          <t>NYSE</t>
        </is>
      </c>
      <c r="D381" t="n">
        <v>1047862</v>
      </c>
      <c r="E381" t="inlineStr">
        <is>
          <t>SEC</t>
        </is>
      </c>
    </row>
    <row r="382">
      <c r="A382" s="5">
        <f>HYPERLINK("https://finance.yahoo.com/quote/AU","AU")</f>
        <v/>
      </c>
      <c r="B382" t="inlineStr">
        <is>
          <t>AngloGold Ashanti PLC</t>
        </is>
      </c>
      <c r="C382" t="inlineStr">
        <is>
          <t>NYSE</t>
        </is>
      </c>
      <c r="D382" t="n">
        <v>1973832</v>
      </c>
      <c r="E382" t="inlineStr">
        <is>
          <t>SEC</t>
        </is>
      </c>
    </row>
    <row r="383">
      <c r="A383" s="5">
        <f>HYPERLINK("https://finance.yahoo.com/quote/NTAP","NTAP")</f>
        <v/>
      </c>
      <c r="B383" t="inlineStr">
        <is>
          <t>NetApp, Inc.</t>
        </is>
      </c>
      <c r="C383" t="inlineStr">
        <is>
          <t>Nasdaq</t>
        </is>
      </c>
      <c r="D383" t="n">
        <v>1002047</v>
      </c>
      <c r="E383" t="inlineStr">
        <is>
          <t>SEC</t>
        </is>
      </c>
    </row>
    <row r="384">
      <c r="A384" s="5">
        <f>HYPERLINK("https://finance.yahoo.com/quote/PAYX","PAYX")</f>
        <v/>
      </c>
      <c r="B384" t="inlineStr">
        <is>
          <t>PAYCHEX INC</t>
        </is>
      </c>
      <c r="C384" t="inlineStr">
        <is>
          <t>Nasdaq</t>
        </is>
      </c>
      <c r="D384" t="n">
        <v>723531</v>
      </c>
      <c r="E384" t="inlineStr">
        <is>
          <t>SEC</t>
        </is>
      </c>
    </row>
    <row r="385">
      <c r="A385" s="5">
        <f>HYPERLINK("https://finance.yahoo.com/quote/HEI","HEI")</f>
        <v/>
      </c>
      <c r="B385" t="inlineStr">
        <is>
          <t>HEICO CORP</t>
        </is>
      </c>
      <c r="C385" t="inlineStr">
        <is>
          <t>NYSE</t>
        </is>
      </c>
      <c r="D385" t="n">
        <v>46619</v>
      </c>
      <c r="E385" t="inlineStr">
        <is>
          <t>SEC</t>
        </is>
      </c>
    </row>
    <row r="386">
      <c r="A386" s="5">
        <f>HYPERLINK("https://finance.yahoo.com/quote/P","P")</f>
        <v/>
      </c>
      <c r="B386" t="inlineStr">
        <is>
          <t>Everpure, Inc.</t>
        </is>
      </c>
      <c r="C386" t="inlineStr">
        <is>
          <t>NYSE</t>
        </is>
      </c>
      <c r="D386" t="n">
        <v>1474432</v>
      </c>
      <c r="E386" t="inlineStr">
        <is>
          <t>SEC</t>
        </is>
      </c>
    </row>
    <row r="387">
      <c r="A387" s="5">
        <f>HYPERLINK("https://finance.yahoo.com/quote/ZS","ZS")</f>
        <v/>
      </c>
      <c r="B387" t="inlineStr">
        <is>
          <t>Zscaler, Inc.</t>
        </is>
      </c>
      <c r="C387" t="inlineStr">
        <is>
          <t>Nasdaq</t>
        </is>
      </c>
      <c r="D387" t="n">
        <v>1713683</v>
      </c>
      <c r="E387" t="inlineStr">
        <is>
          <t>SEC</t>
        </is>
      </c>
    </row>
    <row r="388">
      <c r="A388" s="5">
        <f>HYPERLINK("https://finance.yahoo.com/quote/COHR","COHR")</f>
        <v/>
      </c>
      <c r="B388" t="inlineStr">
        <is>
          <t>COHERENT CORP.</t>
        </is>
      </c>
      <c r="C388" t="inlineStr">
        <is>
          <t>NYSE</t>
        </is>
      </c>
      <c r="D388" t="n">
        <v>820318</v>
      </c>
      <c r="E388" t="inlineStr">
        <is>
          <t>SEC</t>
        </is>
      </c>
    </row>
    <row r="389">
      <c r="A389" s="5">
        <f>HYPERLINK("https://finance.yahoo.com/quote/DHI","DHI")</f>
        <v/>
      </c>
      <c r="B389" t="inlineStr">
        <is>
          <t>HORTON D R INC /DE/</t>
        </is>
      </c>
      <c r="C389" t="inlineStr">
        <is>
          <t>NYSE</t>
        </is>
      </c>
      <c r="D389" t="n">
        <v>882184</v>
      </c>
      <c r="E389" t="inlineStr">
        <is>
          <t>SEC</t>
        </is>
      </c>
    </row>
    <row r="390">
      <c r="A390" s="5">
        <f>HYPERLINK("https://finance.yahoo.com/quote/FIX","FIX")</f>
        <v/>
      </c>
      <c r="B390" t="inlineStr">
        <is>
          <t>COMFORT SYSTEMS USA INC</t>
        </is>
      </c>
      <c r="C390" t="inlineStr">
        <is>
          <t>NYSE</t>
        </is>
      </c>
      <c r="D390" t="n">
        <v>1035983</v>
      </c>
      <c r="E390" t="inlineStr">
        <is>
          <t>SEC</t>
        </is>
      </c>
    </row>
    <row r="391">
      <c r="A391" s="5">
        <f>HYPERLINK("https://finance.yahoo.com/quote/ILMN","ILMN")</f>
        <v/>
      </c>
      <c r="B391" t="inlineStr">
        <is>
          <t>ILLUMINA, INC.</t>
        </is>
      </c>
      <c r="C391" t="inlineStr">
        <is>
          <t>Nasdaq</t>
        </is>
      </c>
      <c r="D391" t="n">
        <v>1110803</v>
      </c>
      <c r="E391" t="inlineStr">
        <is>
          <t>SEC</t>
        </is>
      </c>
    </row>
    <row r="392">
      <c r="A392" s="5">
        <f>HYPERLINK("https://finance.yahoo.com/quote/YUM","YUM")</f>
        <v/>
      </c>
      <c r="B392" t="inlineStr">
        <is>
          <t>YUM BRANDS INC</t>
        </is>
      </c>
      <c r="C392" t="inlineStr">
        <is>
          <t>NYSE</t>
        </is>
      </c>
      <c r="D392" t="n">
        <v>1041061</v>
      </c>
      <c r="E392" t="inlineStr">
        <is>
          <t>SEC</t>
        </is>
      </c>
    </row>
    <row r="393">
      <c r="A393" s="5">
        <f>HYPERLINK("https://finance.yahoo.com/quote/JHPCY","JHPCY")</f>
        <v/>
      </c>
      <c r="B393" t="inlineStr">
        <is>
          <t>Jiangsu Hengrui Pharmaceuticals Co., Ltd./ADR</t>
        </is>
      </c>
      <c r="C393" t="inlineStr">
        <is>
          <t>OTC</t>
        </is>
      </c>
      <c r="D393" t="n">
        <v>2071868</v>
      </c>
      <c r="E393" t="inlineStr">
        <is>
          <t>SEC</t>
        </is>
      </c>
    </row>
    <row r="394">
      <c r="A394" s="5">
        <f>HYPERLINK("https://finance.yahoo.com/quote/ARES","ARES")</f>
        <v/>
      </c>
      <c r="B394" t="inlineStr">
        <is>
          <t>Ares Management Corp</t>
        </is>
      </c>
      <c r="C394" t="inlineStr">
        <is>
          <t>NYSE</t>
        </is>
      </c>
      <c r="D394" t="n">
        <v>1176948</v>
      </c>
      <c r="E394" t="inlineStr">
        <is>
          <t>SEC</t>
        </is>
      </c>
    </row>
    <row r="395">
      <c r="A395" s="5">
        <f>HYPERLINK("https://finance.yahoo.com/quote/MCHP","MCHP")</f>
        <v/>
      </c>
      <c r="B395" t="inlineStr">
        <is>
          <t>MICROCHIP TECHNOLOGY INC</t>
        </is>
      </c>
      <c r="C395" t="inlineStr">
        <is>
          <t>Nasdaq</t>
        </is>
      </c>
      <c r="D395" t="n">
        <v>827054</v>
      </c>
      <c r="E395" t="inlineStr">
        <is>
          <t>SEC</t>
        </is>
      </c>
    </row>
    <row r="396">
      <c r="A396" s="5">
        <f>HYPERLINK("https://finance.yahoo.com/quote/KB","KB")</f>
        <v/>
      </c>
      <c r="B396" t="inlineStr">
        <is>
          <t>KB Financial Group Inc.</t>
        </is>
      </c>
      <c r="C396" t="inlineStr">
        <is>
          <t>NYSE</t>
        </is>
      </c>
      <c r="D396" t="n">
        <v>1445930</v>
      </c>
      <c r="E396" t="inlineStr">
        <is>
          <t>SEC</t>
        </is>
      </c>
    </row>
    <row r="397">
      <c r="A397" s="5">
        <f>HYPERLINK("https://finance.yahoo.com/quote/RVMD","RVMD")</f>
        <v/>
      </c>
      <c r="B397" t="inlineStr">
        <is>
          <t>Revolution Medicines, Inc.</t>
        </is>
      </c>
      <c r="C397" t="inlineStr">
        <is>
          <t>Nasdaq</t>
        </is>
      </c>
      <c r="D397" t="n">
        <v>1628171</v>
      </c>
      <c r="E397" t="inlineStr">
        <is>
          <t>SEC</t>
        </is>
      </c>
    </row>
    <row r="398">
      <c r="A398" s="5">
        <f>HYPERLINK("https://finance.yahoo.com/quote/LYV","LYV")</f>
        <v/>
      </c>
      <c r="B398" t="inlineStr">
        <is>
          <t>Live Nation Entertainment, Inc.</t>
        </is>
      </c>
      <c r="C398" t="inlineStr">
        <is>
          <t>NYSE</t>
        </is>
      </c>
      <c r="D398" t="n">
        <v>1335258</v>
      </c>
      <c r="E398" t="inlineStr">
        <is>
          <t>SEC</t>
        </is>
      </c>
    </row>
    <row r="399">
      <c r="A399" s="5">
        <f>HYPERLINK("https://finance.yahoo.com/quote/TWLO","TWLO")</f>
        <v/>
      </c>
      <c r="B399" t="inlineStr">
        <is>
          <t>TWILIO INC</t>
        </is>
      </c>
      <c r="C399" t="inlineStr">
        <is>
          <t>NYSE</t>
        </is>
      </c>
      <c r="D399" t="n">
        <v>1447669</v>
      </c>
      <c r="E399" t="inlineStr">
        <is>
          <t>SEC</t>
        </is>
      </c>
    </row>
    <row r="400">
      <c r="A400" s="5">
        <f>HYPERLINK("https://finance.yahoo.com/quote/SYY","SYY")</f>
        <v/>
      </c>
      <c r="B400" t="inlineStr">
        <is>
          <t>SYSCO CORP</t>
        </is>
      </c>
      <c r="C400" t="inlineStr">
        <is>
          <t>NYSE</t>
        </is>
      </c>
      <c r="D400" t="n">
        <v>96021</v>
      </c>
      <c r="E400" t="inlineStr">
        <is>
          <t>SEC</t>
        </is>
      </c>
    </row>
    <row r="401">
      <c r="A401" s="5">
        <f>HYPERLINK("https://finance.yahoo.com/quote/FRFHF","FRFHF")</f>
        <v/>
      </c>
      <c r="B401" t="inlineStr">
        <is>
          <t>FAIRFAX FINANCIAL HOLDINGS LTD/ CAN</t>
        </is>
      </c>
      <c r="C401" t="inlineStr">
        <is>
          <t>OTC</t>
        </is>
      </c>
      <c r="D401" t="n">
        <v>915191</v>
      </c>
      <c r="E401" t="inlineStr">
        <is>
          <t>SEC</t>
        </is>
      </c>
    </row>
    <row r="402">
      <c r="A402" s="5">
        <f>HYPERLINK("https://finance.yahoo.com/quote/SKYD","SKYD")</f>
        <v/>
      </c>
      <c r="B402" t="inlineStr">
        <is>
          <t>Skydance Corp</t>
        </is>
      </c>
      <c r="C402" t="inlineStr">
        <is>
          <t>NYSE</t>
        </is>
      </c>
      <c r="D402" t="n">
        <v>2041610</v>
      </c>
      <c r="E402" t="inlineStr">
        <is>
          <t>SEC</t>
        </is>
      </c>
    </row>
    <row r="403">
      <c r="A403" s="5">
        <f>HYPERLINK("https://finance.yahoo.com/quote/PRU","PRU")</f>
        <v/>
      </c>
      <c r="B403" t="inlineStr">
        <is>
          <t>PRUDENTIAL FINANCIAL INC</t>
        </is>
      </c>
      <c r="C403" t="inlineStr">
        <is>
          <t>NYSE</t>
        </is>
      </c>
      <c r="D403" t="n">
        <v>1137774</v>
      </c>
      <c r="E403" t="inlineStr">
        <is>
          <t>SEC</t>
        </is>
      </c>
    </row>
    <row r="404">
      <c r="A404" s="5">
        <f>HYPERLINK("https://finance.yahoo.com/quote/STM","STM")</f>
        <v/>
      </c>
      <c r="B404" t="inlineStr">
        <is>
          <t>STMicroelectronics N.V.</t>
        </is>
      </c>
      <c r="C404" t="inlineStr">
        <is>
          <t>NYSE</t>
        </is>
      </c>
      <c r="D404" t="n">
        <v>932787</v>
      </c>
      <c r="E404" t="inlineStr">
        <is>
          <t>SEC</t>
        </is>
      </c>
    </row>
    <row r="405">
      <c r="A405" s="5">
        <f>HYPERLINK("https://finance.yahoo.com/quote/KR","KR")</f>
        <v/>
      </c>
      <c r="B405" t="inlineStr">
        <is>
          <t>KROGER CO</t>
        </is>
      </c>
      <c r="C405" t="inlineStr">
        <is>
          <t>NYSE</t>
        </is>
      </c>
      <c r="D405" t="n">
        <v>56873</v>
      </c>
      <c r="E405" t="inlineStr">
        <is>
          <t>SEC</t>
        </is>
      </c>
    </row>
    <row r="406">
      <c r="A406" s="5">
        <f>HYPERLINK("https://finance.yahoo.com/quote/IX","IX")</f>
        <v/>
      </c>
      <c r="B406" t="inlineStr">
        <is>
          <t>ORIX CORP</t>
        </is>
      </c>
      <c r="C406" t="inlineStr">
        <is>
          <t>NYSE</t>
        </is>
      </c>
      <c r="D406" t="n">
        <v>1070304</v>
      </c>
      <c r="E406" t="inlineStr">
        <is>
          <t>SEC</t>
        </is>
      </c>
    </row>
    <row r="407">
      <c r="A407" s="5">
        <f>HYPERLINK("https://finance.yahoo.com/quote/EL","EL")</f>
        <v/>
      </c>
      <c r="B407" t="inlineStr">
        <is>
          <t>ESTEE LAUDER COMPANIES INC</t>
        </is>
      </c>
      <c r="C407" t="inlineStr">
        <is>
          <t>NYSE</t>
        </is>
      </c>
      <c r="D407" t="n">
        <v>1001250</v>
      </c>
      <c r="E407" t="inlineStr">
        <is>
          <t>SEC</t>
        </is>
      </c>
    </row>
    <row r="408">
      <c r="A408" s="5">
        <f>HYPERLINK("https://finance.yahoo.com/quote/ADM","ADM")</f>
        <v/>
      </c>
      <c r="B408" t="inlineStr">
        <is>
          <t>Archer-Daniels-Midland Co</t>
        </is>
      </c>
      <c r="C408" t="inlineStr">
        <is>
          <t>NYSE</t>
        </is>
      </c>
      <c r="D408" t="n">
        <v>7084</v>
      </c>
      <c r="E408" t="inlineStr">
        <is>
          <t>SEC</t>
        </is>
      </c>
    </row>
    <row r="409">
      <c r="A409" s="5">
        <f>HYPERLINK("https://finance.yahoo.com/quote/TTWO","TTWO")</f>
        <v/>
      </c>
      <c r="B409" t="inlineStr">
        <is>
          <t>TAKE TWO INTERACTIVE SOFTWARE INC</t>
        </is>
      </c>
      <c r="C409" t="inlineStr">
        <is>
          <t>Nasdaq</t>
        </is>
      </c>
      <c r="D409" t="n">
        <v>946581</v>
      </c>
      <c r="E409" t="inlineStr">
        <is>
          <t>SEC</t>
        </is>
      </c>
    </row>
    <row r="410">
      <c r="A410" s="5">
        <f>HYPERLINK("https://finance.yahoo.com/quote/ODFL","ODFL")</f>
        <v/>
      </c>
      <c r="B410" t="inlineStr">
        <is>
          <t>OLD DOMINION FREIGHT LINE, INC.</t>
        </is>
      </c>
      <c r="C410" t="inlineStr">
        <is>
          <t>Nasdaq</t>
        </is>
      </c>
      <c r="D410" t="n">
        <v>878927</v>
      </c>
      <c r="E410" t="inlineStr">
        <is>
          <t>SEC</t>
        </is>
      </c>
    </row>
    <row r="411">
      <c r="A411" s="5">
        <f>HYPERLINK("https://finance.yahoo.com/quote/CCI","CCI")</f>
        <v/>
      </c>
      <c r="B411" t="inlineStr">
        <is>
          <t>CROWN CASTLE INC.</t>
        </is>
      </c>
      <c r="C411" t="inlineStr">
        <is>
          <t>NYSE</t>
        </is>
      </c>
      <c r="D411" t="n">
        <v>1051470</v>
      </c>
      <c r="E411" t="inlineStr">
        <is>
          <t>SEC</t>
        </is>
      </c>
    </row>
    <row r="412">
      <c r="A412" s="5">
        <f>HYPERLINK("https://finance.yahoo.com/quote/RBLX","RBLX")</f>
        <v/>
      </c>
      <c r="B412" t="inlineStr">
        <is>
          <t>Roblox Corp</t>
        </is>
      </c>
      <c r="C412" t="inlineStr">
        <is>
          <t>NYSE</t>
        </is>
      </c>
      <c r="D412" t="n">
        <v>1315098</v>
      </c>
      <c r="E412" t="inlineStr">
        <is>
          <t>SEC</t>
        </is>
      </c>
    </row>
    <row r="413">
      <c r="A413" s="5">
        <f>HYPERLINK("https://finance.yahoo.com/quote/CHT","CHT")</f>
        <v/>
      </c>
      <c r="B413" t="inlineStr">
        <is>
          <t>CHUNGHWA TELECOM CO LTD</t>
        </is>
      </c>
      <c r="C413" t="inlineStr">
        <is>
          <t>NYSE</t>
        </is>
      </c>
      <c r="D413" t="n">
        <v>1132924</v>
      </c>
      <c r="E413" t="inlineStr">
        <is>
          <t>SEC</t>
        </is>
      </c>
    </row>
    <row r="414">
      <c r="A414" s="5">
        <f>HYPERLINK("https://finance.yahoo.com/quote/PCG","PCG")</f>
        <v/>
      </c>
      <c r="B414" t="inlineStr">
        <is>
          <t>PG&amp;E Corp</t>
        </is>
      </c>
      <c r="C414" t="inlineStr">
        <is>
          <t>NYSE</t>
        </is>
      </c>
      <c r="D414" t="n">
        <v>1004980</v>
      </c>
      <c r="E414" t="inlineStr">
        <is>
          <t>SEC</t>
        </is>
      </c>
    </row>
    <row r="415">
      <c r="A415" s="5">
        <f>HYPERLINK("https://finance.yahoo.com/quote/DLMAY","DLMAY")</f>
        <v/>
      </c>
      <c r="B415" t="inlineStr">
        <is>
          <t>Dollarama Inc./ADR</t>
        </is>
      </c>
      <c r="C415" t="inlineStr">
        <is>
          <t>OTC</t>
        </is>
      </c>
      <c r="D415" t="n">
        <v>2073893</v>
      </c>
      <c r="E415" t="inlineStr">
        <is>
          <t>SEC</t>
        </is>
      </c>
    </row>
    <row r="416">
      <c r="A416" s="5">
        <f>HYPERLINK("https://finance.yahoo.com/quote/KVUE","KVUE")</f>
        <v/>
      </c>
      <c r="B416" t="inlineStr">
        <is>
          <t>Kenvue Inc.</t>
        </is>
      </c>
      <c r="C416" t="inlineStr">
        <is>
          <t>NYSE</t>
        </is>
      </c>
      <c r="D416" t="n">
        <v>1944048</v>
      </c>
      <c r="E416" t="inlineStr">
        <is>
          <t>SEC</t>
        </is>
      </c>
    </row>
    <row r="417">
      <c r="A417" s="5">
        <f>HYPERLINK("https://finance.yahoo.com/quote/OKTA","OKTA")</f>
        <v/>
      </c>
      <c r="B417" t="inlineStr">
        <is>
          <t>Okta, Inc.</t>
        </is>
      </c>
      <c r="C417" t="inlineStr">
        <is>
          <t>Nasdaq</t>
        </is>
      </c>
      <c r="D417" t="n">
        <v>1660134</v>
      </c>
      <c r="E417" t="inlineStr">
        <is>
          <t>SEC</t>
        </is>
      </c>
    </row>
    <row r="418">
      <c r="A418" s="5">
        <f>HYPERLINK("https://finance.yahoo.com/quote/BIIB","BIIB")</f>
        <v/>
      </c>
      <c r="B418" t="inlineStr">
        <is>
          <t>BIOGEN INC.</t>
        </is>
      </c>
      <c r="C418" t="inlineStr">
        <is>
          <t>Nasdaq</t>
        </is>
      </c>
      <c r="D418" t="n">
        <v>875045</v>
      </c>
      <c r="E418" t="inlineStr">
        <is>
          <t>SEC</t>
        </is>
      </c>
    </row>
    <row r="419">
      <c r="A419" s="5">
        <f>HYPERLINK("https://finance.yahoo.com/quote/HIG","HIG")</f>
        <v/>
      </c>
      <c r="B419" t="inlineStr">
        <is>
          <t>HARTFORD INSURANCE GROUP, INC.</t>
        </is>
      </c>
      <c r="C419" t="inlineStr">
        <is>
          <t>NYSE</t>
        </is>
      </c>
      <c r="D419" t="n">
        <v>874766</v>
      </c>
      <c r="E419" t="inlineStr">
        <is>
          <t>SEC</t>
        </is>
      </c>
    </row>
    <row r="420">
      <c r="A420" s="5">
        <f>HYPERLINK("https://finance.yahoo.com/quote/RPRX","RPRX")</f>
        <v/>
      </c>
      <c r="B420" t="inlineStr">
        <is>
          <t>Royalty Pharma plc</t>
        </is>
      </c>
      <c r="C420" t="inlineStr">
        <is>
          <t>Nasdaq</t>
        </is>
      </c>
      <c r="D420" t="n">
        <v>1802768</v>
      </c>
      <c r="E420" t="inlineStr">
        <is>
          <t>SEC</t>
        </is>
      </c>
    </row>
    <row r="421">
      <c r="A421" s="5">
        <f>HYPERLINK("https://finance.yahoo.com/quote/KMB","KMB")</f>
        <v/>
      </c>
      <c r="B421" t="inlineStr">
        <is>
          <t>KIMBERLY CLARK CORP</t>
        </is>
      </c>
      <c r="C421" t="inlineStr">
        <is>
          <t>Nasdaq</t>
        </is>
      </c>
      <c r="D421" t="n">
        <v>55785</v>
      </c>
      <c r="E421" t="inlineStr">
        <is>
          <t>SEC</t>
        </is>
      </c>
    </row>
    <row r="422">
      <c r="A422" s="5">
        <f>HYPERLINK("https://finance.yahoo.com/quote/VIK","VIK")</f>
        <v/>
      </c>
      <c r="B422" t="inlineStr">
        <is>
          <t>Viking Holdings Ltd</t>
        </is>
      </c>
      <c r="C422" t="inlineStr">
        <is>
          <t>NYSE</t>
        </is>
      </c>
      <c r="D422" t="n">
        <v>1745201</v>
      </c>
      <c r="E422" t="inlineStr">
        <is>
          <t>SEC</t>
        </is>
      </c>
    </row>
    <row r="423">
      <c r="A423" s="5">
        <f>HYPERLINK("https://finance.yahoo.com/quote/VOD","VOD")</f>
        <v/>
      </c>
      <c r="B423" t="inlineStr">
        <is>
          <t>VODAFONE GROUP PUBLIC LTD CO</t>
        </is>
      </c>
      <c r="C423" t="inlineStr">
        <is>
          <t>Nasdaq</t>
        </is>
      </c>
      <c r="D423" t="n">
        <v>839923</v>
      </c>
      <c r="E423" t="inlineStr">
        <is>
          <t>SEC</t>
        </is>
      </c>
    </row>
    <row r="424">
      <c r="A424" s="5">
        <f>HYPERLINK("https://finance.yahoo.com/quote/EC","EC")</f>
        <v/>
      </c>
      <c r="B424" t="inlineStr">
        <is>
          <t>ECOPETROL S.A.</t>
        </is>
      </c>
      <c r="C424" t="inlineStr">
        <is>
          <t>NYSE</t>
        </is>
      </c>
      <c r="D424" t="n">
        <v>1444406</v>
      </c>
      <c r="E424" t="inlineStr">
        <is>
          <t>SEC</t>
        </is>
      </c>
    </row>
    <row r="425">
      <c r="A425" s="5">
        <f>HYPERLINK("https://finance.yahoo.com/quote/MLM","MLM")</f>
        <v/>
      </c>
      <c r="B425" t="inlineStr">
        <is>
          <t>MARTIN MARIETTA MATERIALS INC</t>
        </is>
      </c>
      <c r="C425" t="inlineStr">
        <is>
          <t>NYSE</t>
        </is>
      </c>
      <c r="D425" t="n">
        <v>916076</v>
      </c>
      <c r="E425" t="inlineStr">
        <is>
          <t>SEC</t>
        </is>
      </c>
    </row>
    <row r="426">
      <c r="A426" s="5">
        <f>HYPERLINK("https://finance.yahoo.com/quote/WEC","WEC")</f>
        <v/>
      </c>
      <c r="B426" t="inlineStr">
        <is>
          <t>WEC ENERGY GROUP, INC.</t>
        </is>
      </c>
      <c r="C426" t="inlineStr">
        <is>
          <t>NYSE</t>
        </is>
      </c>
      <c r="D426" t="n">
        <v>783325</v>
      </c>
      <c r="E426" t="inlineStr">
        <is>
          <t>SEC</t>
        </is>
      </c>
    </row>
    <row r="427">
      <c r="A427" s="5">
        <f>HYPERLINK("https://finance.yahoo.com/quote/SMTOY","SMTOY")</f>
        <v/>
      </c>
      <c r="B427" t="inlineStr">
        <is>
          <t>SUMITOMO ELECTRIC INDUSTRIES LTD/ADR/</t>
        </is>
      </c>
      <c r="C427" t="inlineStr">
        <is>
          <t>OTC</t>
        </is>
      </c>
      <c r="D427" t="n">
        <v>95227</v>
      </c>
      <c r="E427" t="inlineStr">
        <is>
          <t>SEC</t>
        </is>
      </c>
    </row>
    <row r="428">
      <c r="A428" s="5">
        <f>HYPERLINK("https://finance.yahoo.com/quote/CBRE","CBRE")</f>
        <v/>
      </c>
      <c r="B428" t="inlineStr">
        <is>
          <t>CBRE GROUP, INC.</t>
        </is>
      </c>
      <c r="C428" t="inlineStr">
        <is>
          <t>NYSE</t>
        </is>
      </c>
      <c r="D428" t="n">
        <v>1138118</v>
      </c>
      <c r="E428" t="inlineStr">
        <is>
          <t>SEC</t>
        </is>
      </c>
    </row>
    <row r="429">
      <c r="A429" s="5">
        <f>HYPERLINK("https://finance.yahoo.com/quote/PEG","PEG")</f>
        <v/>
      </c>
      <c r="B429" t="inlineStr">
        <is>
          <t>PUBLIC SERVICE ENTERPRISE GROUP INC</t>
        </is>
      </c>
      <c r="C429" t="inlineStr">
        <is>
          <t>NYSE</t>
        </is>
      </c>
      <c r="D429" t="n">
        <v>788784</v>
      </c>
      <c r="E429" t="inlineStr">
        <is>
          <t>SEC</t>
        </is>
      </c>
    </row>
    <row r="430">
      <c r="A430" s="5">
        <f>HYPERLINK("https://finance.yahoo.com/quote/FER","FER")</f>
        <v/>
      </c>
      <c r="B430" t="inlineStr">
        <is>
          <t>Ferrovial N.V.</t>
        </is>
      </c>
      <c r="C430" t="inlineStr">
        <is>
          <t>Nasdaq</t>
        </is>
      </c>
      <c r="D430" t="n">
        <v>1468522</v>
      </c>
      <c r="E430" t="inlineStr">
        <is>
          <t>SEC</t>
        </is>
      </c>
    </row>
    <row r="431">
      <c r="A431" s="5">
        <f>HYPERLINK("https://finance.yahoo.com/quote/RMD","RMD")</f>
        <v/>
      </c>
      <c r="B431" t="inlineStr">
        <is>
          <t>RESMED INC</t>
        </is>
      </c>
      <c r="C431" t="inlineStr">
        <is>
          <t>NYSE</t>
        </is>
      </c>
      <c r="D431" t="n">
        <v>943819</v>
      </c>
      <c r="E431" t="inlineStr">
        <is>
          <t>SEC</t>
        </is>
      </c>
    </row>
    <row r="432">
      <c r="A432" s="5">
        <f>HYPERLINK("https://finance.yahoo.com/quote/UI","UI")</f>
        <v/>
      </c>
      <c r="B432" t="inlineStr">
        <is>
          <t>Ubiquiti Inc.</t>
        </is>
      </c>
      <c r="C432" t="inlineStr">
        <is>
          <t>NYSE</t>
        </is>
      </c>
      <c r="D432" t="n">
        <v>1511737</v>
      </c>
      <c r="E432" t="inlineStr">
        <is>
          <t>SEC</t>
        </is>
      </c>
    </row>
    <row r="433">
      <c r="A433" s="5">
        <f>HYPERLINK("https://finance.yahoo.com/quote/CBOE","CBOE")</f>
        <v/>
      </c>
      <c r="B433" t="inlineStr">
        <is>
          <t>Cboe Global Markets, Inc.</t>
        </is>
      </c>
      <c r="C433" t="inlineStr">
        <is>
          <t>CBOE</t>
        </is>
      </c>
      <c r="D433" t="n">
        <v>1374310</v>
      </c>
      <c r="E433" t="inlineStr">
        <is>
          <t>SEC</t>
        </is>
      </c>
    </row>
    <row r="434">
      <c r="A434" s="5">
        <f>HYPERLINK("https://finance.yahoo.com/quote/STLD","STLD")</f>
        <v/>
      </c>
      <c r="B434" t="inlineStr">
        <is>
          <t>STEEL DYNAMICS INC</t>
        </is>
      </c>
      <c r="C434" t="inlineStr">
        <is>
          <t>Nasdaq</t>
        </is>
      </c>
      <c r="D434" t="n">
        <v>1022671</v>
      </c>
      <c r="E434" t="inlineStr">
        <is>
          <t>SEC</t>
        </is>
      </c>
    </row>
    <row r="435">
      <c r="A435" s="5">
        <f>HYPERLINK("https://finance.yahoo.com/quote/CCL","CCL")</f>
        <v/>
      </c>
      <c r="B435" t="inlineStr">
        <is>
          <t>Carnival Corp Ltd.</t>
        </is>
      </c>
      <c r="C435" t="inlineStr">
        <is>
          <t>NYSE</t>
        </is>
      </c>
      <c r="D435" t="n">
        <v>815097</v>
      </c>
      <c r="E435" t="inlineStr">
        <is>
          <t>SEC</t>
        </is>
      </c>
    </row>
    <row r="436">
      <c r="A436" s="5">
        <f>HYPERLINK("https://finance.yahoo.com/quote/CNC","CNC")</f>
        <v/>
      </c>
      <c r="B436" t="inlineStr">
        <is>
          <t>CENTENE CORP</t>
        </is>
      </c>
      <c r="C436" t="inlineStr">
        <is>
          <t>NYSE</t>
        </is>
      </c>
      <c r="D436" t="n">
        <v>1071739</v>
      </c>
      <c r="E436" t="inlineStr">
        <is>
          <t>SEC</t>
        </is>
      </c>
    </row>
    <row r="437">
      <c r="A437" s="5">
        <f>HYPERLINK("https://finance.yahoo.com/quote/JXAMY","JXAMY")</f>
        <v/>
      </c>
      <c r="B437" t="inlineStr">
        <is>
          <t>JX Advanced Metals Corporation/ADR</t>
        </is>
      </c>
      <c r="C437" t="inlineStr">
        <is>
          <t>OTC</t>
        </is>
      </c>
      <c r="D437" t="n">
        <v>2065485</v>
      </c>
      <c r="E437" t="inlineStr">
        <is>
          <t>SEC</t>
        </is>
      </c>
    </row>
    <row r="438">
      <c r="A438" s="5">
        <f>HYPERLINK("https://finance.yahoo.com/quote/CMG","CMG")</f>
        <v/>
      </c>
      <c r="B438" t="inlineStr">
        <is>
          <t>CHIPOTLE MEXICAN GRILL INC</t>
        </is>
      </c>
      <c r="C438" t="inlineStr">
        <is>
          <t>NYSE</t>
        </is>
      </c>
      <c r="D438" t="n">
        <v>1058090</v>
      </c>
      <c r="E438" t="inlineStr">
        <is>
          <t>SEC</t>
        </is>
      </c>
    </row>
    <row r="439">
      <c r="A439" s="5">
        <f>HYPERLINK("https://finance.yahoo.com/quote/ACGL","ACGL")</f>
        <v/>
      </c>
      <c r="B439" t="inlineStr">
        <is>
          <t>ARCH CAPITAL GROUP LTD.</t>
        </is>
      </c>
      <c r="C439" t="inlineStr">
        <is>
          <t>Nasdaq</t>
        </is>
      </c>
      <c r="D439" t="n">
        <v>947484</v>
      </c>
      <c r="E439" t="inlineStr">
        <is>
          <t>SEC</t>
        </is>
      </c>
    </row>
    <row r="440">
      <c r="A440" s="5">
        <f>HYPERLINK("https://finance.yahoo.com/quote/EXPE","EXPE")</f>
        <v/>
      </c>
      <c r="B440" t="inlineStr">
        <is>
          <t>Expedia Group, Inc.</t>
        </is>
      </c>
      <c r="C440" t="inlineStr">
        <is>
          <t>Nasdaq</t>
        </is>
      </c>
      <c r="D440" t="n">
        <v>1324424</v>
      </c>
      <c r="E440" t="inlineStr">
        <is>
          <t>SEC</t>
        </is>
      </c>
    </row>
    <row r="441">
      <c r="A441" s="5">
        <f>HYPERLINK("https://finance.yahoo.com/quote/VG","VG")</f>
        <v/>
      </c>
      <c r="B441" t="inlineStr">
        <is>
          <t>Venture Global, Inc.</t>
        </is>
      </c>
      <c r="C441" t="inlineStr">
        <is>
          <t>NYSE</t>
        </is>
      </c>
      <c r="D441" t="n">
        <v>2007855</v>
      </c>
      <c r="E441" t="inlineStr">
        <is>
          <t>SEC</t>
        </is>
      </c>
    </row>
    <row r="442">
      <c r="A442" s="5">
        <f>HYPERLINK("https://finance.yahoo.com/quote/EQT","EQT")</f>
        <v/>
      </c>
      <c r="B442" t="inlineStr">
        <is>
          <t>EQT Corp</t>
        </is>
      </c>
      <c r="C442" t="inlineStr">
        <is>
          <t>NYSE</t>
        </is>
      </c>
      <c r="D442" t="n">
        <v>33213</v>
      </c>
      <c r="E442" t="inlineStr">
        <is>
          <t>SEC</t>
        </is>
      </c>
    </row>
    <row r="443">
      <c r="A443" s="5">
        <f>HYPERLINK("https://finance.yahoo.com/quote/ESLT","ESLT")</f>
        <v/>
      </c>
      <c r="B443" t="inlineStr">
        <is>
          <t>ELBIT SYSTEMS LTD</t>
        </is>
      </c>
      <c r="C443" t="inlineStr">
        <is>
          <t>Nasdaq</t>
        </is>
      </c>
      <c r="D443" t="n">
        <v>1027664</v>
      </c>
      <c r="E443" t="inlineStr">
        <is>
          <t>SEC</t>
        </is>
      </c>
    </row>
    <row r="444">
      <c r="A444" s="5">
        <f>HYPERLINK("https://finance.yahoo.com/quote/QSR","QSR")</f>
        <v/>
      </c>
      <c r="B444" t="inlineStr">
        <is>
          <t>Restaurant Brands International Inc.</t>
        </is>
      </c>
      <c r="C444" t="inlineStr">
        <is>
          <t>NYSE</t>
        </is>
      </c>
      <c r="D444" t="n">
        <v>1618756</v>
      </c>
      <c r="E444" t="inlineStr">
        <is>
          <t>SEC</t>
        </is>
      </c>
    </row>
    <row r="445">
      <c r="A445" s="5">
        <f>HYPERLINK("https://finance.yahoo.com/quote/ERIC","ERIC")</f>
        <v/>
      </c>
      <c r="B445" t="inlineStr">
        <is>
          <t>ERICSSON LM TELEPHONE CO</t>
        </is>
      </c>
      <c r="C445" t="inlineStr">
        <is>
          <t>Nasdaq</t>
        </is>
      </c>
      <c r="D445" t="n">
        <v>717826</v>
      </c>
      <c r="E445" t="inlineStr">
        <is>
          <t>SEC</t>
        </is>
      </c>
    </row>
    <row r="446">
      <c r="A446" s="5">
        <f>HYPERLINK("https://finance.yahoo.com/quote/JD","JD")</f>
        <v/>
      </c>
      <c r="B446" t="inlineStr">
        <is>
          <t>JD.com, Inc.</t>
        </is>
      </c>
      <c r="C446" t="inlineStr">
        <is>
          <t>Nasdaq</t>
        </is>
      </c>
      <c r="D446" t="n">
        <v>1549802</v>
      </c>
      <c r="E446" t="inlineStr">
        <is>
          <t>SEC</t>
        </is>
      </c>
    </row>
    <row r="447">
      <c r="A447" s="5">
        <f>HYPERLINK("https://finance.yahoo.com/quote/CCJ","CCJ")</f>
        <v/>
      </c>
      <c r="B447" t="inlineStr">
        <is>
          <t>CAMECO CORP</t>
        </is>
      </c>
      <c r="C447" t="inlineStr">
        <is>
          <t>NYSE</t>
        </is>
      </c>
      <c r="D447" t="n">
        <v>1009001</v>
      </c>
      <c r="E447" t="inlineStr">
        <is>
          <t>SEC</t>
        </is>
      </c>
    </row>
    <row r="448">
      <c r="A448" s="5">
        <f>HYPERLINK("https://finance.yahoo.com/quote/VMC","VMC")</f>
        <v/>
      </c>
      <c r="B448" t="inlineStr">
        <is>
          <t>Vulcan Materials CO</t>
        </is>
      </c>
      <c r="C448" t="inlineStr">
        <is>
          <t>NYSE</t>
        </is>
      </c>
      <c r="D448" t="n">
        <v>1396009</v>
      </c>
      <c r="E448" t="inlineStr">
        <is>
          <t>SEC</t>
        </is>
      </c>
    </row>
    <row r="449">
      <c r="A449" s="5">
        <f>HYPERLINK("https://finance.yahoo.com/quote/HSY","HSY")</f>
        <v/>
      </c>
      <c r="B449" t="inlineStr">
        <is>
          <t>HERSHEY CO</t>
        </is>
      </c>
      <c r="C449" t="inlineStr">
        <is>
          <t>NYSE</t>
        </is>
      </c>
      <c r="D449" t="n">
        <v>47111</v>
      </c>
      <c r="E449" t="inlineStr">
        <is>
          <t>SEC</t>
        </is>
      </c>
    </row>
    <row r="450">
      <c r="A450" s="5">
        <f>HYPERLINK("https://finance.yahoo.com/quote/AXON","AXON")</f>
        <v/>
      </c>
      <c r="B450" t="inlineStr">
        <is>
          <t>AXON ENTERPRISE, INC.</t>
        </is>
      </c>
      <c r="C450" t="inlineStr">
        <is>
          <t>Nasdaq</t>
        </is>
      </c>
      <c r="D450" t="n">
        <v>1069183</v>
      </c>
      <c r="E450" t="inlineStr">
        <is>
          <t>SEC</t>
        </is>
      </c>
    </row>
    <row r="451">
      <c r="A451" s="5">
        <f>HYPERLINK("https://finance.yahoo.com/quote/ALC","ALC")</f>
        <v/>
      </c>
      <c r="B451" t="inlineStr">
        <is>
          <t>ALCON INC</t>
        </is>
      </c>
      <c r="C451" t="inlineStr">
        <is>
          <t>NYSE</t>
        </is>
      </c>
      <c r="D451" t="n">
        <v>1167379</v>
      </c>
      <c r="E451" t="inlineStr">
        <is>
          <t>SEC</t>
        </is>
      </c>
    </row>
    <row r="452">
      <c r="A452" s="5">
        <f>HYPERLINK("https://finance.yahoo.com/quote/RKLB","RKLB")</f>
        <v/>
      </c>
      <c r="B452" t="inlineStr">
        <is>
          <t>Rocket Lab Corp</t>
        </is>
      </c>
      <c r="C452" t="inlineStr">
        <is>
          <t>Nasdaq</t>
        </is>
      </c>
      <c r="D452" t="n">
        <v>1819994</v>
      </c>
      <c r="E452" t="inlineStr">
        <is>
          <t>SEC</t>
        </is>
      </c>
    </row>
    <row r="453">
      <c r="A453" s="5">
        <f>HYPERLINK("https://finance.yahoo.com/quote/ZTS","ZTS")</f>
        <v/>
      </c>
      <c r="B453" t="inlineStr">
        <is>
          <t>Zoetis Inc.</t>
        </is>
      </c>
      <c r="C453" t="inlineStr">
        <is>
          <t>NYSE</t>
        </is>
      </c>
      <c r="D453" t="n">
        <v>1555280</v>
      </c>
      <c r="E453" t="inlineStr">
        <is>
          <t>SEC</t>
        </is>
      </c>
    </row>
    <row r="454">
      <c r="A454" s="5">
        <f>HYPERLINK("https://finance.yahoo.com/quote/MTD","MTD")</f>
        <v/>
      </c>
      <c r="B454" t="inlineStr">
        <is>
          <t>METTLER TOLEDO INTERNATIONAL INC/</t>
        </is>
      </c>
      <c r="C454" t="inlineStr">
        <is>
          <t>NYSE</t>
        </is>
      </c>
      <c r="D454" t="n">
        <v>1037646</v>
      </c>
      <c r="E454" t="inlineStr">
        <is>
          <t>SEC</t>
        </is>
      </c>
    </row>
    <row r="455">
      <c r="A455" s="5">
        <f>HYPERLINK("https://finance.yahoo.com/quote/NTR","NTR")</f>
        <v/>
      </c>
      <c r="B455" t="inlineStr">
        <is>
          <t>Nutrien Ltd.</t>
        </is>
      </c>
      <c r="C455" t="inlineStr">
        <is>
          <t>NYSE</t>
        </is>
      </c>
      <c r="D455" t="n">
        <v>1725964</v>
      </c>
      <c r="E455" t="inlineStr">
        <is>
          <t>SEC</t>
        </is>
      </c>
    </row>
    <row r="456">
      <c r="A456" s="5">
        <f>HYPERLINK("https://finance.yahoo.com/quote/RKT","RKT")</f>
        <v/>
      </c>
      <c r="B456" t="inlineStr">
        <is>
          <t>Rocket Companies, Inc.</t>
        </is>
      </c>
      <c r="C456" t="inlineStr">
        <is>
          <t>NYSE</t>
        </is>
      </c>
      <c r="D456" t="n">
        <v>1805284</v>
      </c>
      <c r="E456" t="inlineStr">
        <is>
          <t>SEC</t>
        </is>
      </c>
    </row>
    <row r="457">
      <c r="A457" s="5">
        <f>HYPERLINK("https://finance.yahoo.com/quote/TKO","TKO")</f>
        <v/>
      </c>
      <c r="B457" t="inlineStr">
        <is>
          <t>TKO Group Holdings, Inc.</t>
        </is>
      </c>
      <c r="C457" t="inlineStr">
        <is>
          <t>NYSE</t>
        </is>
      </c>
      <c r="D457" t="n">
        <v>1973266</v>
      </c>
      <c r="E457" t="inlineStr">
        <is>
          <t>SEC</t>
        </is>
      </c>
    </row>
    <row r="458">
      <c r="A458" s="5">
        <f>HYPERLINK("https://finance.yahoo.com/quote/CLS","CLS")</f>
        <v/>
      </c>
      <c r="B458" t="inlineStr">
        <is>
          <t>CELESTICA INC</t>
        </is>
      </c>
      <c r="C458" t="inlineStr">
        <is>
          <t>NYSE</t>
        </is>
      </c>
      <c r="D458" t="n">
        <v>1030894</v>
      </c>
      <c r="E458" t="inlineStr">
        <is>
          <t>SEC</t>
        </is>
      </c>
    </row>
    <row r="459">
      <c r="A459" s="5">
        <f>HYPERLINK("https://finance.yahoo.com/quote/CKHGF","CKHGF")</f>
        <v/>
      </c>
      <c r="B459" t="inlineStr">
        <is>
          <t>Capitec Limited/ADR</t>
        </is>
      </c>
      <c r="C459" t="inlineStr">
        <is>
          <t>OTC</t>
        </is>
      </c>
      <c r="D459" t="n">
        <v>1469059</v>
      </c>
      <c r="E459" t="inlineStr">
        <is>
          <t>SEC</t>
        </is>
      </c>
    </row>
    <row r="460">
      <c r="A460" s="5">
        <f>HYPERLINK("https://finance.yahoo.com/quote/IRM","IRM")</f>
        <v/>
      </c>
      <c r="B460" t="inlineStr">
        <is>
          <t>IRON MOUNTAIN INC</t>
        </is>
      </c>
      <c r="C460" t="inlineStr">
        <is>
          <t>NYSE</t>
        </is>
      </c>
      <c r="D460" t="n">
        <v>1020569</v>
      </c>
      <c r="E460" t="inlineStr">
        <is>
          <t>SEC</t>
        </is>
      </c>
    </row>
    <row r="461">
      <c r="A461" s="5">
        <f>HYPERLINK("https://finance.yahoo.com/quote/SUNB","SUNB")</f>
        <v/>
      </c>
      <c r="B461" t="inlineStr">
        <is>
          <t>Sunbelt Rentals Holdings, Inc.</t>
        </is>
      </c>
      <c r="C461" t="inlineStr">
        <is>
          <t>NYSE</t>
        </is>
      </c>
      <c r="D461" t="n">
        <v>2083785</v>
      </c>
      <c r="E461" t="inlineStr">
        <is>
          <t>SEC</t>
        </is>
      </c>
    </row>
    <row r="462">
      <c r="A462" s="5">
        <f>HYPERLINK("https://finance.yahoo.com/quote/GEHC","GEHC")</f>
        <v/>
      </c>
      <c r="B462" t="inlineStr">
        <is>
          <t>GE HealthCare Technologies Inc.</t>
        </is>
      </c>
      <c r="C462" t="inlineStr">
        <is>
          <t>Nasdaq</t>
        </is>
      </c>
      <c r="D462" t="n">
        <v>1932393</v>
      </c>
      <c r="E462" t="inlineStr">
        <is>
          <t>SEC</t>
        </is>
      </c>
    </row>
    <row r="463">
      <c r="A463" s="5">
        <f>HYPERLINK("https://finance.yahoo.com/quote/MTB","MTB")</f>
        <v/>
      </c>
      <c r="B463" t="inlineStr">
        <is>
          <t>M&amp;T BANK CORP</t>
        </is>
      </c>
      <c r="C463" t="inlineStr">
        <is>
          <t>NYSE</t>
        </is>
      </c>
      <c r="D463" t="n">
        <v>36270</v>
      </c>
      <c r="E463" t="inlineStr">
        <is>
          <t>SEC</t>
        </is>
      </c>
    </row>
    <row r="464">
      <c r="A464" s="5">
        <f>HYPERLINK("https://finance.yahoo.com/quote/UNVGY","UNVGY")</f>
        <v/>
      </c>
      <c r="B464" t="inlineStr">
        <is>
          <t>Universal Music Group N.V./ADR</t>
        </is>
      </c>
      <c r="C464" t="inlineStr">
        <is>
          <t>OTC</t>
        </is>
      </c>
      <c r="D464" t="n">
        <v>1890126</v>
      </c>
      <c r="E464" t="inlineStr">
        <is>
          <t>SEC</t>
        </is>
      </c>
    </row>
    <row r="465">
      <c r="A465" s="5">
        <f>HYPERLINK("https://finance.yahoo.com/quote/UAL","UAL")</f>
        <v/>
      </c>
      <c r="B465" t="inlineStr">
        <is>
          <t>United Airlines Holdings, Inc.</t>
        </is>
      </c>
      <c r="C465" t="inlineStr">
        <is>
          <t>Nasdaq</t>
        </is>
      </c>
      <c r="D465" t="n">
        <v>100517</v>
      </c>
      <c r="E465" t="inlineStr">
        <is>
          <t>SEC</t>
        </is>
      </c>
    </row>
    <row r="466">
      <c r="A466" s="5">
        <f>HYPERLINK("https://finance.yahoo.com/quote/CTSH","CTSH")</f>
        <v/>
      </c>
      <c r="B466" t="inlineStr">
        <is>
          <t>COGNIZANT TECHNOLOGY SOLUTIONS CORP</t>
        </is>
      </c>
      <c r="C466" t="inlineStr">
        <is>
          <t>Nasdaq</t>
        </is>
      </c>
      <c r="D466" t="n">
        <v>1058290</v>
      </c>
      <c r="E466" t="inlineStr">
        <is>
          <t>SEC</t>
        </is>
      </c>
    </row>
    <row r="467">
      <c r="A467" s="5">
        <f>HYPERLINK("https://finance.yahoo.com/quote/HBAN","HBAN")</f>
        <v/>
      </c>
      <c r="B467" t="inlineStr">
        <is>
          <t>HUNTINGTON BANCSHARES INC /MD/</t>
        </is>
      </c>
      <c r="C467" t="inlineStr">
        <is>
          <t>Nasdaq</t>
        </is>
      </c>
      <c r="D467" t="n">
        <v>49196</v>
      </c>
      <c r="E467" t="inlineStr">
        <is>
          <t>SEC</t>
        </is>
      </c>
    </row>
    <row r="468">
      <c r="A468" s="5">
        <f>HYPERLINK("https://finance.yahoo.com/quote/CQP","CQP")</f>
        <v/>
      </c>
      <c r="B468" t="inlineStr">
        <is>
          <t>Cheniere Energy Partners, L.P.</t>
        </is>
      </c>
      <c r="C468" t="inlineStr">
        <is>
          <t>NYSE</t>
        </is>
      </c>
      <c r="D468" t="n">
        <v>1383650</v>
      </c>
      <c r="E468" t="inlineStr">
        <is>
          <t>SEC</t>
        </is>
      </c>
    </row>
    <row r="469">
      <c r="A469" s="5">
        <f>HYPERLINK("https://finance.yahoo.com/quote/EXR","EXR")</f>
        <v/>
      </c>
      <c r="B469" t="inlineStr">
        <is>
          <t>Extra Space Storage Inc.</t>
        </is>
      </c>
      <c r="C469" t="inlineStr">
        <is>
          <t>NYSE</t>
        </is>
      </c>
      <c r="D469" t="n">
        <v>1289490</v>
      </c>
      <c r="E469" t="inlineStr">
        <is>
          <t>SEC</t>
        </is>
      </c>
    </row>
    <row r="470">
      <c r="A470" s="5">
        <f>HYPERLINK("https://finance.yahoo.com/quote/SHG","SHG")</f>
        <v/>
      </c>
      <c r="B470" t="inlineStr">
        <is>
          <t>SHINHAN FINANCIAL GROUP CO LTD</t>
        </is>
      </c>
      <c r="C470" t="inlineStr">
        <is>
          <t>NYSE</t>
        </is>
      </c>
      <c r="D470" t="n">
        <v>1263043</v>
      </c>
      <c r="E470" t="inlineStr">
        <is>
          <t>SEC</t>
        </is>
      </c>
    </row>
    <row r="471">
      <c r="A471" s="5">
        <f>HYPERLINK("https://finance.yahoo.com/quote/GFI","GFI")</f>
        <v/>
      </c>
      <c r="B471" t="inlineStr">
        <is>
          <t>GOLD FIELDS LTD</t>
        </is>
      </c>
      <c r="C471" t="inlineStr">
        <is>
          <t>NYSE</t>
        </is>
      </c>
      <c r="D471" t="n">
        <v>1172724</v>
      </c>
      <c r="E471" t="inlineStr">
        <is>
          <t>SEC</t>
        </is>
      </c>
    </row>
    <row r="472">
      <c r="A472" s="5">
        <f>HYPERLINK("https://finance.yahoo.com/quote/NTRS","NTRS")</f>
        <v/>
      </c>
      <c r="B472" t="inlineStr">
        <is>
          <t>NORTHERN TRUST CORP</t>
        </is>
      </c>
      <c r="C472" t="inlineStr">
        <is>
          <t>Nasdaq</t>
        </is>
      </c>
      <c r="D472" t="n">
        <v>73124</v>
      </c>
      <c r="E472" t="inlineStr">
        <is>
          <t>SEC</t>
        </is>
      </c>
    </row>
    <row r="473">
      <c r="A473" s="5">
        <f>HYPERLINK("https://finance.yahoo.com/quote/RSHGY","RSHGY")</f>
        <v/>
      </c>
      <c r="B473" t="inlineStr">
        <is>
          <t>RESONA HOLDINGS INC</t>
        </is>
      </c>
      <c r="C473" t="inlineStr">
        <is>
          <t>OTC</t>
        </is>
      </c>
      <c r="D473" t="n">
        <v>1447391</v>
      </c>
      <c r="E473" t="inlineStr">
        <is>
          <t>SEC</t>
        </is>
      </c>
    </row>
    <row r="474">
      <c r="A474" s="5">
        <f>HYPERLINK("https://finance.yahoo.com/quote/RJF","RJF")</f>
        <v/>
      </c>
      <c r="B474" t="inlineStr">
        <is>
          <t>RAYMOND JAMES FINANCIAL INC</t>
        </is>
      </c>
      <c r="C474" t="inlineStr">
        <is>
          <t>NYSE</t>
        </is>
      </c>
      <c r="D474" t="n">
        <v>720005</v>
      </c>
      <c r="E474" t="inlineStr">
        <is>
          <t>SEC</t>
        </is>
      </c>
    </row>
    <row r="475">
      <c r="A475" s="5">
        <f>HYPERLINK("https://finance.yahoo.com/quote/CRWV","CRWV")</f>
        <v/>
      </c>
      <c r="B475" t="inlineStr">
        <is>
          <t>CoreWeave, Inc.</t>
        </is>
      </c>
      <c r="C475" t="inlineStr">
        <is>
          <t>Nasdaq</t>
        </is>
      </c>
      <c r="D475" t="n">
        <v>1769628</v>
      </c>
      <c r="E475" t="inlineStr">
        <is>
          <t>SEC</t>
        </is>
      </c>
    </row>
    <row r="476">
      <c r="A476" s="5">
        <f>HYPERLINK("https://finance.yahoo.com/quote/WTW","WTW")</f>
        <v/>
      </c>
      <c r="B476" t="inlineStr">
        <is>
          <t>WILLIS TOWERS WATSON PLC</t>
        </is>
      </c>
      <c r="C476" t="inlineStr">
        <is>
          <t>Nasdaq</t>
        </is>
      </c>
      <c r="D476" t="n">
        <v>1140536</v>
      </c>
      <c r="E476" t="inlineStr">
        <is>
          <t>SEC</t>
        </is>
      </c>
    </row>
    <row r="477">
      <c r="A477" s="5">
        <f>HYPERLINK("https://finance.yahoo.com/quote/ALNY","ALNY")</f>
        <v/>
      </c>
      <c r="B477" t="inlineStr">
        <is>
          <t>ALNYLAM PHARMACEUTICALS, INC.</t>
        </is>
      </c>
      <c r="C477" t="inlineStr">
        <is>
          <t>Nasdaq</t>
        </is>
      </c>
      <c r="D477" t="n">
        <v>1178670</v>
      </c>
      <c r="E477" t="inlineStr">
        <is>
          <t>SEC</t>
        </is>
      </c>
    </row>
    <row r="478">
      <c r="A478" s="5">
        <f>HYPERLINK("https://finance.yahoo.com/quote/HPQ","HPQ")</f>
        <v/>
      </c>
      <c r="B478" t="inlineStr">
        <is>
          <t>HP INC</t>
        </is>
      </c>
      <c r="C478" t="inlineStr">
        <is>
          <t>NYSE</t>
        </is>
      </c>
      <c r="D478" t="n">
        <v>47217</v>
      </c>
      <c r="E478" t="inlineStr">
        <is>
          <t>SEC</t>
        </is>
      </c>
    </row>
    <row r="479">
      <c r="A479" s="5">
        <f>HYPERLINK("https://finance.yahoo.com/quote/MDB","MDB")</f>
        <v/>
      </c>
      <c r="B479" t="inlineStr">
        <is>
          <t>MongoDB, Inc.</t>
        </is>
      </c>
      <c r="C479" t="inlineStr">
        <is>
          <t>Nasdaq</t>
        </is>
      </c>
      <c r="D479" t="n">
        <v>1441816</v>
      </c>
      <c r="E479" t="inlineStr">
        <is>
          <t>SEC</t>
        </is>
      </c>
    </row>
    <row r="480">
      <c r="A480" s="5">
        <f>HYPERLINK("https://finance.yahoo.com/quote/AEE","AEE")</f>
        <v/>
      </c>
      <c r="B480" t="inlineStr">
        <is>
          <t>AMEREN CORP</t>
        </is>
      </c>
      <c r="C480" t="inlineStr">
        <is>
          <t>NYSE</t>
        </is>
      </c>
      <c r="D480" t="n">
        <v>1002910</v>
      </c>
      <c r="E480" t="inlineStr">
        <is>
          <t>SEC</t>
        </is>
      </c>
    </row>
    <row r="481">
      <c r="A481" s="5">
        <f>HYPERLINK("https://finance.yahoo.com/quote/WSM","WSM")</f>
        <v/>
      </c>
      <c r="B481" t="inlineStr">
        <is>
          <t>WILLIAMS SONOMA INC</t>
        </is>
      </c>
      <c r="C481" t="inlineStr">
        <is>
          <t>NYSE</t>
        </is>
      </c>
      <c r="D481" t="n">
        <v>719955</v>
      </c>
      <c r="E481" t="inlineStr">
        <is>
          <t>SEC</t>
        </is>
      </c>
    </row>
    <row r="482">
      <c r="A482" s="5">
        <f>HYPERLINK("https://finance.yahoo.com/quote/DXCM","DXCM")</f>
        <v/>
      </c>
      <c r="B482" t="inlineStr">
        <is>
          <t>DEXCOM INC</t>
        </is>
      </c>
      <c r="C482" t="inlineStr">
        <is>
          <t>Nasdaq</t>
        </is>
      </c>
      <c r="D482" t="n">
        <v>1093557</v>
      </c>
      <c r="E482" t="inlineStr">
        <is>
          <t>SEC</t>
        </is>
      </c>
    </row>
    <row r="483">
      <c r="A483" s="5">
        <f>HYPERLINK("https://finance.yahoo.com/quote/FTS","FTS")</f>
        <v/>
      </c>
      <c r="B483" t="inlineStr">
        <is>
          <t>Fortis Inc.</t>
        </is>
      </c>
      <c r="C483" t="inlineStr">
        <is>
          <t>NYSE</t>
        </is>
      </c>
      <c r="D483" t="n">
        <v>1666175</v>
      </c>
      <c r="E483" t="inlineStr">
        <is>
          <t>SEC</t>
        </is>
      </c>
    </row>
    <row r="484">
      <c r="A484" s="5">
        <f>HYPERLINK("https://finance.yahoo.com/quote/BAP","BAP")</f>
        <v/>
      </c>
      <c r="B484" t="inlineStr">
        <is>
          <t>CREDICORP LTD</t>
        </is>
      </c>
      <c r="C484" t="inlineStr">
        <is>
          <t>NYSE</t>
        </is>
      </c>
      <c r="D484" t="n">
        <v>1001290</v>
      </c>
      <c r="E484" t="inlineStr">
        <is>
          <t>SEC</t>
        </is>
      </c>
    </row>
    <row r="485">
      <c r="A485" s="5">
        <f>HYPERLINK("https://finance.yahoo.com/quote/TS","TS")</f>
        <v/>
      </c>
      <c r="B485" t="inlineStr">
        <is>
          <t>TENARIS SA</t>
        </is>
      </c>
      <c r="C485" t="inlineStr">
        <is>
          <t>NYSE</t>
        </is>
      </c>
      <c r="D485" t="n">
        <v>1190723</v>
      </c>
      <c r="E485" t="inlineStr">
        <is>
          <t>SEC</t>
        </is>
      </c>
    </row>
    <row r="486">
      <c r="A486" s="5">
        <f>HYPERLINK("https://finance.yahoo.com/quote/KHC","KHC")</f>
        <v/>
      </c>
      <c r="B486" t="inlineStr">
        <is>
          <t>Kraft Heinz Co</t>
        </is>
      </c>
      <c r="C486" t="inlineStr">
        <is>
          <t>NYSE</t>
        </is>
      </c>
      <c r="D486" t="n">
        <v>1637459</v>
      </c>
      <c r="E486" t="inlineStr">
        <is>
          <t>SEC</t>
        </is>
      </c>
    </row>
    <row r="487">
      <c r="A487" s="5">
        <f>HYPERLINK("https://finance.yahoo.com/quote/PBA","PBA")</f>
        <v/>
      </c>
      <c r="B487" t="inlineStr">
        <is>
          <t>PEMBINA PIPELINE CORP</t>
        </is>
      </c>
      <c r="C487" t="inlineStr">
        <is>
          <t>NYSE</t>
        </is>
      </c>
      <c r="D487" t="n">
        <v>1546066</v>
      </c>
      <c r="E487" t="inlineStr">
        <is>
          <t>SEC</t>
        </is>
      </c>
    </row>
    <row r="488">
      <c r="A488" s="5">
        <f>HYPERLINK("https://finance.yahoo.com/quote/TDY","TDY")</f>
        <v/>
      </c>
      <c r="B488" t="inlineStr">
        <is>
          <t>TELEDYNE TECHNOLOGIES INC</t>
        </is>
      </c>
      <c r="C488" t="inlineStr">
        <is>
          <t>NYSE</t>
        </is>
      </c>
      <c r="D488" t="n">
        <v>1094285</v>
      </c>
      <c r="E488" t="inlineStr">
        <is>
          <t>SEC</t>
        </is>
      </c>
    </row>
    <row r="489">
      <c r="A489" s="5">
        <f>HYPERLINK("https://finance.yahoo.com/quote/ATO","ATO")</f>
        <v/>
      </c>
      <c r="B489" t="inlineStr">
        <is>
          <t>ATMOS ENERGY CORP</t>
        </is>
      </c>
      <c r="C489" t="inlineStr">
        <is>
          <t>NYSE</t>
        </is>
      </c>
      <c r="D489" t="n">
        <v>731802</v>
      </c>
      <c r="E489" t="inlineStr">
        <is>
          <t>SEC</t>
        </is>
      </c>
    </row>
    <row r="490">
      <c r="A490" s="5">
        <f>HYPERLINK("https://finance.yahoo.com/quote/TECK","TECK")</f>
        <v/>
      </c>
      <c r="B490" t="inlineStr">
        <is>
          <t>TECK RESOURCES LTD</t>
        </is>
      </c>
      <c r="C490" t="inlineStr">
        <is>
          <t>NYSE</t>
        </is>
      </c>
      <c r="D490" t="n">
        <v>886986</v>
      </c>
      <c r="E490" t="inlineStr">
        <is>
          <t>SEC</t>
        </is>
      </c>
    </row>
    <row r="491">
      <c r="A491" s="5">
        <f>HYPERLINK("https://finance.yahoo.com/quote/HAL","HAL")</f>
        <v/>
      </c>
      <c r="B491" t="inlineStr">
        <is>
          <t>HALLIBURTON CO</t>
        </is>
      </c>
      <c r="C491" t="inlineStr">
        <is>
          <t>NYSE</t>
        </is>
      </c>
      <c r="D491" t="n">
        <v>45012</v>
      </c>
      <c r="E491" t="inlineStr">
        <is>
          <t>SEC</t>
        </is>
      </c>
    </row>
    <row r="492">
      <c r="A492" s="5">
        <f>HYPERLINK("https://finance.yahoo.com/quote/PUK","PUK")</f>
        <v/>
      </c>
      <c r="B492" t="inlineStr">
        <is>
          <t>PRUDENTIAL PLC</t>
        </is>
      </c>
      <c r="C492" t="inlineStr">
        <is>
          <t>NYSE</t>
        </is>
      </c>
      <c r="D492" t="n">
        <v>1116578</v>
      </c>
      <c r="E492" t="inlineStr">
        <is>
          <t>SEC</t>
        </is>
      </c>
    </row>
    <row r="493">
      <c r="A493" s="5">
        <f>HYPERLINK("https://finance.yahoo.com/quote/FSNUY","FSNUY")</f>
        <v/>
      </c>
      <c r="B493" t="inlineStr">
        <is>
          <t>Fresenius SE &amp; Co. KGaA</t>
        </is>
      </c>
      <c r="C493" t="inlineStr">
        <is>
          <t>OTC</t>
        </is>
      </c>
      <c r="D493" t="n">
        <v>904868</v>
      </c>
      <c r="E493" t="inlineStr">
        <is>
          <t>SEC</t>
        </is>
      </c>
    </row>
    <row r="494">
      <c r="A494" s="5">
        <f>HYPERLINK("https://finance.yahoo.com/quote/JBL","JBL")</f>
        <v/>
      </c>
      <c r="B494" t="inlineStr">
        <is>
          <t>JABIL INC</t>
        </is>
      </c>
      <c r="C494" t="inlineStr">
        <is>
          <t>NYSE</t>
        </is>
      </c>
      <c r="D494" t="n">
        <v>898293</v>
      </c>
      <c r="E494" t="inlineStr">
        <is>
          <t>SEC</t>
        </is>
      </c>
    </row>
    <row r="495">
      <c r="A495" s="5">
        <f>HYPERLINK("https://finance.yahoo.com/quote/DG","DG")</f>
        <v/>
      </c>
      <c r="B495" t="inlineStr">
        <is>
          <t>DOLLAR GENERAL CORP</t>
        </is>
      </c>
      <c r="C495" t="inlineStr">
        <is>
          <t>NYSE</t>
        </is>
      </c>
      <c r="D495" t="n">
        <v>29534</v>
      </c>
      <c r="E495" t="inlineStr">
        <is>
          <t>SEC</t>
        </is>
      </c>
    </row>
    <row r="496">
      <c r="A496" s="5">
        <f>HYPERLINK("https://finance.yahoo.com/quote/OTIS","OTIS")</f>
        <v/>
      </c>
      <c r="B496" t="inlineStr">
        <is>
          <t>Otis Worldwide Corp</t>
        </is>
      </c>
      <c r="C496" t="inlineStr">
        <is>
          <t>NYSE</t>
        </is>
      </c>
      <c r="D496" t="n">
        <v>1781335</v>
      </c>
      <c r="E496" t="inlineStr">
        <is>
          <t>SEC</t>
        </is>
      </c>
    </row>
    <row r="497">
      <c r="A497" s="5">
        <f>HYPERLINK("https://finance.yahoo.com/quote/EME","EME")</f>
        <v/>
      </c>
      <c r="B497" t="inlineStr">
        <is>
          <t>EMCOR Group, Inc.</t>
        </is>
      </c>
      <c r="C497" t="inlineStr">
        <is>
          <t>NYSE</t>
        </is>
      </c>
      <c r="D497" t="n">
        <v>105634</v>
      </c>
      <c r="E497" t="inlineStr">
        <is>
          <t>SEC</t>
        </is>
      </c>
    </row>
    <row r="498">
      <c r="A498" s="5">
        <f>HYPERLINK("https://finance.yahoo.com/quote/IR","IR")</f>
        <v/>
      </c>
      <c r="B498" t="inlineStr">
        <is>
          <t>Ingersoll Rand Inc.</t>
        </is>
      </c>
      <c r="C498" t="inlineStr">
        <is>
          <t>NYSE</t>
        </is>
      </c>
      <c r="D498" t="n">
        <v>1699150</v>
      </c>
      <c r="E498" t="inlineStr">
        <is>
          <t>SEC</t>
        </is>
      </c>
    </row>
    <row r="499">
      <c r="A499" s="5">
        <f>HYPERLINK("https://finance.yahoo.com/quote/AVVIY","AVVIY")</f>
        <v/>
      </c>
      <c r="B499" t="inlineStr">
        <is>
          <t>AVIVA PLC</t>
        </is>
      </c>
      <c r="C499" t="inlineStr">
        <is>
          <t>OTC</t>
        </is>
      </c>
      <c r="D499" t="n">
        <v>1140022</v>
      </c>
      <c r="E499" t="inlineStr">
        <is>
          <t>SEC</t>
        </is>
      </c>
    </row>
    <row r="500">
      <c r="A500" s="5">
        <f>HYPERLINK("https://finance.yahoo.com/quote/FLEX","FLEX")</f>
        <v/>
      </c>
      <c r="B500" t="inlineStr">
        <is>
          <t>FLEX LTD.</t>
        </is>
      </c>
      <c r="C500" t="inlineStr">
        <is>
          <t>Nasdaq</t>
        </is>
      </c>
      <c r="D500" t="n">
        <v>866374</v>
      </c>
      <c r="E500" t="inlineStr">
        <is>
          <t>SEC</t>
        </is>
      </c>
    </row>
    <row r="501">
      <c r="A501" s="5">
        <f>HYPERLINK("https://finance.yahoo.com/quote/FOXA","FOXA")</f>
        <v/>
      </c>
      <c r="B501" t="inlineStr">
        <is>
          <t>Fox Corp</t>
        </is>
      </c>
      <c r="C501" t="inlineStr">
        <is>
          <t>Nasdaq</t>
        </is>
      </c>
      <c r="D501" t="n">
        <v>1754301</v>
      </c>
      <c r="E501" t="inlineStr">
        <is>
          <t>SEC</t>
        </is>
      </c>
    </row>
    <row r="502">
      <c r="A502" s="5">
        <f>HYPERLINK("https://finance.yahoo.com/quote/ON","ON")</f>
        <v/>
      </c>
      <c r="B502" t="inlineStr">
        <is>
          <t>ON SEMICONDUCTOR CORP</t>
        </is>
      </c>
      <c r="C502" t="inlineStr">
        <is>
          <t>Nasdaq</t>
        </is>
      </c>
      <c r="D502" t="n">
        <v>1097864</v>
      </c>
      <c r="E502" t="inlineStr">
        <is>
          <t>SEC</t>
        </is>
      </c>
    </row>
    <row r="503">
      <c r="A503" s="5">
        <f>HYPERLINK("https://finance.yahoo.com/quote/KBGGY","KBGGY")</f>
        <v/>
      </c>
      <c r="B503" t="inlineStr">
        <is>
          <t>Kongsberg Gruppen ASA/ADR</t>
        </is>
      </c>
      <c r="C503" t="inlineStr">
        <is>
          <t>OTC</t>
        </is>
      </c>
      <c r="D503" t="n">
        <v>1535759</v>
      </c>
      <c r="E503" t="inlineStr">
        <is>
          <t>SEC</t>
        </is>
      </c>
    </row>
    <row r="504">
      <c r="A504" s="5">
        <f>HYPERLINK("https://finance.yahoo.com/quote/AWK","AWK")</f>
        <v/>
      </c>
      <c r="B504" t="inlineStr">
        <is>
          <t>American Water Works Company, Inc.</t>
        </is>
      </c>
      <c r="C504" t="inlineStr">
        <is>
          <t>NYSE</t>
        </is>
      </c>
      <c r="D504" t="n">
        <v>1410636</v>
      </c>
      <c r="E504" t="inlineStr">
        <is>
          <t>SEC</t>
        </is>
      </c>
    </row>
    <row r="505">
      <c r="A505" s="5">
        <f>HYPERLINK("https://finance.yahoo.com/quote/RDDT","RDDT")</f>
        <v/>
      </c>
      <c r="B505" t="inlineStr">
        <is>
          <t>Reddit, Inc.</t>
        </is>
      </c>
      <c r="C505" t="inlineStr">
        <is>
          <t>NYSE</t>
        </is>
      </c>
      <c r="D505" t="n">
        <v>1713445</v>
      </c>
      <c r="E505" t="inlineStr">
        <is>
          <t>SEC</t>
        </is>
      </c>
    </row>
    <row r="506">
      <c r="A506" s="5">
        <f>HYPERLINK("https://finance.yahoo.com/quote/ZM","ZM")</f>
        <v/>
      </c>
      <c r="B506" t="inlineStr">
        <is>
          <t>Zoom Communications, Inc.</t>
        </is>
      </c>
      <c r="C506" t="inlineStr">
        <is>
          <t>Nasdaq</t>
        </is>
      </c>
      <c r="D506" t="n">
        <v>1585521</v>
      </c>
      <c r="E506" t="inlineStr">
        <is>
          <t>SEC</t>
        </is>
      </c>
    </row>
    <row r="507">
      <c r="A507" s="5">
        <f>HYPERLINK("https://finance.yahoo.com/quote/SN","SN")</f>
        <v/>
      </c>
      <c r="B507" t="inlineStr">
        <is>
          <t>SharkNinja, Inc.</t>
        </is>
      </c>
      <c r="C507" t="inlineStr">
        <is>
          <t>NYSE</t>
        </is>
      </c>
      <c r="D507" t="n">
        <v>1957132</v>
      </c>
      <c r="E507" t="inlineStr">
        <is>
          <t>SEC</t>
        </is>
      </c>
    </row>
    <row r="508">
      <c r="A508" s="5">
        <f>HYPERLINK("https://finance.yahoo.com/quote/CRDO","CRDO")</f>
        <v/>
      </c>
      <c r="B508" t="inlineStr">
        <is>
          <t>Credo Technology Group Holding Ltd</t>
        </is>
      </c>
      <c r="C508" t="inlineStr">
        <is>
          <t>Nasdaq</t>
        </is>
      </c>
      <c r="D508" t="n">
        <v>1807794</v>
      </c>
      <c r="E508" t="inlineStr">
        <is>
          <t>SEC</t>
        </is>
      </c>
    </row>
    <row r="509">
      <c r="A509" s="5">
        <f>HYPERLINK("https://finance.yahoo.com/quote/BSP","BSP")</f>
        <v/>
      </c>
      <c r="B509" t="inlineStr">
        <is>
          <t>Bending Spoons S.p.A.</t>
        </is>
      </c>
      <c r="C509" t="inlineStr">
        <is>
          <t>Nasdaq</t>
        </is>
      </c>
      <c r="D509" t="n">
        <v>2004711</v>
      </c>
      <c r="E509" t="inlineStr">
        <is>
          <t>SEC</t>
        </is>
      </c>
    </row>
    <row r="510">
      <c r="A510" s="5">
        <f>HYPERLINK("https://finance.yahoo.com/quote/WST","WST")</f>
        <v/>
      </c>
      <c r="B510" t="inlineStr">
        <is>
          <t>WEST PHARMACEUTICAL SERVICES INC</t>
        </is>
      </c>
      <c r="C510" t="inlineStr">
        <is>
          <t>NYSE</t>
        </is>
      </c>
      <c r="D510" t="n">
        <v>105770</v>
      </c>
      <c r="E510" t="inlineStr">
        <is>
          <t>SEC</t>
        </is>
      </c>
    </row>
    <row r="511">
      <c r="A511" s="5">
        <f>HYPERLINK("https://finance.yahoo.com/quote/VRSN","VRSN")</f>
        <v/>
      </c>
      <c r="B511" t="inlineStr">
        <is>
          <t>VERISIGN INC/CA</t>
        </is>
      </c>
      <c r="C511" t="inlineStr">
        <is>
          <t>Nasdaq</t>
        </is>
      </c>
      <c r="D511" t="n">
        <v>1014473</v>
      </c>
      <c r="E511" t="inlineStr">
        <is>
          <t>SEC</t>
        </is>
      </c>
    </row>
    <row r="512">
      <c r="A512" s="5">
        <f>HYPERLINK("https://finance.yahoo.com/quote/FTI","FTI")</f>
        <v/>
      </c>
      <c r="B512" t="inlineStr">
        <is>
          <t>TechnipFMC plc</t>
        </is>
      </c>
      <c r="C512" t="inlineStr">
        <is>
          <t>NYSE</t>
        </is>
      </c>
      <c r="D512" t="n">
        <v>1681459</v>
      </c>
      <c r="E512" t="inlineStr">
        <is>
          <t>SEC</t>
        </is>
      </c>
    </row>
    <row r="513">
      <c r="A513" s="5">
        <f>HYPERLINK("https://finance.yahoo.com/quote/CFG","CFG")</f>
        <v/>
      </c>
      <c r="B513" t="inlineStr">
        <is>
          <t>CITIZENS FINANCIAL GROUP INC/RI</t>
        </is>
      </c>
      <c r="C513" t="inlineStr">
        <is>
          <t>NYSE</t>
        </is>
      </c>
      <c r="D513" t="n">
        <v>759944</v>
      </c>
      <c r="E513" t="inlineStr">
        <is>
          <t>SEC</t>
        </is>
      </c>
    </row>
    <row r="514">
      <c r="A514" s="5">
        <f>HYPERLINK("https://finance.yahoo.com/quote/DTE","DTE")</f>
        <v/>
      </c>
      <c r="B514" t="inlineStr">
        <is>
          <t>DTE ENERGY CO</t>
        </is>
      </c>
      <c r="C514" t="inlineStr">
        <is>
          <t>NYSE</t>
        </is>
      </c>
      <c r="D514" t="n">
        <v>936340</v>
      </c>
      <c r="E514" t="inlineStr">
        <is>
          <t>SEC</t>
        </is>
      </c>
    </row>
    <row r="515">
      <c r="A515" s="5">
        <f>HYPERLINK("https://finance.yahoo.com/quote/WRB","WRB")</f>
        <v/>
      </c>
      <c r="B515" t="inlineStr">
        <is>
          <t>BERKLEY W R CORP</t>
        </is>
      </c>
      <c r="C515" t="inlineStr">
        <is>
          <t>NYSE</t>
        </is>
      </c>
      <c r="D515" t="n">
        <v>11544</v>
      </c>
      <c r="E515" t="inlineStr">
        <is>
          <t>SEC</t>
        </is>
      </c>
    </row>
    <row r="516">
      <c r="A516" s="5">
        <f>HYPERLINK("https://finance.yahoo.com/quote/FCNCA","FCNCA")</f>
        <v/>
      </c>
      <c r="B516" t="inlineStr">
        <is>
          <t>FIRST CITIZENS BANCSHARES INC /DE/</t>
        </is>
      </c>
      <c r="C516" t="inlineStr">
        <is>
          <t>Nasdaq</t>
        </is>
      </c>
      <c r="D516" t="n">
        <v>798941</v>
      </c>
      <c r="E516" t="inlineStr">
        <is>
          <t>SEC</t>
        </is>
      </c>
    </row>
    <row r="517">
      <c r="A517" s="5">
        <f>HYPERLINK("https://finance.yahoo.com/quote/CINF","CINF")</f>
        <v/>
      </c>
      <c r="B517" t="inlineStr">
        <is>
          <t>CINCINNATI FINANCIAL CORP</t>
        </is>
      </c>
      <c r="C517" t="inlineStr">
        <is>
          <t>Nasdaq</t>
        </is>
      </c>
      <c r="D517" t="n">
        <v>20286</v>
      </c>
      <c r="E517" t="inlineStr">
        <is>
          <t>SEC</t>
        </is>
      </c>
    </row>
    <row r="518">
      <c r="A518" s="5">
        <f>HYPERLINK("https://finance.yahoo.com/quote/RYAAY","RYAAY")</f>
        <v/>
      </c>
      <c r="B518" t="inlineStr">
        <is>
          <t>RYANAIR HOLDINGS PLC</t>
        </is>
      </c>
      <c r="C518" t="inlineStr">
        <is>
          <t>Nasdaq</t>
        </is>
      </c>
      <c r="D518" t="n">
        <v>1038683</v>
      </c>
      <c r="E518" t="inlineStr">
        <is>
          <t>SEC</t>
        </is>
      </c>
    </row>
    <row r="519">
      <c r="A519" s="5">
        <f>HYPERLINK("https://finance.yahoo.com/quote/CNP","CNP")</f>
        <v/>
      </c>
      <c r="B519" t="inlineStr">
        <is>
          <t>CENTERPOINT ENERGY INC</t>
        </is>
      </c>
      <c r="C519" t="inlineStr">
        <is>
          <t>NYSE</t>
        </is>
      </c>
      <c r="D519" t="n">
        <v>1130310</v>
      </c>
      <c r="E519" t="inlineStr">
        <is>
          <t>SEC</t>
        </is>
      </c>
    </row>
    <row r="520">
      <c r="A520" s="5">
        <f>HYPERLINK("https://finance.yahoo.com/quote/CBRS","CBRS")</f>
        <v/>
      </c>
      <c r="B520" t="inlineStr">
        <is>
          <t>Cerebras Systems Inc.</t>
        </is>
      </c>
      <c r="C520" t="inlineStr">
        <is>
          <t>Nasdaq</t>
        </is>
      </c>
      <c r="D520" t="n">
        <v>2021728</v>
      </c>
      <c r="E520" t="inlineStr">
        <is>
          <t>SEC</t>
        </is>
      </c>
    </row>
    <row r="521">
      <c r="A521" s="5">
        <f>HYPERLINK("https://finance.yahoo.com/quote/GMAB","GMAB")</f>
        <v/>
      </c>
      <c r="B521" t="inlineStr">
        <is>
          <t>GENMAB A/S</t>
        </is>
      </c>
      <c r="C521" t="inlineStr">
        <is>
          <t>Nasdaq</t>
        </is>
      </c>
      <c r="D521" t="n">
        <v>1434265</v>
      </c>
      <c r="E521" t="inlineStr">
        <is>
          <t>SEC</t>
        </is>
      </c>
    </row>
    <row r="522">
      <c r="A522" s="5">
        <f>HYPERLINK("https://finance.yahoo.com/quote/DGX","DGX")</f>
        <v/>
      </c>
      <c r="B522" t="inlineStr">
        <is>
          <t>QUEST DIAGNOSTICS INC</t>
        </is>
      </c>
      <c r="C522" t="inlineStr">
        <is>
          <t>NYSE</t>
        </is>
      </c>
      <c r="D522" t="n">
        <v>1022079</v>
      </c>
      <c r="E522" t="inlineStr">
        <is>
          <t>SEC</t>
        </is>
      </c>
    </row>
    <row r="523">
      <c r="A523" s="5">
        <f>HYPERLINK("https://finance.yahoo.com/quote/LH","LH")</f>
        <v/>
      </c>
      <c r="B523" t="inlineStr">
        <is>
          <t>LABCORP HOLDINGS INC.</t>
        </is>
      </c>
      <c r="C523" t="inlineStr">
        <is>
          <t>NYSE</t>
        </is>
      </c>
      <c r="D523" t="n">
        <v>920148</v>
      </c>
      <c r="E523" t="inlineStr">
        <is>
          <t>SEC</t>
        </is>
      </c>
    </row>
    <row r="524">
      <c r="A524" s="5">
        <f>HYPERLINK("https://finance.yahoo.com/quote/CPAY","CPAY")</f>
        <v/>
      </c>
      <c r="B524" t="inlineStr">
        <is>
          <t>CORPAY, INC.</t>
        </is>
      </c>
      <c r="C524" t="inlineStr">
        <is>
          <t>NYSE</t>
        </is>
      </c>
      <c r="D524" t="n">
        <v>1175454</v>
      </c>
      <c r="E524" t="inlineStr">
        <is>
          <t>SEC</t>
        </is>
      </c>
    </row>
    <row r="525">
      <c r="A525" s="5">
        <f>HYPERLINK("https://finance.yahoo.com/quote/CPRT","CPRT")</f>
        <v/>
      </c>
      <c r="B525" t="inlineStr">
        <is>
          <t>COPART INC</t>
        </is>
      </c>
      <c r="C525" t="inlineStr">
        <is>
          <t>Nasdaq</t>
        </is>
      </c>
      <c r="D525" t="n">
        <v>900075</v>
      </c>
      <c r="E525" t="inlineStr">
        <is>
          <t>SEC</t>
        </is>
      </c>
    </row>
    <row r="526">
      <c r="A526" s="5">
        <f>HYPERLINK("https://finance.yahoo.com/quote/ULTA","ULTA")</f>
        <v/>
      </c>
      <c r="B526" t="inlineStr">
        <is>
          <t>Ulta Beauty, Inc.</t>
        </is>
      </c>
      <c r="C526" t="inlineStr">
        <is>
          <t>Nasdaq</t>
        </is>
      </c>
      <c r="D526" t="n">
        <v>1403568</v>
      </c>
      <c r="E526" t="inlineStr">
        <is>
          <t>SEC</t>
        </is>
      </c>
    </row>
    <row r="527">
      <c r="A527" s="5">
        <f>HYPERLINK("https://finance.yahoo.com/quote/FE","FE")</f>
        <v/>
      </c>
      <c r="B527" t="inlineStr">
        <is>
          <t>FIRSTENERGY CORP</t>
        </is>
      </c>
      <c r="C527" t="inlineStr">
        <is>
          <t>NYSE</t>
        </is>
      </c>
      <c r="D527" t="n">
        <v>1031296</v>
      </c>
      <c r="E527" t="inlineStr">
        <is>
          <t>SEC</t>
        </is>
      </c>
    </row>
    <row r="528">
      <c r="A528" s="5">
        <f>HYPERLINK("https://finance.yahoo.com/quote/DOV","DOV")</f>
        <v/>
      </c>
      <c r="B528" t="inlineStr">
        <is>
          <t>DOVER Corp</t>
        </is>
      </c>
      <c r="C528" t="inlineStr">
        <is>
          <t>NYSE</t>
        </is>
      </c>
      <c r="D528" t="n">
        <v>29905</v>
      </c>
      <c r="E528" t="inlineStr">
        <is>
          <t>SEC</t>
        </is>
      </c>
    </row>
    <row r="529">
      <c r="A529" s="5">
        <f>HYPERLINK("https://finance.yahoo.com/quote/KGC","KGC")</f>
        <v/>
      </c>
      <c r="B529" t="inlineStr">
        <is>
          <t>KINROSS GOLD CORP</t>
        </is>
      </c>
      <c r="C529" t="inlineStr">
        <is>
          <t>NYSE</t>
        </is>
      </c>
      <c r="D529" t="n">
        <v>701818</v>
      </c>
      <c r="E529" t="inlineStr">
        <is>
          <t>SEC</t>
        </is>
      </c>
    </row>
    <row r="530">
      <c r="A530" s="5">
        <f>HYPERLINK("https://finance.yahoo.com/quote/RBRK","RBRK")</f>
        <v/>
      </c>
      <c r="B530" t="inlineStr">
        <is>
          <t>Rubrik, Inc.</t>
        </is>
      </c>
      <c r="C530" t="inlineStr">
        <is>
          <t>NYSE</t>
        </is>
      </c>
      <c r="D530" t="n">
        <v>1943896</v>
      </c>
      <c r="E530" t="inlineStr">
        <is>
          <t>SEC</t>
        </is>
      </c>
    </row>
    <row r="531">
      <c r="A531" s="5">
        <f>HYPERLINK("https://finance.yahoo.com/quote/TW","TW")</f>
        <v/>
      </c>
      <c r="B531" t="inlineStr">
        <is>
          <t>Tradeweb Markets Inc.</t>
        </is>
      </c>
      <c r="C531" t="inlineStr">
        <is>
          <t>Nasdaq</t>
        </is>
      </c>
      <c r="D531" t="n">
        <v>1758730</v>
      </c>
      <c r="E531" t="inlineStr">
        <is>
          <t>SEC</t>
        </is>
      </c>
    </row>
    <row r="532">
      <c r="A532" s="5">
        <f>HYPERLINK("https://finance.yahoo.com/quote/FISV","FISV")</f>
        <v/>
      </c>
      <c r="B532" t="inlineStr">
        <is>
          <t>FISERV INC</t>
        </is>
      </c>
      <c r="C532" t="inlineStr">
        <is>
          <t>Nasdaq</t>
        </is>
      </c>
      <c r="D532" t="n">
        <v>798354</v>
      </c>
      <c r="E532" t="inlineStr">
        <is>
          <t>SEC</t>
        </is>
      </c>
    </row>
    <row r="533">
      <c r="A533" s="5">
        <f>HYPERLINK("https://finance.yahoo.com/quote/BIDU","BIDU")</f>
        <v/>
      </c>
      <c r="B533" t="inlineStr">
        <is>
          <t>Baidu, Inc.</t>
        </is>
      </c>
      <c r="C533" t="inlineStr">
        <is>
          <t>Nasdaq</t>
        </is>
      </c>
      <c r="D533" t="n">
        <v>1329099</v>
      </c>
      <c r="E533" t="inlineStr">
        <is>
          <t>SEC</t>
        </is>
      </c>
    </row>
    <row r="534">
      <c r="A534" s="5">
        <f>HYPERLINK("https://finance.yahoo.com/quote/ROIV","ROIV")</f>
        <v/>
      </c>
      <c r="B534" t="inlineStr">
        <is>
          <t>Roivant Sciences Ltd.</t>
        </is>
      </c>
      <c r="C534" t="inlineStr">
        <is>
          <t>Nasdaq</t>
        </is>
      </c>
      <c r="D534" t="n">
        <v>1635088</v>
      </c>
      <c r="E534" t="inlineStr">
        <is>
          <t>SEC</t>
        </is>
      </c>
    </row>
    <row r="535">
      <c r="A535" s="5">
        <f>HYPERLINK("https://finance.yahoo.com/quote/PPL","PPL")</f>
        <v/>
      </c>
      <c r="B535" t="inlineStr">
        <is>
          <t>PPL Corp</t>
        </is>
      </c>
      <c r="C535" t="inlineStr">
        <is>
          <t>NYSE</t>
        </is>
      </c>
      <c r="D535" t="n">
        <v>922224</v>
      </c>
      <c r="E535" t="inlineStr">
        <is>
          <t>SEC</t>
        </is>
      </c>
    </row>
    <row r="536">
      <c r="A536" s="5">
        <f>HYPERLINK("https://finance.yahoo.com/quote/PHG","PHG")</f>
        <v/>
      </c>
      <c r="B536" t="inlineStr">
        <is>
          <t>KONINKLIJKE PHILIPS NV</t>
        </is>
      </c>
      <c r="C536" t="inlineStr">
        <is>
          <t>NYSE</t>
        </is>
      </c>
      <c r="D536" t="n">
        <v>313216</v>
      </c>
      <c r="E536" t="inlineStr">
        <is>
          <t>SEC</t>
        </is>
      </c>
    </row>
    <row r="537">
      <c r="A537" s="5">
        <f>HYPERLINK("https://finance.yahoo.com/quote/NMR","NMR")</f>
        <v/>
      </c>
      <c r="B537" t="inlineStr">
        <is>
          <t>NOMURA HOLDINGS INC</t>
        </is>
      </c>
      <c r="C537" t="inlineStr">
        <is>
          <t>NYSE</t>
        </is>
      </c>
      <c r="D537" t="n">
        <v>1163653</v>
      </c>
      <c r="E537" t="inlineStr">
        <is>
          <t>SEC</t>
        </is>
      </c>
    </row>
    <row r="538">
      <c r="A538" s="5">
        <f>HYPERLINK("https://finance.yahoo.com/quote/IOT","IOT")</f>
        <v/>
      </c>
      <c r="B538" t="inlineStr">
        <is>
          <t>Samsara Inc.</t>
        </is>
      </c>
      <c r="C538" t="inlineStr">
        <is>
          <t>NYSE</t>
        </is>
      </c>
      <c r="D538" t="n">
        <v>1642896</v>
      </c>
      <c r="E538" t="inlineStr">
        <is>
          <t>SEC</t>
        </is>
      </c>
    </row>
    <row r="539">
      <c r="A539" s="5">
        <f>HYPERLINK("https://finance.yahoo.com/quote/ECHO","ECHO")</f>
        <v/>
      </c>
      <c r="B539" t="inlineStr">
        <is>
          <t>EchoStar CORP</t>
        </is>
      </c>
      <c r="C539" t="inlineStr">
        <is>
          <t>Nasdaq</t>
        </is>
      </c>
      <c r="D539" t="n">
        <v>1415404</v>
      </c>
      <c r="E539" t="inlineStr">
        <is>
          <t>SEC</t>
        </is>
      </c>
    </row>
    <row r="540">
      <c r="A540" s="5">
        <f>HYPERLINK("https://finance.yahoo.com/quote/VICI","VICI")</f>
        <v/>
      </c>
      <c r="B540" t="inlineStr">
        <is>
          <t>VICI PROPERTIES INC.</t>
        </is>
      </c>
      <c r="C540" t="inlineStr">
        <is>
          <t>NYSE</t>
        </is>
      </c>
      <c r="D540" t="n">
        <v>1705696</v>
      </c>
      <c r="E540" t="inlineStr">
        <is>
          <t>SEC</t>
        </is>
      </c>
    </row>
    <row r="541">
      <c r="A541" s="5">
        <f>HYPERLINK("https://finance.yahoo.com/quote/FFIV","FFIV")</f>
        <v/>
      </c>
      <c r="B541" t="inlineStr">
        <is>
          <t>F5, INC.</t>
        </is>
      </c>
      <c r="C541" t="inlineStr">
        <is>
          <t>Nasdaq</t>
        </is>
      </c>
      <c r="D541" t="n">
        <v>1048695</v>
      </c>
      <c r="E541" t="inlineStr">
        <is>
          <t>SEC</t>
        </is>
      </c>
    </row>
    <row r="542">
      <c r="A542" s="5">
        <f>HYPERLINK("https://finance.yahoo.com/quote/CASY","CASY")</f>
        <v/>
      </c>
      <c r="B542" t="inlineStr">
        <is>
          <t>CASEYS GENERAL STORES INC</t>
        </is>
      </c>
      <c r="C542" t="inlineStr">
        <is>
          <t>Nasdaq</t>
        </is>
      </c>
      <c r="D542" t="n">
        <v>726958</v>
      </c>
      <c r="E542" t="inlineStr">
        <is>
          <t>SEC</t>
        </is>
      </c>
    </row>
    <row r="543">
      <c r="A543" s="5">
        <f>HYPERLINK("https://finance.yahoo.com/quote/EXPD","EXPD")</f>
        <v/>
      </c>
      <c r="B543" t="inlineStr">
        <is>
          <t>EXPEDITORS INTERNATIONAL OF WASHINGTON INC</t>
        </is>
      </c>
      <c r="C543" t="inlineStr">
        <is>
          <t>NYSE</t>
        </is>
      </c>
      <c r="D543" t="n">
        <v>746515</v>
      </c>
      <c r="E543" t="inlineStr">
        <is>
          <t>SEC</t>
        </is>
      </c>
    </row>
    <row r="544">
      <c r="A544" s="5">
        <f>HYPERLINK("https://finance.yahoo.com/quote/XYL","XYL")</f>
        <v/>
      </c>
      <c r="B544" t="inlineStr">
        <is>
          <t>Xylem Inc.</t>
        </is>
      </c>
      <c r="C544" t="inlineStr">
        <is>
          <t>NYSE</t>
        </is>
      </c>
      <c r="D544" t="n">
        <v>1524472</v>
      </c>
      <c r="E544" t="inlineStr">
        <is>
          <t>SEC</t>
        </is>
      </c>
    </row>
    <row r="545">
      <c r="A545" s="5">
        <f>HYPERLINK("https://finance.yahoo.com/quote/ES","ES")</f>
        <v/>
      </c>
      <c r="B545" t="inlineStr">
        <is>
          <t>EVERSOURCE ENERGY</t>
        </is>
      </c>
      <c r="C545" t="inlineStr">
        <is>
          <t>NYSE</t>
        </is>
      </c>
      <c r="D545" t="n">
        <v>72741</v>
      </c>
      <c r="E545" t="inlineStr">
        <is>
          <t>SEC</t>
        </is>
      </c>
    </row>
    <row r="546">
      <c r="A546" s="5">
        <f>HYPERLINK("https://finance.yahoo.com/quote/VRSK","VRSK")</f>
        <v/>
      </c>
      <c r="B546" t="inlineStr">
        <is>
          <t>Verisk Analytics, Inc.</t>
        </is>
      </c>
      <c r="C546" t="inlineStr">
        <is>
          <t>Nasdaq</t>
        </is>
      </c>
      <c r="D546" t="n">
        <v>1442145</v>
      </c>
      <c r="E546" t="inlineStr">
        <is>
          <t>SEC</t>
        </is>
      </c>
    </row>
    <row r="547">
      <c r="A547" s="5">
        <f>HYPERLINK("https://finance.yahoo.com/quote/VLTO","VLTO")</f>
        <v/>
      </c>
      <c r="B547" t="inlineStr">
        <is>
          <t>Veralto Corp</t>
        </is>
      </c>
      <c r="C547" t="inlineStr">
        <is>
          <t>NYSE</t>
        </is>
      </c>
      <c r="D547" t="n">
        <v>1967680</v>
      </c>
      <c r="E547" t="inlineStr">
        <is>
          <t>SEC</t>
        </is>
      </c>
    </row>
    <row r="548">
      <c r="A548" s="5">
        <f>HYPERLINK("https://finance.yahoo.com/quote/TCOM","TCOM")</f>
        <v/>
      </c>
      <c r="B548" t="inlineStr">
        <is>
          <t>Trip.com Group Ltd</t>
        </is>
      </c>
      <c r="C548" t="inlineStr">
        <is>
          <t>Nasdaq</t>
        </is>
      </c>
      <c r="D548" t="n">
        <v>1269238</v>
      </c>
      <c r="E548" t="inlineStr">
        <is>
          <t>SEC</t>
        </is>
      </c>
    </row>
    <row r="549">
      <c r="A549" s="5">
        <f>HYPERLINK("https://finance.yahoo.com/quote/UTHR","UTHR")</f>
        <v/>
      </c>
      <c r="B549" t="inlineStr">
        <is>
          <t>UNITED THERAPEUTICS Corp</t>
        </is>
      </c>
      <c r="C549" t="inlineStr">
        <is>
          <t>Nasdaq</t>
        </is>
      </c>
      <c r="D549" t="n">
        <v>1082554</v>
      </c>
      <c r="E549" t="inlineStr">
        <is>
          <t>SEC</t>
        </is>
      </c>
    </row>
    <row r="550">
      <c r="A550" s="5">
        <f>HYPERLINK("https://finance.yahoo.com/quote/CHD","CHD")</f>
        <v/>
      </c>
      <c r="B550" t="inlineStr">
        <is>
          <t>CHURCH &amp; DWIGHT CO INC /DE/</t>
        </is>
      </c>
      <c r="C550" t="inlineStr">
        <is>
          <t>NYSE</t>
        </is>
      </c>
      <c r="D550" t="n">
        <v>313927</v>
      </c>
      <c r="E550" t="inlineStr">
        <is>
          <t>SEC</t>
        </is>
      </c>
    </row>
    <row r="551">
      <c r="A551" s="5">
        <f>HYPERLINK("https://finance.yahoo.com/quote/CPNG","CPNG")</f>
        <v/>
      </c>
      <c r="B551" t="inlineStr">
        <is>
          <t>Coupang, Inc.</t>
        </is>
      </c>
      <c r="C551" t="inlineStr">
        <is>
          <t>NYSE</t>
        </is>
      </c>
      <c r="D551" t="n">
        <v>1834584</v>
      </c>
      <c r="E551" t="inlineStr">
        <is>
          <t>SEC</t>
        </is>
      </c>
    </row>
    <row r="552">
      <c r="A552" s="5">
        <f>HYPERLINK("https://finance.yahoo.com/quote/GFS","GFS")</f>
        <v/>
      </c>
      <c r="B552" t="inlineStr">
        <is>
          <t>GLOBALFOUNDRIES Inc.</t>
        </is>
      </c>
      <c r="C552" t="inlineStr">
        <is>
          <t>Nasdaq</t>
        </is>
      </c>
      <c r="D552" t="n">
        <v>1709048</v>
      </c>
      <c r="E552" t="inlineStr">
        <is>
          <t>SEC</t>
        </is>
      </c>
    </row>
    <row r="553">
      <c r="A553" s="5">
        <f>HYPERLINK("https://finance.yahoo.com/quote/LPLA","LPLA")</f>
        <v/>
      </c>
      <c r="B553" t="inlineStr">
        <is>
          <t>LPL Financial Holdings Inc.</t>
        </is>
      </c>
      <c r="C553" t="inlineStr">
        <is>
          <t>Nasdaq</t>
        </is>
      </c>
      <c r="D553" t="n">
        <v>1397911</v>
      </c>
      <c r="E553" t="inlineStr">
        <is>
          <t>SEC</t>
        </is>
      </c>
    </row>
    <row r="554">
      <c r="A554" s="5">
        <f>HYPERLINK("https://finance.yahoo.com/quote/PPG","PPG")</f>
        <v/>
      </c>
      <c r="B554" t="inlineStr">
        <is>
          <t>PPG INDUSTRIES INC</t>
        </is>
      </c>
      <c r="C554" t="inlineStr">
        <is>
          <t>NYSE</t>
        </is>
      </c>
      <c r="D554" t="n">
        <v>79879</v>
      </c>
      <c r="E554" t="inlineStr">
        <is>
          <t>SEC</t>
        </is>
      </c>
    </row>
    <row r="555">
      <c r="A555" s="5">
        <f>HYPERLINK("https://finance.yahoo.com/quote/BRO","BRO")</f>
        <v/>
      </c>
      <c r="B555" t="inlineStr">
        <is>
          <t>BROWN &amp; BROWN, INC.</t>
        </is>
      </c>
      <c r="C555" t="inlineStr">
        <is>
          <t>NYSE</t>
        </is>
      </c>
      <c r="D555" t="n">
        <v>79282</v>
      </c>
      <c r="E555" t="inlineStr">
        <is>
          <t>SEC</t>
        </is>
      </c>
    </row>
    <row r="556">
      <c r="A556" s="5">
        <f>HYPERLINK("https://finance.yahoo.com/quote/RF","RF")</f>
        <v/>
      </c>
      <c r="B556" t="inlineStr">
        <is>
          <t>REGIONS FINANCIAL CORP</t>
        </is>
      </c>
      <c r="C556" t="inlineStr">
        <is>
          <t>NYSE</t>
        </is>
      </c>
      <c r="D556" t="n">
        <v>1281761</v>
      </c>
      <c r="E556" t="inlineStr">
        <is>
          <t>SEC</t>
        </is>
      </c>
    </row>
    <row r="557">
      <c r="A557" s="5">
        <f>HYPERLINK("https://finance.yahoo.com/quote/SYM","SYM")</f>
        <v/>
      </c>
      <c r="B557" t="inlineStr">
        <is>
          <t>Symbotic Inc.</t>
        </is>
      </c>
      <c r="C557" t="inlineStr">
        <is>
          <t>Nasdaq</t>
        </is>
      </c>
      <c r="D557" t="n">
        <v>1837240</v>
      </c>
      <c r="E557" t="inlineStr">
        <is>
          <t>SEC</t>
        </is>
      </c>
    </row>
    <row r="558">
      <c r="A558" s="5">
        <f>HYPERLINK("https://finance.yahoo.com/quote/IFF","IFF")</f>
        <v/>
      </c>
      <c r="B558" t="inlineStr">
        <is>
          <t>INTERNATIONAL FLAVORS &amp; FRAGRANCES INC</t>
        </is>
      </c>
      <c r="C558" t="inlineStr">
        <is>
          <t>NYSE</t>
        </is>
      </c>
      <c r="D558" t="n">
        <v>51253</v>
      </c>
      <c r="E558" t="inlineStr">
        <is>
          <t>SEC</t>
        </is>
      </c>
    </row>
    <row r="559">
      <c r="A559" s="5">
        <f>HYPERLINK("https://finance.yahoo.com/quote/DRI","DRI")</f>
        <v/>
      </c>
      <c r="B559" t="inlineStr">
        <is>
          <t>DARDEN RESTAURANTS INC</t>
        </is>
      </c>
      <c r="C559" t="inlineStr">
        <is>
          <t>NYSE</t>
        </is>
      </c>
      <c r="D559" t="n">
        <v>940944</v>
      </c>
      <c r="E559" t="inlineStr">
        <is>
          <t>SEC</t>
        </is>
      </c>
    </row>
    <row r="560">
      <c r="A560" s="5">
        <f>HYPERLINK("https://finance.yahoo.com/quote/SYF","SYF")</f>
        <v/>
      </c>
      <c r="B560" t="inlineStr">
        <is>
          <t>Synchrony Financial</t>
        </is>
      </c>
      <c r="C560" t="inlineStr">
        <is>
          <t>NYSE</t>
        </is>
      </c>
      <c r="D560" t="n">
        <v>1601712</v>
      </c>
      <c r="E560" t="inlineStr">
        <is>
          <t>SEC</t>
        </is>
      </c>
    </row>
    <row r="561">
      <c r="A561" s="5">
        <f>HYPERLINK("https://finance.yahoo.com/quote/AFRM","AFRM")</f>
        <v/>
      </c>
      <c r="B561" t="inlineStr">
        <is>
          <t>Affirm Holdings, Inc.</t>
        </is>
      </c>
      <c r="C561" t="inlineStr">
        <is>
          <t>Nasdaq</t>
        </is>
      </c>
      <c r="D561" t="n">
        <v>1820953</v>
      </c>
      <c r="E561" t="inlineStr">
        <is>
          <t>SEC</t>
        </is>
      </c>
    </row>
    <row r="562">
      <c r="A562" s="5">
        <f>HYPERLINK("https://finance.yahoo.com/quote/HUBB","HUBB")</f>
        <v/>
      </c>
      <c r="B562" t="inlineStr">
        <is>
          <t>HUBBELL INC</t>
        </is>
      </c>
      <c r="C562" t="inlineStr">
        <is>
          <t>NYSE</t>
        </is>
      </c>
      <c r="D562" t="n">
        <v>48898</v>
      </c>
      <c r="E562" t="inlineStr">
        <is>
          <t>SEC</t>
        </is>
      </c>
    </row>
    <row r="563">
      <c r="A563" s="5">
        <f>HYPERLINK("https://finance.yahoo.com/quote/ROKU","ROKU")</f>
        <v/>
      </c>
      <c r="B563" t="inlineStr">
        <is>
          <t>ROKU, INC</t>
        </is>
      </c>
      <c r="C563" t="inlineStr">
        <is>
          <t>Nasdaq</t>
        </is>
      </c>
      <c r="D563" t="n">
        <v>1428439</v>
      </c>
      <c r="E563" t="inlineStr">
        <is>
          <t>SEC</t>
        </is>
      </c>
    </row>
    <row r="564">
      <c r="A564" s="5">
        <f>HYPERLINK("https://finance.yahoo.com/quote/IHG","IHG")</f>
        <v/>
      </c>
      <c r="B564" t="inlineStr">
        <is>
          <t>INTERCONTINENTAL HOTELS GROUP PLC /NEW/</t>
        </is>
      </c>
      <c r="C564" t="inlineStr">
        <is>
          <t>NYSE</t>
        </is>
      </c>
      <c r="D564" t="n">
        <v>858446</v>
      </c>
      <c r="E564" t="inlineStr">
        <is>
          <t>SEC</t>
        </is>
      </c>
    </row>
    <row r="565">
      <c r="A565" s="5">
        <f>HYPERLINK("https://finance.yahoo.com/quote/DOW","DOW")</f>
        <v/>
      </c>
      <c r="B565" t="inlineStr">
        <is>
          <t>DOW INC.</t>
        </is>
      </c>
      <c r="C565" t="inlineStr">
        <is>
          <t>NYSE</t>
        </is>
      </c>
      <c r="D565" t="n">
        <v>1751788</v>
      </c>
      <c r="E565" t="inlineStr">
        <is>
          <t>SEC</t>
        </is>
      </c>
    </row>
    <row r="566">
      <c r="A566" s="5">
        <f>HYPERLINK("https://finance.yahoo.com/quote/CHLSY","CHLSY")</f>
        <v/>
      </c>
      <c r="B566" t="inlineStr">
        <is>
          <t>Chocoladefabriken Lindt &amp; Spruengli AG/ADR</t>
        </is>
      </c>
      <c r="C566" t="inlineStr">
        <is>
          <t>OTC</t>
        </is>
      </c>
      <c r="D566" t="n">
        <v>1885110</v>
      </c>
      <c r="E566" t="inlineStr">
        <is>
          <t>SEC</t>
        </is>
      </c>
    </row>
    <row r="567">
      <c r="A567" s="5">
        <f>HYPERLINK("https://finance.yahoo.com/quote/TPL","TPL")</f>
        <v/>
      </c>
      <c r="B567" t="inlineStr">
        <is>
          <t>Texas Pacific Land Corp</t>
        </is>
      </c>
      <c r="C567" t="inlineStr">
        <is>
          <t>NYSE</t>
        </is>
      </c>
      <c r="D567" t="n">
        <v>1811074</v>
      </c>
      <c r="E567" t="inlineStr">
        <is>
          <t>SEC</t>
        </is>
      </c>
    </row>
    <row r="568">
      <c r="A568" s="5">
        <f>HYPERLINK("https://finance.yahoo.com/quote/INCY","INCY")</f>
        <v/>
      </c>
      <c r="B568" t="inlineStr">
        <is>
          <t>INCYTE CORP</t>
        </is>
      </c>
      <c r="C568" t="inlineStr">
        <is>
          <t>Nasdaq</t>
        </is>
      </c>
      <c r="D568" t="n">
        <v>879169</v>
      </c>
      <c r="E568" t="inlineStr">
        <is>
          <t>SEC</t>
        </is>
      </c>
    </row>
    <row r="569">
      <c r="A569" s="5">
        <f>HYPERLINK("https://finance.yahoo.com/quote/STZ","STZ")</f>
        <v/>
      </c>
      <c r="B569" t="inlineStr">
        <is>
          <t>CONSTELLATION BRANDS, INC.</t>
        </is>
      </c>
      <c r="C569" t="inlineStr">
        <is>
          <t>NYSE</t>
        </is>
      </c>
      <c r="D569" t="n">
        <v>16918</v>
      </c>
      <c r="E569" t="inlineStr">
        <is>
          <t>SEC</t>
        </is>
      </c>
    </row>
    <row r="570">
      <c r="A570" s="5">
        <f>HYPERLINK("https://finance.yahoo.com/quote/MKL","MKL")</f>
        <v/>
      </c>
      <c r="B570" t="inlineStr">
        <is>
          <t>MARKEL GROUP INC.</t>
        </is>
      </c>
      <c r="C570" t="inlineStr">
        <is>
          <t>NYSE</t>
        </is>
      </c>
      <c r="D570" t="n">
        <v>1096343</v>
      </c>
      <c r="E570" t="inlineStr">
        <is>
          <t>SEC</t>
        </is>
      </c>
    </row>
    <row r="571">
      <c r="A571" s="5">
        <f>HYPERLINK("https://finance.yahoo.com/quote/DLTR","DLTR")</f>
        <v/>
      </c>
      <c r="B571" t="inlineStr">
        <is>
          <t>DOLLAR TREE, INC.</t>
        </is>
      </c>
      <c r="C571" t="inlineStr">
        <is>
          <t>Nasdaq</t>
        </is>
      </c>
      <c r="D571" t="n">
        <v>935703</v>
      </c>
      <c r="E571" t="inlineStr">
        <is>
          <t>SEC</t>
        </is>
      </c>
    </row>
    <row r="572">
      <c r="A572" s="5">
        <f>HYPERLINK("https://finance.yahoo.com/quote/PFG","PFG")</f>
        <v/>
      </c>
      <c r="B572" t="inlineStr">
        <is>
          <t>PRINCIPAL FINANCIAL GROUP INC</t>
        </is>
      </c>
      <c r="C572" t="inlineStr">
        <is>
          <t>Nasdaq</t>
        </is>
      </c>
      <c r="D572" t="n">
        <v>1126328</v>
      </c>
      <c r="E572" t="inlineStr">
        <is>
          <t>SEC</t>
        </is>
      </c>
    </row>
    <row r="573">
      <c r="A573" s="5">
        <f>HYPERLINK("https://finance.yahoo.com/quote/CIB","CIB")</f>
        <v/>
      </c>
      <c r="B573" t="inlineStr">
        <is>
          <t>Grupo Cibest S.A.</t>
        </is>
      </c>
      <c r="C573" t="inlineStr">
        <is>
          <t>NYSE</t>
        </is>
      </c>
      <c r="D573" t="n">
        <v>2058897</v>
      </c>
      <c r="E573" t="inlineStr">
        <is>
          <t>SEC</t>
        </is>
      </c>
    </row>
    <row r="574">
      <c r="A574" s="5">
        <f>HYPERLINK("https://finance.yahoo.com/quote/Q","Q")</f>
        <v/>
      </c>
      <c r="B574" t="inlineStr">
        <is>
          <t>Qnity Electronics, Inc.</t>
        </is>
      </c>
      <c r="C574" t="inlineStr">
        <is>
          <t>NYSE</t>
        </is>
      </c>
      <c r="D574" t="n">
        <v>2058873</v>
      </c>
      <c r="E574" t="inlineStr">
        <is>
          <t>SEC</t>
        </is>
      </c>
    </row>
    <row r="575">
      <c r="A575" s="5">
        <f>HYPERLINK("https://finance.yahoo.com/quote/PHM","PHM")</f>
        <v/>
      </c>
      <c r="B575" t="inlineStr">
        <is>
          <t>PULTEGROUP INC/MI/</t>
        </is>
      </c>
      <c r="C575" t="inlineStr">
        <is>
          <t>NYSE</t>
        </is>
      </c>
      <c r="D575" t="n">
        <v>822416</v>
      </c>
      <c r="E575" t="inlineStr">
        <is>
          <t>SEC</t>
        </is>
      </c>
    </row>
    <row r="576">
      <c r="A576" s="5">
        <f>HYPERLINK("https://finance.yahoo.com/quote/L","L")</f>
        <v/>
      </c>
      <c r="B576" t="inlineStr">
        <is>
          <t>LOEWS CORP</t>
        </is>
      </c>
      <c r="C576" t="inlineStr">
        <is>
          <t>NYSE</t>
        </is>
      </c>
      <c r="D576" t="n">
        <v>60086</v>
      </c>
      <c r="E576" t="inlineStr">
        <is>
          <t>SEC</t>
        </is>
      </c>
    </row>
    <row r="577">
      <c r="A577" s="5">
        <f>HYPERLINK("https://finance.yahoo.com/quote/LVS","LVS")</f>
        <v/>
      </c>
      <c r="B577" t="inlineStr">
        <is>
          <t>LAS VEGAS SANDS CORP</t>
        </is>
      </c>
      <c r="C577" t="inlineStr">
        <is>
          <t>NYSE</t>
        </is>
      </c>
      <c r="D577" t="n">
        <v>1300514</v>
      </c>
      <c r="E577" t="inlineStr">
        <is>
          <t>SEC</t>
        </is>
      </c>
    </row>
    <row r="578">
      <c r="A578" s="5">
        <f>HYPERLINK("https://finance.yahoo.com/quote/AER","AER")</f>
        <v/>
      </c>
      <c r="B578" t="inlineStr">
        <is>
          <t>AerCap Holdings N.V.</t>
        </is>
      </c>
      <c r="C578" t="inlineStr">
        <is>
          <t>NYSE</t>
        </is>
      </c>
      <c r="D578" t="n">
        <v>1378789</v>
      </c>
      <c r="E578" t="inlineStr">
        <is>
          <t>SEC</t>
        </is>
      </c>
    </row>
    <row r="579">
      <c r="A579" s="5">
        <f>HYPERLINK("https://finance.yahoo.com/quote/GH","GH")</f>
        <v/>
      </c>
      <c r="B579" t="inlineStr">
        <is>
          <t>Guardant Health, Inc.</t>
        </is>
      </c>
      <c r="C579" t="inlineStr">
        <is>
          <t>Nasdaq</t>
        </is>
      </c>
      <c r="D579" t="n">
        <v>1576280</v>
      </c>
      <c r="E579" t="inlineStr">
        <is>
          <t>SEC</t>
        </is>
      </c>
    </row>
    <row r="580">
      <c r="A580" s="5">
        <f>HYPERLINK("https://finance.yahoo.com/quote/HKHHY","HKHHY")</f>
        <v/>
      </c>
      <c r="B580" t="inlineStr">
        <is>
          <t>HEINEKEN HOLDING N V</t>
        </is>
      </c>
      <c r="C580" t="inlineStr">
        <is>
          <t>OTC</t>
        </is>
      </c>
      <c r="D580" t="n">
        <v>1142231</v>
      </c>
      <c r="E580" t="inlineStr">
        <is>
          <t>SEC</t>
        </is>
      </c>
    </row>
    <row r="581">
      <c r="A581" s="5">
        <f>HYPERLINK("https://finance.yahoo.com/quote/STE","STE")</f>
        <v/>
      </c>
      <c r="B581" t="inlineStr">
        <is>
          <t>STERIS plc</t>
        </is>
      </c>
      <c r="C581" t="inlineStr">
        <is>
          <t>NYSE</t>
        </is>
      </c>
      <c r="D581" t="n">
        <v>1757898</v>
      </c>
      <c r="E581" t="inlineStr">
        <is>
          <t>SEC</t>
        </is>
      </c>
    </row>
    <row r="582">
      <c r="A582" s="5">
        <f>HYPERLINK("https://finance.yahoo.com/quote/OMC","OMC")</f>
        <v/>
      </c>
      <c r="B582" t="inlineStr">
        <is>
          <t>OMNICOM GROUP INC.</t>
        </is>
      </c>
      <c r="C582" t="inlineStr">
        <is>
          <t>NYSE</t>
        </is>
      </c>
      <c r="D582" t="n">
        <v>29989</v>
      </c>
      <c r="E582" t="inlineStr">
        <is>
          <t>SEC</t>
        </is>
      </c>
    </row>
    <row r="583">
      <c r="A583" s="5">
        <f>HYPERLINK("https://finance.yahoo.com/quote/RL","RL")</f>
        <v/>
      </c>
      <c r="B583" t="inlineStr">
        <is>
          <t>RALPH LAUREN CORP</t>
        </is>
      </c>
      <c r="C583" t="inlineStr">
        <is>
          <t>NYSE</t>
        </is>
      </c>
      <c r="D583" t="n">
        <v>1037038</v>
      </c>
      <c r="E583" t="inlineStr">
        <is>
          <t>SEC</t>
        </is>
      </c>
    </row>
    <row r="584">
      <c r="A584" s="5">
        <f>HYPERLINK("https://finance.yahoo.com/quote/KEY","KEY")</f>
        <v/>
      </c>
      <c r="B584" t="inlineStr">
        <is>
          <t>KEYCORP /NEW/</t>
        </is>
      </c>
      <c r="C584" t="inlineStr">
        <is>
          <t>NYSE</t>
        </is>
      </c>
      <c r="D584" t="n">
        <v>91576</v>
      </c>
      <c r="E584" t="inlineStr">
        <is>
          <t>SEC</t>
        </is>
      </c>
    </row>
    <row r="585">
      <c r="A585" s="5">
        <f>HYPERLINK("https://finance.yahoo.com/quote/SBS","SBS")</f>
        <v/>
      </c>
      <c r="B585" t="inlineStr">
        <is>
          <t>COMPANHIA DE SANEAMENTO BASICO DO ESTADO DE SAO PAULO-SABESP</t>
        </is>
      </c>
      <c r="C585" t="inlineStr">
        <is>
          <t>NYSE</t>
        </is>
      </c>
      <c r="D585" t="n">
        <v>1170858</v>
      </c>
      <c r="E585" t="inlineStr">
        <is>
          <t>SEC</t>
        </is>
      </c>
    </row>
    <row r="586">
      <c r="A586" s="5">
        <f>HYPERLINK("https://finance.yahoo.com/quote/ARXS","ARXS")</f>
        <v/>
      </c>
      <c r="B586" t="inlineStr">
        <is>
          <t>Arxis, Inc.</t>
        </is>
      </c>
      <c r="C586" t="inlineStr">
        <is>
          <t>Nasdaq</t>
        </is>
      </c>
      <c r="D586" t="n">
        <v>2093536</v>
      </c>
      <c r="E586" t="inlineStr">
        <is>
          <t>SEC</t>
        </is>
      </c>
    </row>
    <row r="587">
      <c r="A587" s="5">
        <f>HYPERLINK("https://finance.yahoo.com/quote/TROW","TROW")</f>
        <v/>
      </c>
      <c r="B587" t="inlineStr">
        <is>
          <t>PRICE T ROWE GROUP INC</t>
        </is>
      </c>
      <c r="C587" t="inlineStr">
        <is>
          <t>Nasdaq</t>
        </is>
      </c>
      <c r="D587" t="n">
        <v>1113169</v>
      </c>
      <c r="E587" t="inlineStr">
        <is>
          <t>SEC</t>
        </is>
      </c>
    </row>
    <row r="588">
      <c r="A588" s="5">
        <f>HYPERLINK("https://finance.yahoo.com/quote/BNTX","BNTX")</f>
        <v/>
      </c>
      <c r="B588" t="inlineStr">
        <is>
          <t>BioNTech SE</t>
        </is>
      </c>
      <c r="C588" t="inlineStr">
        <is>
          <t>Nasdaq</t>
        </is>
      </c>
      <c r="D588" t="n">
        <v>1776985</v>
      </c>
      <c r="E588" t="inlineStr">
        <is>
          <t>SEC</t>
        </is>
      </c>
    </row>
    <row r="589">
      <c r="A589" s="5">
        <f>HYPERLINK("https://finance.yahoo.com/quote/PKG","PKG")</f>
        <v/>
      </c>
      <c r="B589" t="inlineStr">
        <is>
          <t>PACKAGING CORP OF AMERICA</t>
        </is>
      </c>
      <c r="C589" t="inlineStr">
        <is>
          <t>NYSE</t>
        </is>
      </c>
      <c r="D589" t="n">
        <v>75677</v>
      </c>
      <c r="E589" t="inlineStr">
        <is>
          <t>SEC</t>
        </is>
      </c>
    </row>
    <row r="590">
      <c r="A590" s="5">
        <f>HYPERLINK("https://finance.yahoo.com/quote/EIX","EIX")</f>
        <v/>
      </c>
      <c r="B590" t="inlineStr">
        <is>
          <t>EDISON INTERNATIONAL</t>
        </is>
      </c>
      <c r="C590" t="inlineStr">
        <is>
          <t>NYSE</t>
        </is>
      </c>
      <c r="D590" t="n">
        <v>827052</v>
      </c>
      <c r="E590" t="inlineStr">
        <is>
          <t>SEC</t>
        </is>
      </c>
    </row>
    <row r="591">
      <c r="A591" s="5">
        <f>HYPERLINK("https://finance.yahoo.com/quote/SW","SW")</f>
        <v/>
      </c>
      <c r="B591" t="inlineStr">
        <is>
          <t>Smurfit Westrock plc</t>
        </is>
      </c>
      <c r="C591" t="inlineStr">
        <is>
          <t>NYSE</t>
        </is>
      </c>
      <c r="D591" t="n">
        <v>2005951</v>
      </c>
      <c r="E591" t="inlineStr">
        <is>
          <t>SEC</t>
        </is>
      </c>
    </row>
    <row r="592">
      <c r="A592" s="5">
        <f>HYPERLINK("https://finance.yahoo.com/quote/TPR","TPR")</f>
        <v/>
      </c>
      <c r="B592" t="inlineStr">
        <is>
          <t>TAPESTRY, INC.</t>
        </is>
      </c>
      <c r="C592" t="inlineStr">
        <is>
          <t>NYSE</t>
        </is>
      </c>
      <c r="D592" t="n">
        <v>1116132</v>
      </c>
      <c r="E592" t="inlineStr">
        <is>
          <t>SEC</t>
        </is>
      </c>
    </row>
    <row r="593">
      <c r="A593" s="5">
        <f>HYPERLINK("https://finance.yahoo.com/quote/GPN","GPN")</f>
        <v/>
      </c>
      <c r="B593" t="inlineStr">
        <is>
          <t>GLOBAL PAYMENTS INC</t>
        </is>
      </c>
      <c r="C593" t="inlineStr">
        <is>
          <t>NYSE</t>
        </is>
      </c>
      <c r="D593" t="n">
        <v>1123360</v>
      </c>
      <c r="E593" t="inlineStr">
        <is>
          <t>SEC</t>
        </is>
      </c>
    </row>
    <row r="594">
      <c r="A594" s="5">
        <f>HYPERLINK("https://finance.yahoo.com/quote/WTKWY","WTKWY")</f>
        <v/>
      </c>
      <c r="B594" t="inlineStr">
        <is>
          <t>WOLTERS KLUWER N V /FI</t>
        </is>
      </c>
      <c r="C594" t="inlineStr">
        <is>
          <t>OTC</t>
        </is>
      </c>
      <c r="D594" t="n">
        <v>861967</v>
      </c>
      <c r="E594" t="inlineStr">
        <is>
          <t>SEC</t>
        </is>
      </c>
    </row>
    <row r="595">
      <c r="A595" s="5">
        <f>HYPERLINK("https://finance.yahoo.com/quote/USFD","USFD")</f>
        <v/>
      </c>
      <c r="B595" t="inlineStr">
        <is>
          <t>US Foods Holding Corp.</t>
        </is>
      </c>
      <c r="C595" t="inlineStr">
        <is>
          <t>NYSE</t>
        </is>
      </c>
      <c r="D595" t="n">
        <v>1665918</v>
      </c>
      <c r="E595" t="inlineStr">
        <is>
          <t>SEC</t>
        </is>
      </c>
    </row>
    <row r="596">
      <c r="A596" s="5">
        <f>HYPERLINK("https://finance.yahoo.com/quote/EDPFY","EDPFY")</f>
        <v/>
      </c>
      <c r="B596" t="inlineStr">
        <is>
          <t>EDP ENERGIAS DE PORTUGAL SA</t>
        </is>
      </c>
      <c r="C596" t="inlineStr">
        <is>
          <t>OTC</t>
        </is>
      </c>
      <c r="D596" t="n">
        <v>1039610</v>
      </c>
      <c r="E596" t="inlineStr">
        <is>
          <t>SEC</t>
        </is>
      </c>
    </row>
    <row r="597">
      <c r="A597" s="5">
        <f>HYPERLINK("https://finance.yahoo.com/quote/CMS","CMS")</f>
        <v/>
      </c>
      <c r="B597" t="inlineStr">
        <is>
          <t>CMS ENERGY CORP</t>
        </is>
      </c>
      <c r="C597" t="inlineStr">
        <is>
          <t>NYSE</t>
        </is>
      </c>
      <c r="D597" t="n">
        <v>811156</v>
      </c>
      <c r="E597" t="inlineStr">
        <is>
          <t>SEC</t>
        </is>
      </c>
    </row>
    <row r="598">
      <c r="A598" s="5">
        <f>HYPERLINK("https://finance.yahoo.com/quote/CRCL","CRCL")</f>
        <v/>
      </c>
      <c r="B598" t="inlineStr">
        <is>
          <t>Circle Internet Group, Inc.</t>
        </is>
      </c>
      <c r="C598" t="inlineStr">
        <is>
          <t>NYSE</t>
        </is>
      </c>
      <c r="D598" t="n">
        <v>1876042</v>
      </c>
      <c r="E598" t="inlineStr">
        <is>
          <t>SEC</t>
        </is>
      </c>
    </row>
    <row r="599">
      <c r="A599" s="5">
        <f>HYPERLINK("https://finance.yahoo.com/quote/THC","THC")</f>
        <v/>
      </c>
      <c r="B599" t="inlineStr">
        <is>
          <t>TENET HEALTHCARE CORP</t>
        </is>
      </c>
      <c r="C599" t="inlineStr">
        <is>
          <t>NYSE</t>
        </is>
      </c>
      <c r="D599" t="n">
        <v>70318</v>
      </c>
      <c r="E599" t="inlineStr">
        <is>
          <t>SEC</t>
        </is>
      </c>
    </row>
    <row r="600">
      <c r="A600" s="5">
        <f>HYPERLINK("https://finance.yahoo.com/quote/SOAGY","SOAGY")</f>
        <v/>
      </c>
      <c r="B600" t="inlineStr">
        <is>
          <t>Sartorius AG/ADR</t>
        </is>
      </c>
      <c r="C600" t="inlineStr">
        <is>
          <t>OTC</t>
        </is>
      </c>
      <c r="D600" t="n">
        <v>1715801</v>
      </c>
      <c r="E600" t="inlineStr">
        <is>
          <t>SEC</t>
        </is>
      </c>
    </row>
    <row r="601">
      <c r="A601" s="5">
        <f>HYPERLINK("https://finance.yahoo.com/quote/SMCI","SMCI")</f>
        <v/>
      </c>
      <c r="B601" t="inlineStr">
        <is>
          <t>Super Micro Computer, Inc.</t>
        </is>
      </c>
      <c r="C601" t="inlineStr">
        <is>
          <t>Nasdaq</t>
        </is>
      </c>
      <c r="D601" t="n">
        <v>1375365</v>
      </c>
      <c r="E601" t="inlineStr">
        <is>
          <t>SEC</t>
        </is>
      </c>
    </row>
    <row r="602">
      <c r="A602" s="5">
        <f>HYPERLINK("https://finance.yahoo.com/quote/AMRZ","AMRZ")</f>
        <v/>
      </c>
      <c r="B602" t="inlineStr">
        <is>
          <t>Amrize Ltd</t>
        </is>
      </c>
      <c r="C602" t="inlineStr">
        <is>
          <t>NYSE</t>
        </is>
      </c>
      <c r="D602" t="n">
        <v>2035989</v>
      </c>
      <c r="E602" t="inlineStr">
        <is>
          <t>SEC</t>
        </is>
      </c>
    </row>
    <row r="603">
      <c r="A603" s="5">
        <f>HYPERLINK("https://finance.yahoo.com/quote/EXE","EXE")</f>
        <v/>
      </c>
      <c r="B603" t="inlineStr">
        <is>
          <t>EXPAND ENERGY Corp</t>
        </is>
      </c>
      <c r="C603" t="inlineStr">
        <is>
          <t>Nasdaq</t>
        </is>
      </c>
      <c r="D603" t="n">
        <v>895126</v>
      </c>
      <c r="E603" t="inlineStr">
        <is>
          <t>SEC</t>
        </is>
      </c>
    </row>
    <row r="604">
      <c r="A604" s="5">
        <f>HYPERLINK("https://finance.yahoo.com/quote/DINO","DINO")</f>
        <v/>
      </c>
      <c r="B604" t="inlineStr">
        <is>
          <t>HF Sinclair Corp</t>
        </is>
      </c>
      <c r="C604" t="inlineStr">
        <is>
          <t>NYSE</t>
        </is>
      </c>
      <c r="D604" t="n">
        <v>1915657</v>
      </c>
      <c r="E604" t="inlineStr">
        <is>
          <t>SEC</t>
        </is>
      </c>
    </row>
    <row r="605">
      <c r="A605" s="5">
        <f>HYPERLINK("https://finance.yahoo.com/quote/ATI","ATI")</f>
        <v/>
      </c>
      <c r="B605" t="inlineStr">
        <is>
          <t>ATI INC</t>
        </is>
      </c>
      <c r="C605" t="inlineStr">
        <is>
          <t>NYSE</t>
        </is>
      </c>
      <c r="D605" t="n">
        <v>1018963</v>
      </c>
      <c r="E605" t="inlineStr">
        <is>
          <t>SEC</t>
        </is>
      </c>
    </row>
    <row r="606">
      <c r="A606" s="5">
        <f>HYPERLINK("https://finance.yahoo.com/quote/MTNOY","MTNOY")</f>
        <v/>
      </c>
      <c r="B606" t="inlineStr">
        <is>
          <t>MTN GROUP LTD/ADR</t>
        </is>
      </c>
      <c r="C606" t="inlineStr">
        <is>
          <t>OTC</t>
        </is>
      </c>
      <c r="D606" t="n">
        <v>1163420</v>
      </c>
      <c r="E606" t="inlineStr">
        <is>
          <t>SEC</t>
        </is>
      </c>
    </row>
    <row r="607">
      <c r="A607" s="5">
        <f>HYPERLINK("https://finance.yahoo.com/quote/XPO","XPO")</f>
        <v/>
      </c>
      <c r="B607" t="inlineStr">
        <is>
          <t>XPO, Inc.</t>
        </is>
      </c>
      <c r="C607" t="inlineStr">
        <is>
          <t>NYSE</t>
        </is>
      </c>
      <c r="D607" t="n">
        <v>1166003</v>
      </c>
      <c r="E607" t="inlineStr">
        <is>
          <t>SEC</t>
        </is>
      </c>
    </row>
    <row r="608">
      <c r="A608" s="5">
        <f>HYPERLINK("https://finance.yahoo.com/quote/LYB","LYB")</f>
        <v/>
      </c>
      <c r="B608" t="inlineStr">
        <is>
          <t>LyondellBasell Industries N.V.</t>
        </is>
      </c>
      <c r="C608" t="inlineStr">
        <is>
          <t>NYSE</t>
        </is>
      </c>
      <c r="D608" t="n">
        <v>1489393</v>
      </c>
      <c r="E608" t="inlineStr">
        <is>
          <t>SEC</t>
        </is>
      </c>
    </row>
    <row r="609">
      <c r="A609" s="5">
        <f>HYPERLINK("https://finance.yahoo.com/quote/EFX","EFX")</f>
        <v/>
      </c>
      <c r="B609" t="inlineStr">
        <is>
          <t>EQUIFAX INC</t>
        </is>
      </c>
      <c r="C609" t="inlineStr">
        <is>
          <t>NYSE</t>
        </is>
      </c>
      <c r="D609" t="n">
        <v>33185</v>
      </c>
      <c r="E609" t="inlineStr">
        <is>
          <t>SEC</t>
        </is>
      </c>
    </row>
    <row r="610">
      <c r="A610" s="5">
        <f>HYPERLINK("https://finance.yahoo.com/quote/RS","RS")</f>
        <v/>
      </c>
      <c r="B610" t="inlineStr">
        <is>
          <t>RELIANCE, INC.</t>
        </is>
      </c>
      <c r="C610" t="inlineStr">
        <is>
          <t>NYSE</t>
        </is>
      </c>
      <c r="D610" t="n">
        <v>861884</v>
      </c>
      <c r="E610" t="inlineStr">
        <is>
          <t>SEC</t>
        </is>
      </c>
    </row>
    <row r="611">
      <c r="A611" s="5">
        <f>HYPERLINK("https://finance.yahoo.com/quote/AMCR","AMCR")</f>
        <v/>
      </c>
      <c r="B611" t="inlineStr">
        <is>
          <t>Amcor plc</t>
        </is>
      </c>
      <c r="C611" t="inlineStr">
        <is>
          <t>NYSE</t>
        </is>
      </c>
      <c r="D611" t="n">
        <v>1748790</v>
      </c>
      <c r="E611" t="inlineStr">
        <is>
          <t>SEC</t>
        </is>
      </c>
    </row>
    <row r="612">
      <c r="A612" s="5">
        <f>HYPERLINK("https://finance.yahoo.com/quote/PR","PR")</f>
        <v/>
      </c>
      <c r="B612" t="inlineStr">
        <is>
          <t>Permian Resources Corp</t>
        </is>
      </c>
      <c r="C612" t="inlineStr">
        <is>
          <t>NYSE</t>
        </is>
      </c>
      <c r="D612" t="n">
        <v>1658566</v>
      </c>
      <c r="E612" t="inlineStr">
        <is>
          <t>SEC</t>
        </is>
      </c>
    </row>
    <row r="613">
      <c r="A613" s="5">
        <f>HYPERLINK("https://finance.yahoo.com/quote/JBHT","JBHT")</f>
        <v/>
      </c>
      <c r="B613" t="inlineStr">
        <is>
          <t>HUNT J B TRANSPORT SERVICES INC</t>
        </is>
      </c>
      <c r="C613" t="inlineStr">
        <is>
          <t>Nasdaq</t>
        </is>
      </c>
      <c r="D613" t="n">
        <v>728535</v>
      </c>
      <c r="E613" t="inlineStr">
        <is>
          <t>SEC</t>
        </is>
      </c>
    </row>
    <row r="614">
      <c r="A614" s="5">
        <f>HYPERLINK("https://finance.yahoo.com/quote/PTC","PTC")</f>
        <v/>
      </c>
      <c r="B614" t="inlineStr">
        <is>
          <t>PTC INC.</t>
        </is>
      </c>
      <c r="C614" t="inlineStr">
        <is>
          <t>Nasdaq</t>
        </is>
      </c>
      <c r="D614" t="n">
        <v>857005</v>
      </c>
      <c r="E614" t="inlineStr">
        <is>
          <t>SEC</t>
        </is>
      </c>
    </row>
    <row r="615">
      <c r="A615" s="5">
        <f>HYPERLINK("https://finance.yahoo.com/quote/WIT","WIT")</f>
        <v/>
      </c>
      <c r="B615" t="inlineStr">
        <is>
          <t>WIPRO LTD</t>
        </is>
      </c>
      <c r="C615" t="inlineStr">
        <is>
          <t>NYSE</t>
        </is>
      </c>
      <c r="D615" t="n">
        <v>1123799</v>
      </c>
      <c r="E615" t="inlineStr">
        <is>
          <t>SEC</t>
        </is>
      </c>
    </row>
    <row r="616">
      <c r="A616" s="5">
        <f>HYPERLINK("https://finance.yahoo.com/quote/BBY","BBY")</f>
        <v/>
      </c>
      <c r="B616" t="inlineStr">
        <is>
          <t>BEST BUY CO INC</t>
        </is>
      </c>
      <c r="C616" t="inlineStr">
        <is>
          <t>NYSE</t>
        </is>
      </c>
      <c r="D616" t="n">
        <v>764478</v>
      </c>
      <c r="E616" t="inlineStr">
        <is>
          <t>SEC</t>
        </is>
      </c>
    </row>
    <row r="617">
      <c r="A617" s="5">
        <f>HYPERLINK("https://finance.yahoo.com/quote/VTRS","VTRS")</f>
        <v/>
      </c>
      <c r="B617" t="inlineStr">
        <is>
          <t>Viatris Inc</t>
        </is>
      </c>
      <c r="C617" t="inlineStr">
        <is>
          <t>Nasdaq</t>
        </is>
      </c>
      <c r="D617" t="n">
        <v>1792044</v>
      </c>
      <c r="E617" t="inlineStr">
        <is>
          <t>SEC</t>
        </is>
      </c>
    </row>
    <row r="618">
      <c r="A618" s="5">
        <f>HYPERLINK("https://finance.yahoo.com/quote/BSBR","BSBR")</f>
        <v/>
      </c>
      <c r="B618" t="inlineStr">
        <is>
          <t>Banco Santander (Brasil) S.A.</t>
        </is>
      </c>
      <c r="C618" t="inlineStr">
        <is>
          <t>NYSE</t>
        </is>
      </c>
      <c r="D618" t="n">
        <v>1471055</v>
      </c>
      <c r="E618" t="inlineStr">
        <is>
          <t>SEC</t>
        </is>
      </c>
    </row>
    <row r="619">
      <c r="A619" s="5">
        <f>HYPERLINK("https://finance.yahoo.com/quote/NI","NI")</f>
        <v/>
      </c>
      <c r="B619" t="inlineStr">
        <is>
          <t>NISOURCE INC.</t>
        </is>
      </c>
      <c r="C619" t="inlineStr">
        <is>
          <t>NYSE</t>
        </is>
      </c>
      <c r="D619" t="n">
        <v>1111711</v>
      </c>
      <c r="E619" t="inlineStr">
        <is>
          <t>SEC</t>
        </is>
      </c>
    </row>
    <row r="620">
      <c r="A620" s="5">
        <f>HYPERLINK("https://finance.yahoo.com/quote/FWONA","FWONA")</f>
        <v/>
      </c>
      <c r="B620" t="inlineStr">
        <is>
          <t>Liberty Media Corp</t>
        </is>
      </c>
      <c r="C620" t="inlineStr">
        <is>
          <t>Nasdaq</t>
        </is>
      </c>
      <c r="D620" t="n">
        <v>1560385</v>
      </c>
      <c r="E620" t="inlineStr">
        <is>
          <t>SEC</t>
        </is>
      </c>
    </row>
    <row r="621">
      <c r="A621" s="5">
        <f>HYPERLINK("https://finance.yahoo.com/quote/VIV","VIV")</f>
        <v/>
      </c>
      <c r="B621" t="inlineStr">
        <is>
          <t>TELEFONICA BRASIL S.A.</t>
        </is>
      </c>
      <c r="C621" t="inlineStr">
        <is>
          <t>NYSE</t>
        </is>
      </c>
      <c r="D621" t="n">
        <v>1066119</v>
      </c>
      <c r="E621" t="inlineStr">
        <is>
          <t>SEC</t>
        </is>
      </c>
    </row>
    <row r="622">
      <c r="A622" s="5">
        <f>HYPERLINK("https://finance.yahoo.com/quote/BR","BR")</f>
        <v/>
      </c>
      <c r="B622" t="inlineStr">
        <is>
          <t>BROADRIDGE FINANCIAL SOLUTIONS, INC.</t>
        </is>
      </c>
      <c r="C622" t="inlineStr">
        <is>
          <t>NYSE</t>
        </is>
      </c>
      <c r="D622" t="n">
        <v>1383312</v>
      </c>
      <c r="E622" t="inlineStr">
        <is>
          <t>SEC</t>
        </is>
      </c>
    </row>
    <row r="623">
      <c r="A623" s="5">
        <f>HYPERLINK("https://finance.yahoo.com/quote/ENTG","ENTG")</f>
        <v/>
      </c>
      <c r="B623" t="inlineStr">
        <is>
          <t>ENTEGRIS INC</t>
        </is>
      </c>
      <c r="C623" t="inlineStr">
        <is>
          <t>Nasdaq</t>
        </is>
      </c>
      <c r="D623" t="n">
        <v>1101302</v>
      </c>
      <c r="E623" t="inlineStr">
        <is>
          <t>SEC</t>
        </is>
      </c>
    </row>
    <row r="624">
      <c r="A624" s="5">
        <f>HYPERLINK("https://finance.yahoo.com/quote/CDW","CDW")</f>
        <v/>
      </c>
      <c r="B624" t="inlineStr">
        <is>
          <t>CDW Corp</t>
        </is>
      </c>
      <c r="C624" t="inlineStr">
        <is>
          <t>Nasdaq</t>
        </is>
      </c>
      <c r="D624" t="n">
        <v>1402057</v>
      </c>
      <c r="E624" t="inlineStr">
        <is>
          <t>SEC</t>
        </is>
      </c>
    </row>
    <row r="625">
      <c r="A625" s="5">
        <f>HYPERLINK("https://finance.yahoo.com/quote/INSM","INSM")</f>
        <v/>
      </c>
      <c r="B625" t="inlineStr">
        <is>
          <t>INSMED Inc</t>
        </is>
      </c>
      <c r="C625" t="inlineStr">
        <is>
          <t>Nasdaq</t>
        </is>
      </c>
      <c r="D625" t="n">
        <v>1104506</v>
      </c>
      <c r="E625" t="inlineStr">
        <is>
          <t>SEC</t>
        </is>
      </c>
    </row>
    <row r="626">
      <c r="A626" s="5">
        <f>HYPERLINK("https://finance.yahoo.com/quote/NVT","NVT")</f>
        <v/>
      </c>
      <c r="B626" t="inlineStr">
        <is>
          <t>nVent Electric plc</t>
        </is>
      </c>
      <c r="C626" t="inlineStr">
        <is>
          <t>NYSE</t>
        </is>
      </c>
      <c r="D626" t="n">
        <v>1720635</v>
      </c>
      <c r="E626" t="inlineStr">
        <is>
          <t>SEC</t>
        </is>
      </c>
    </row>
    <row r="627">
      <c r="A627" s="5">
        <f>HYPERLINK("https://finance.yahoo.com/quote/LUV","LUV")</f>
        <v/>
      </c>
      <c r="B627" t="inlineStr">
        <is>
          <t>SOUTHWEST AIRLINES CO</t>
        </is>
      </c>
      <c r="C627" t="inlineStr">
        <is>
          <t>NYSE</t>
        </is>
      </c>
      <c r="D627" t="n">
        <v>92380</v>
      </c>
      <c r="E627" t="inlineStr">
        <is>
          <t>SEC</t>
        </is>
      </c>
    </row>
    <row r="628">
      <c r="A628" s="5">
        <f>HYPERLINK("https://finance.yahoo.com/quote/OVV","OVV")</f>
        <v/>
      </c>
      <c r="B628" t="inlineStr">
        <is>
          <t>Ovintiv Inc.</t>
        </is>
      </c>
      <c r="C628" t="inlineStr">
        <is>
          <t>NYSE</t>
        </is>
      </c>
      <c r="D628" t="n">
        <v>1792580</v>
      </c>
      <c r="E628" t="inlineStr">
        <is>
          <t>SEC</t>
        </is>
      </c>
    </row>
    <row r="629">
      <c r="A629" s="5">
        <f>HYPERLINK("https://finance.yahoo.com/quote/LEN","LEN")</f>
        <v/>
      </c>
      <c r="B629" t="inlineStr">
        <is>
          <t>LENNAR CORP /NEW/</t>
        </is>
      </c>
      <c r="C629" t="inlineStr">
        <is>
          <t>NYSE</t>
        </is>
      </c>
      <c r="D629" t="n">
        <v>920760</v>
      </c>
      <c r="E629" t="inlineStr">
        <is>
          <t>SEC</t>
        </is>
      </c>
    </row>
    <row r="630">
      <c r="A630" s="5">
        <f>HYPERLINK("https://finance.yahoo.com/quote/TSN","TSN")</f>
        <v/>
      </c>
      <c r="B630" t="inlineStr">
        <is>
          <t>TYSON FOODS, INC.</t>
        </is>
      </c>
      <c r="C630" t="inlineStr">
        <is>
          <t>NYSE</t>
        </is>
      </c>
      <c r="D630" t="n">
        <v>100493</v>
      </c>
      <c r="E630" t="inlineStr">
        <is>
          <t>SEC</t>
        </is>
      </c>
    </row>
    <row r="631">
      <c r="A631" s="5">
        <f>HYPERLINK("https://finance.yahoo.com/quote/SNX","SNX")</f>
        <v/>
      </c>
      <c r="B631" t="inlineStr">
        <is>
          <t>TD SYNNEX CORP</t>
        </is>
      </c>
      <c r="C631" t="inlineStr">
        <is>
          <t>NYSE</t>
        </is>
      </c>
      <c r="D631" t="n">
        <v>1177394</v>
      </c>
      <c r="E631" t="inlineStr">
        <is>
          <t>SEC</t>
        </is>
      </c>
    </row>
    <row r="632">
      <c r="A632" s="5">
        <f>HYPERLINK("https://finance.yahoo.com/quote/CNGKY","CNGKY")</f>
        <v/>
      </c>
      <c r="B632" t="inlineStr">
        <is>
          <t>Cheung Kong Property Holdings Limited/ADR</t>
        </is>
      </c>
      <c r="C632" t="inlineStr">
        <is>
          <t>OTC</t>
        </is>
      </c>
      <c r="D632" t="n">
        <v>1653192</v>
      </c>
      <c r="E632" t="inlineStr">
        <is>
          <t>SEC</t>
        </is>
      </c>
    </row>
    <row r="633">
      <c r="A633" s="5">
        <f>HYPERLINK("https://finance.yahoo.com/quote/BG","BG")</f>
        <v/>
      </c>
      <c r="B633" t="inlineStr">
        <is>
          <t>Bunge Global SA</t>
        </is>
      </c>
      <c r="C633" t="inlineStr">
        <is>
          <t>NYSE</t>
        </is>
      </c>
      <c r="D633" t="n">
        <v>1996862</v>
      </c>
      <c r="E633" t="inlineStr">
        <is>
          <t>SEC</t>
        </is>
      </c>
    </row>
    <row r="634">
      <c r="A634" s="5">
        <f>HYPERLINK("https://finance.yahoo.com/quote/YPF","YPF")</f>
        <v/>
      </c>
      <c r="B634" t="inlineStr">
        <is>
          <t>YPF SOCIEDAD ANONIMA</t>
        </is>
      </c>
      <c r="C634" t="inlineStr">
        <is>
          <t>NYSE</t>
        </is>
      </c>
      <c r="D634" t="n">
        <v>904851</v>
      </c>
      <c r="E634" t="inlineStr">
        <is>
          <t>SEC</t>
        </is>
      </c>
    </row>
    <row r="635">
      <c r="A635" s="5">
        <f>HYPERLINK("https://finance.yahoo.com/quote/SSNC","SSNC")</f>
        <v/>
      </c>
      <c r="B635" t="inlineStr">
        <is>
          <t>SS&amp;C Technologies Holdings Inc</t>
        </is>
      </c>
      <c r="C635" t="inlineStr">
        <is>
          <t>Nasdaq</t>
        </is>
      </c>
      <c r="D635" t="n">
        <v>1402436</v>
      </c>
      <c r="E635" t="inlineStr">
        <is>
          <t>SEC</t>
        </is>
      </c>
    </row>
    <row r="636">
      <c r="A636" s="5">
        <f>HYPERLINK("https://finance.yahoo.com/quote/SBAC","SBAC")</f>
        <v/>
      </c>
      <c r="B636" t="inlineStr">
        <is>
          <t>SBA COMMUNICATIONS CORP</t>
        </is>
      </c>
      <c r="C636" t="inlineStr">
        <is>
          <t>Nasdaq</t>
        </is>
      </c>
      <c r="D636" t="n">
        <v>1034054</v>
      </c>
      <c r="E636" t="inlineStr">
        <is>
          <t>SEC</t>
        </is>
      </c>
    </row>
    <row r="637">
      <c r="A637" s="5">
        <f>HYPERLINK("https://finance.yahoo.com/quote/SWKS","SWKS")</f>
        <v/>
      </c>
      <c r="B637" t="inlineStr">
        <is>
          <t>SKYWORKS SOLUTIONS, INC.</t>
        </is>
      </c>
      <c r="C637" t="inlineStr">
        <is>
          <t>Nasdaq</t>
        </is>
      </c>
      <c r="D637" t="n">
        <v>4127</v>
      </c>
      <c r="E637" t="inlineStr">
        <is>
          <t>SEC</t>
        </is>
      </c>
    </row>
    <row r="638">
      <c r="A638" s="5">
        <f>HYPERLINK("https://finance.yahoo.com/quote/GELHY","GELHY")</f>
        <v/>
      </c>
      <c r="B638" t="inlineStr">
        <is>
          <t>Geely Automobile Holdings Limited/ADR</t>
        </is>
      </c>
      <c r="C638" t="inlineStr">
        <is>
          <t>OTC</t>
        </is>
      </c>
      <c r="D638" t="n">
        <v>1474968</v>
      </c>
      <c r="E638" t="inlineStr">
        <is>
          <t>SEC</t>
        </is>
      </c>
    </row>
    <row r="639">
      <c r="A639" s="5">
        <f>HYPERLINK("https://finance.yahoo.com/quote/EVRG","EVRG")</f>
        <v/>
      </c>
      <c r="B639" t="inlineStr">
        <is>
          <t>Evergy, Inc.</t>
        </is>
      </c>
      <c r="C639" t="inlineStr">
        <is>
          <t>Nasdaq</t>
        </is>
      </c>
      <c r="D639" t="n">
        <v>1711269</v>
      </c>
      <c r="E639" t="inlineStr">
        <is>
          <t>SEC</t>
        </is>
      </c>
    </row>
    <row r="640">
      <c r="A640" s="5">
        <f>HYPERLINK("https://finance.yahoo.com/quote/RGLD","RGLD")</f>
        <v/>
      </c>
      <c r="B640" t="inlineStr">
        <is>
          <t>ROYAL GOLD INC</t>
        </is>
      </c>
      <c r="C640" t="inlineStr">
        <is>
          <t>Nasdaq</t>
        </is>
      </c>
      <c r="D640" t="n">
        <v>85535</v>
      </c>
      <c r="E640" t="inlineStr">
        <is>
          <t>SEC</t>
        </is>
      </c>
    </row>
    <row r="641">
      <c r="A641" s="5">
        <f>HYPERLINK("https://finance.yahoo.com/quote/SCRNY","SCRNY")</f>
        <v/>
      </c>
      <c r="B641" t="inlineStr">
        <is>
          <t>SCREEN Holdings Co., Ltd./ADR</t>
        </is>
      </c>
      <c r="C641" t="inlineStr">
        <is>
          <t>OTC</t>
        </is>
      </c>
      <c r="D641" t="n">
        <v>1544379</v>
      </c>
      <c r="E641" t="inlineStr">
        <is>
          <t>SEC</t>
        </is>
      </c>
    </row>
    <row r="642">
      <c r="A642" s="5">
        <f>HYPERLINK("https://finance.yahoo.com/quote/NRG","NRG")</f>
        <v/>
      </c>
      <c r="B642" t="inlineStr">
        <is>
          <t>NRG ENERGY, INC.</t>
        </is>
      </c>
      <c r="C642" t="inlineStr">
        <is>
          <t>NYSE</t>
        </is>
      </c>
      <c r="D642" t="n">
        <v>1013871</v>
      </c>
      <c r="E642" t="inlineStr">
        <is>
          <t>SEC</t>
        </is>
      </c>
    </row>
    <row r="643">
      <c r="A643" s="5">
        <f>HYPERLINK("https://finance.yahoo.com/quote/FIS","FIS")</f>
        <v/>
      </c>
      <c r="B643" t="inlineStr">
        <is>
          <t>Fidelity National Information Services, Inc.</t>
        </is>
      </c>
      <c r="C643" t="inlineStr">
        <is>
          <t>NYSE</t>
        </is>
      </c>
      <c r="D643" t="n">
        <v>1136893</v>
      </c>
      <c r="E643" t="inlineStr">
        <is>
          <t>SEC</t>
        </is>
      </c>
    </row>
    <row r="644">
      <c r="A644" s="5">
        <f>HYPERLINK("https://finance.yahoo.com/quote/BCH","BCH")</f>
        <v/>
      </c>
      <c r="B644" t="inlineStr">
        <is>
          <t>BANK OF CHILE</t>
        </is>
      </c>
      <c r="C644" t="inlineStr">
        <is>
          <t>NYSE</t>
        </is>
      </c>
      <c r="D644" t="n">
        <v>1161125</v>
      </c>
      <c r="E644" t="inlineStr">
        <is>
          <t>SEC</t>
        </is>
      </c>
    </row>
    <row r="645">
      <c r="A645" s="5">
        <f>HYPERLINK("https://finance.yahoo.com/quote/NTNX","NTNX")</f>
        <v/>
      </c>
      <c r="B645" t="inlineStr">
        <is>
          <t>Nutanix, Inc.</t>
        </is>
      </c>
      <c r="C645" t="inlineStr">
        <is>
          <t>Nasdaq</t>
        </is>
      </c>
      <c r="D645" t="n">
        <v>1618732</v>
      </c>
      <c r="E645" t="inlineStr">
        <is>
          <t>SEC</t>
        </is>
      </c>
    </row>
    <row r="646">
      <c r="A646" s="5">
        <f>HYPERLINK("https://finance.yahoo.com/quote/ESS","ESS")</f>
        <v/>
      </c>
      <c r="B646" t="inlineStr">
        <is>
          <t>ESSEX PROPERTY TRUST, INC.</t>
        </is>
      </c>
      <c r="C646" t="inlineStr">
        <is>
          <t>NYSE</t>
        </is>
      </c>
      <c r="D646" t="n">
        <v>920522</v>
      </c>
      <c r="E646" t="inlineStr">
        <is>
          <t>SEC</t>
        </is>
      </c>
    </row>
    <row r="647">
      <c r="A647" s="5">
        <f>HYPERLINK("https://finance.yahoo.com/quote/BCE","BCE")</f>
        <v/>
      </c>
      <c r="B647" t="inlineStr">
        <is>
          <t>BCE INC</t>
        </is>
      </c>
      <c r="C647" t="inlineStr">
        <is>
          <t>NYSE</t>
        </is>
      </c>
      <c r="D647" t="n">
        <v>718940</v>
      </c>
      <c r="E647" t="inlineStr">
        <is>
          <t>SEC</t>
        </is>
      </c>
    </row>
    <row r="648">
      <c r="A648" s="5">
        <f>HYPERLINK("https://finance.yahoo.com/quote/TSEM","TSEM")</f>
        <v/>
      </c>
      <c r="B648" t="inlineStr">
        <is>
          <t>TOWER SEMICONDUCTOR LTD</t>
        </is>
      </c>
      <c r="C648" t="inlineStr">
        <is>
          <t>Nasdaq</t>
        </is>
      </c>
      <c r="D648" t="n">
        <v>928876</v>
      </c>
      <c r="E648" t="inlineStr">
        <is>
          <t>SEC</t>
        </is>
      </c>
    </row>
    <row r="649">
      <c r="A649" s="5">
        <f>HYPERLINK("https://finance.yahoo.com/quote/TOST","TOST")</f>
        <v/>
      </c>
      <c r="B649" t="inlineStr">
        <is>
          <t>Toast, Inc.</t>
        </is>
      </c>
      <c r="C649" t="inlineStr">
        <is>
          <t>NYSE</t>
        </is>
      </c>
      <c r="D649" t="n">
        <v>1650164</v>
      </c>
      <c r="E649" t="inlineStr">
        <is>
          <t>SEC</t>
        </is>
      </c>
    </row>
    <row r="650">
      <c r="A650" s="5">
        <f>HYPERLINK("https://finance.yahoo.com/quote/SOFI","SOFI")</f>
        <v/>
      </c>
      <c r="B650" t="inlineStr">
        <is>
          <t>SoFi Technologies, Inc.</t>
        </is>
      </c>
      <c r="C650" t="inlineStr">
        <is>
          <t>Nasdaq</t>
        </is>
      </c>
      <c r="D650" t="n">
        <v>1818874</v>
      </c>
      <c r="E650" t="inlineStr">
        <is>
          <t>SEC</t>
        </is>
      </c>
    </row>
    <row r="651">
      <c r="A651" s="5">
        <f>HYPERLINK("https://finance.yahoo.com/quote/PAA","PAA")</f>
        <v/>
      </c>
      <c r="B651" t="inlineStr">
        <is>
          <t>PLAINS ALL AMERICAN PIPELINE LP</t>
        </is>
      </c>
      <c r="C651" t="inlineStr">
        <is>
          <t>Nasdaq</t>
        </is>
      </c>
      <c r="D651" t="n">
        <v>1070423</v>
      </c>
      <c r="E651" t="inlineStr">
        <is>
          <t>SEC</t>
        </is>
      </c>
    </row>
    <row r="652">
      <c r="A652" s="5">
        <f>HYPERLINK("https://finance.yahoo.com/quote/ZBH","ZBH")</f>
        <v/>
      </c>
      <c r="B652" t="inlineStr">
        <is>
          <t>ZIMMER BIOMET HOLDINGS, INC.</t>
        </is>
      </c>
      <c r="C652" t="inlineStr">
        <is>
          <t>NYSE</t>
        </is>
      </c>
      <c r="D652" t="n">
        <v>1136869</v>
      </c>
      <c r="E652" t="inlineStr">
        <is>
          <t>SEC</t>
        </is>
      </c>
    </row>
    <row r="653">
      <c r="A653" s="5">
        <f>HYPERLINK("https://finance.yahoo.com/quote/BEKE","BEKE")</f>
        <v/>
      </c>
      <c r="B653" t="inlineStr">
        <is>
          <t>KE Holdings Inc.</t>
        </is>
      </c>
      <c r="C653" t="inlineStr">
        <is>
          <t>NYSE</t>
        </is>
      </c>
      <c r="D653" t="n">
        <v>1809587</v>
      </c>
      <c r="E653" t="inlineStr">
        <is>
          <t>SEC</t>
        </is>
      </c>
    </row>
    <row r="654">
      <c r="A654" s="5">
        <f>HYPERLINK("https://finance.yahoo.com/quote/WES","WES")</f>
        <v/>
      </c>
      <c r="B654" t="inlineStr">
        <is>
          <t>Western Midstream Partners, LP</t>
        </is>
      </c>
      <c r="C654" t="inlineStr">
        <is>
          <t>NYSE</t>
        </is>
      </c>
      <c r="D654" t="n">
        <v>1423902</v>
      </c>
      <c r="E654" t="inlineStr">
        <is>
          <t>SEC</t>
        </is>
      </c>
    </row>
    <row r="655">
      <c r="A655" s="5">
        <f>HYPERLINK("https://finance.yahoo.com/quote/FSLR","FSLR")</f>
        <v/>
      </c>
      <c r="B655" t="inlineStr">
        <is>
          <t>FIRST SOLAR, INC.</t>
        </is>
      </c>
      <c r="C655" t="inlineStr">
        <is>
          <t>Nasdaq</t>
        </is>
      </c>
      <c r="D655" t="n">
        <v>1274494</v>
      </c>
      <c r="E655" t="inlineStr">
        <is>
          <t>SEC</t>
        </is>
      </c>
    </row>
    <row r="656">
      <c r="A656" s="5">
        <f>HYPERLINK("https://finance.yahoo.com/quote/MEDP","MEDP")</f>
        <v/>
      </c>
      <c r="B656" t="inlineStr">
        <is>
          <t>Medpace Holdings, Inc.</t>
        </is>
      </c>
      <c r="C656" t="inlineStr">
        <is>
          <t>Nasdaq</t>
        </is>
      </c>
      <c r="D656" t="n">
        <v>1668397</v>
      </c>
      <c r="E656" t="inlineStr">
        <is>
          <t>SEC</t>
        </is>
      </c>
    </row>
    <row r="657">
      <c r="A657" s="5">
        <f>HYPERLINK("https://finance.yahoo.com/quote/TELNY","TELNY")</f>
        <v/>
      </c>
      <c r="B657" t="inlineStr">
        <is>
          <t>TELENOR ASA</t>
        </is>
      </c>
      <c r="C657" t="inlineStr">
        <is>
          <t>OTC</t>
        </is>
      </c>
      <c r="D657" t="n">
        <v>1126113</v>
      </c>
      <c r="E657" t="inlineStr">
        <is>
          <t>SEC</t>
        </is>
      </c>
    </row>
    <row r="658">
      <c r="A658" s="5">
        <f>HYPERLINK("https://finance.yahoo.com/quote/DT","DT")</f>
        <v/>
      </c>
      <c r="B658" t="inlineStr">
        <is>
          <t>Dynatrace, Inc.</t>
        </is>
      </c>
      <c r="C658" t="inlineStr">
        <is>
          <t>NYSE</t>
        </is>
      </c>
      <c r="D658" t="n">
        <v>1773383</v>
      </c>
      <c r="E658" t="inlineStr">
        <is>
          <t>SEC</t>
        </is>
      </c>
    </row>
    <row r="659">
      <c r="A659" s="5">
        <f>HYPERLINK("https://finance.yahoo.com/quote/DD","DD")</f>
        <v/>
      </c>
      <c r="B659" t="inlineStr">
        <is>
          <t>DuPont de Nemours, Inc.</t>
        </is>
      </c>
      <c r="C659" t="inlineStr">
        <is>
          <t>NYSE</t>
        </is>
      </c>
      <c r="D659" t="n">
        <v>1666700</v>
      </c>
      <c r="E659" t="inlineStr">
        <is>
          <t>SEC</t>
        </is>
      </c>
    </row>
    <row r="660">
      <c r="A660" s="5">
        <f>HYPERLINK("https://finance.yahoo.com/quote/CF","CF")</f>
        <v/>
      </c>
      <c r="B660" t="inlineStr">
        <is>
          <t>CF Industries Holdings, Inc.</t>
        </is>
      </c>
      <c r="C660" t="inlineStr">
        <is>
          <t>NYSE</t>
        </is>
      </c>
      <c r="D660" t="n">
        <v>1324404</v>
      </c>
      <c r="E660" t="inlineStr">
        <is>
          <t>SEC</t>
        </is>
      </c>
    </row>
    <row r="661">
      <c r="A661" s="5">
        <f>HYPERLINK("https://finance.yahoo.com/quote/GIS","GIS")</f>
        <v/>
      </c>
      <c r="B661" t="inlineStr">
        <is>
          <t>GENERAL MILLS INC</t>
        </is>
      </c>
      <c r="C661" t="inlineStr">
        <is>
          <t>NYSE</t>
        </is>
      </c>
      <c r="D661" t="n">
        <v>40704</v>
      </c>
      <c r="E661" t="inlineStr">
        <is>
          <t>SEC</t>
        </is>
      </c>
    </row>
    <row r="662">
      <c r="A662" s="5">
        <f>HYPERLINK("https://finance.yahoo.com/quote/CNH","CNH")</f>
        <v/>
      </c>
      <c r="B662" t="inlineStr">
        <is>
          <t>CNH Industrial N.V.</t>
        </is>
      </c>
      <c r="C662" t="inlineStr">
        <is>
          <t>NYSE</t>
        </is>
      </c>
      <c r="D662" t="n">
        <v>1567094</v>
      </c>
      <c r="E662" t="inlineStr">
        <is>
          <t>SEC</t>
        </is>
      </c>
    </row>
    <row r="663">
      <c r="A663" s="5">
        <f>HYPERLINK("https://finance.yahoo.com/quote/SNA","SNA")</f>
        <v/>
      </c>
      <c r="B663" t="inlineStr">
        <is>
          <t>Snap-on Inc</t>
        </is>
      </c>
      <c r="C663" t="inlineStr">
        <is>
          <t>NYSE</t>
        </is>
      </c>
      <c r="D663" t="n">
        <v>91440</v>
      </c>
      <c r="E663" t="inlineStr">
        <is>
          <t>SEC</t>
        </is>
      </c>
    </row>
    <row r="664">
      <c r="A664" s="5">
        <f>HYPERLINK("https://finance.yahoo.com/quote/ZBRA","ZBRA")</f>
        <v/>
      </c>
      <c r="B664" t="inlineStr">
        <is>
          <t>ZEBRA TECHNOLOGIES CORP</t>
        </is>
      </c>
      <c r="C664" t="inlineStr">
        <is>
          <t>Nasdaq</t>
        </is>
      </c>
      <c r="D664" t="n">
        <v>877212</v>
      </c>
      <c r="E664" t="inlineStr">
        <is>
          <t>SEC</t>
        </is>
      </c>
    </row>
    <row r="665">
      <c r="A665" s="5">
        <f>HYPERLINK("https://finance.yahoo.com/quote/FTV","FTV")</f>
        <v/>
      </c>
      <c r="B665" t="inlineStr">
        <is>
          <t>Fortive Corp</t>
        </is>
      </c>
      <c r="C665" t="inlineStr">
        <is>
          <t>NYSE</t>
        </is>
      </c>
      <c r="D665" t="n">
        <v>1659166</v>
      </c>
      <c r="E665" t="inlineStr">
        <is>
          <t>SEC</t>
        </is>
      </c>
    </row>
    <row r="666">
      <c r="A666" s="5">
        <f>HYPERLINK("https://finance.yahoo.com/quote/APA","APA")</f>
        <v/>
      </c>
      <c r="B666" t="inlineStr">
        <is>
          <t>APA Corp</t>
        </is>
      </c>
      <c r="C666" t="inlineStr">
        <is>
          <t>Nasdaq</t>
        </is>
      </c>
      <c r="D666" t="n">
        <v>1841666</v>
      </c>
      <c r="E666" t="inlineStr">
        <is>
          <t>SEC</t>
        </is>
      </c>
    </row>
    <row r="667">
      <c r="A667" s="5">
        <f>HYPERLINK("https://finance.yahoo.com/quote/EWBC","EWBC")</f>
        <v/>
      </c>
      <c r="B667" t="inlineStr">
        <is>
          <t>EAST WEST BANCORP INC</t>
        </is>
      </c>
      <c r="C667" t="inlineStr">
        <is>
          <t>Nasdaq</t>
        </is>
      </c>
      <c r="D667" t="n">
        <v>1069157</v>
      </c>
      <c r="E667" t="inlineStr">
        <is>
          <t>SEC</t>
        </is>
      </c>
    </row>
    <row r="668">
      <c r="A668" s="5">
        <f>HYPERLINK("https://finance.yahoo.com/quote/MTSI","MTSI")</f>
        <v/>
      </c>
      <c r="B668" t="inlineStr">
        <is>
          <t>MACOM Technology Solutions Holdings, Inc.</t>
        </is>
      </c>
      <c r="C668" t="inlineStr">
        <is>
          <t>Nasdaq</t>
        </is>
      </c>
      <c r="D668" t="n">
        <v>1493594</v>
      </c>
      <c r="E668" t="inlineStr">
        <is>
          <t>SEC</t>
        </is>
      </c>
    </row>
    <row r="669">
      <c r="A669" s="5">
        <f>HYPERLINK("https://finance.yahoo.com/quote/PS","PS")</f>
        <v/>
      </c>
      <c r="B669" t="inlineStr">
        <is>
          <t>PERSHING SQUARE INC.</t>
        </is>
      </c>
      <c r="C669" t="inlineStr">
        <is>
          <t>NYSE</t>
        </is>
      </c>
      <c r="D669" t="n">
        <v>2026053</v>
      </c>
      <c r="E669" t="inlineStr">
        <is>
          <t>SEC</t>
        </is>
      </c>
    </row>
    <row r="670">
      <c r="A670" s="5">
        <f>HYPERLINK("https://finance.yahoo.com/quote/LNT","LNT")</f>
        <v/>
      </c>
      <c r="B670" t="inlineStr">
        <is>
          <t>ALLIANT ENERGY CORP</t>
        </is>
      </c>
      <c r="C670" t="inlineStr">
        <is>
          <t>Nasdaq</t>
        </is>
      </c>
      <c r="D670" t="n">
        <v>352541</v>
      </c>
      <c r="E670" t="inlineStr">
        <is>
          <t>SEC</t>
        </is>
      </c>
    </row>
    <row r="671">
      <c r="A671" s="5">
        <f>HYPERLINK("https://finance.yahoo.com/quote/U","U")</f>
        <v/>
      </c>
      <c r="B671" t="inlineStr">
        <is>
          <t>Unity Software Inc.</t>
        </is>
      </c>
      <c r="C671" t="inlineStr">
        <is>
          <t>NYSE</t>
        </is>
      </c>
      <c r="D671" t="n">
        <v>1810806</v>
      </c>
      <c r="E671" t="inlineStr">
        <is>
          <t>SEC</t>
        </is>
      </c>
    </row>
    <row r="672">
      <c r="A672" s="5">
        <f>HYPERLINK("https://finance.yahoo.com/quote/WWD","WWD")</f>
        <v/>
      </c>
      <c r="B672" t="inlineStr">
        <is>
          <t>Woodward, Inc.</t>
        </is>
      </c>
      <c r="C672" t="inlineStr">
        <is>
          <t>Nasdaq</t>
        </is>
      </c>
      <c r="D672" t="n">
        <v>108312</v>
      </c>
      <c r="E672" t="inlineStr">
        <is>
          <t>SEC</t>
        </is>
      </c>
    </row>
    <row r="673">
      <c r="A673" s="5">
        <f>HYPERLINK("https://finance.yahoo.com/quote/NDSN","NDSN")</f>
        <v/>
      </c>
      <c r="B673" t="inlineStr">
        <is>
          <t>NORDSON CORP</t>
        </is>
      </c>
      <c r="C673" t="inlineStr">
        <is>
          <t>Nasdaq</t>
        </is>
      </c>
      <c r="D673" t="n">
        <v>72331</v>
      </c>
      <c r="E673" t="inlineStr">
        <is>
          <t>SEC</t>
        </is>
      </c>
    </row>
    <row r="674">
      <c r="A674" s="5">
        <f>HYPERLINK("https://finance.yahoo.com/quote/IP","IP")</f>
        <v/>
      </c>
      <c r="B674" t="inlineStr">
        <is>
          <t>INTERNATIONAL PAPER CO /NEW/</t>
        </is>
      </c>
      <c r="C674" t="inlineStr">
        <is>
          <t>NYSE</t>
        </is>
      </c>
      <c r="D674" t="n">
        <v>51434</v>
      </c>
      <c r="E674" t="inlineStr">
        <is>
          <t>SEC</t>
        </is>
      </c>
    </row>
    <row r="675">
      <c r="A675" s="5">
        <f>HYPERLINK("https://finance.yahoo.com/quote/RVTY","RVTY")</f>
        <v/>
      </c>
      <c r="B675" t="inlineStr">
        <is>
          <t>REVVITY, INC.</t>
        </is>
      </c>
      <c r="C675" t="inlineStr">
        <is>
          <t>NYSE</t>
        </is>
      </c>
      <c r="D675" t="n">
        <v>31791</v>
      </c>
      <c r="E675" t="inlineStr">
        <is>
          <t>SEC</t>
        </is>
      </c>
    </row>
    <row r="676">
      <c r="A676" s="5">
        <f>HYPERLINK("https://finance.yahoo.com/quote/RCI","RCI")</f>
        <v/>
      </c>
      <c r="B676" t="inlineStr">
        <is>
          <t>ROGERS COMMUNICATIONS INC</t>
        </is>
      </c>
      <c r="C676" t="inlineStr">
        <is>
          <t>NYSE</t>
        </is>
      </c>
      <c r="D676" t="n">
        <v>733099</v>
      </c>
      <c r="E676" t="inlineStr">
        <is>
          <t>SEC</t>
        </is>
      </c>
    </row>
    <row r="677">
      <c r="A677" s="5">
        <f>HYPERLINK("https://finance.yahoo.com/quote/KSPI","KSPI")</f>
        <v/>
      </c>
      <c r="B677" t="inlineStr">
        <is>
          <t>Joint Stock Co Kaspi.kz</t>
        </is>
      </c>
      <c r="C677" t="inlineStr">
        <is>
          <t>Nasdaq</t>
        </is>
      </c>
      <c r="D677" t="n">
        <v>1985487</v>
      </c>
      <c r="E677" t="inlineStr">
        <is>
          <t>SEC</t>
        </is>
      </c>
    </row>
    <row r="678">
      <c r="A678" s="5">
        <f>HYPERLINK("https://finance.yahoo.com/quote/TRMOY","TRMOY")</f>
        <v/>
      </c>
      <c r="B678" t="inlineStr">
        <is>
          <t>Tourmaline Oil Corp/ADR</t>
        </is>
      </c>
      <c r="C678" t="inlineStr">
        <is>
          <t>OTC</t>
        </is>
      </c>
      <c r="D678" t="n">
        <v>2071881</v>
      </c>
      <c r="E678" t="inlineStr">
        <is>
          <t>SEC</t>
        </is>
      </c>
    </row>
    <row r="679">
      <c r="A679" s="5">
        <f>HYPERLINK("https://finance.yahoo.com/quote/FICO","FICO")</f>
        <v/>
      </c>
      <c r="B679" t="inlineStr">
        <is>
          <t>FAIR ISAAC CORP</t>
        </is>
      </c>
      <c r="C679" t="inlineStr">
        <is>
          <t>NYSE</t>
        </is>
      </c>
      <c r="D679" t="n">
        <v>814547</v>
      </c>
      <c r="E679" t="inlineStr">
        <is>
          <t>SEC</t>
        </is>
      </c>
    </row>
    <row r="680">
      <c r="A680" s="5">
        <f>HYPERLINK("https://finance.yahoo.com/quote/TPG","TPG")</f>
        <v/>
      </c>
      <c r="B680" t="inlineStr">
        <is>
          <t>TPG Inc.</t>
        </is>
      </c>
      <c r="C680" t="inlineStr">
        <is>
          <t>Nasdaq</t>
        </is>
      </c>
      <c r="D680" t="n">
        <v>1880661</v>
      </c>
      <c r="E680" t="inlineStr">
        <is>
          <t>SEC</t>
        </is>
      </c>
    </row>
    <row r="681">
      <c r="A681" s="5">
        <f>HYPERLINK("https://finance.yahoo.com/quote/TSCO","TSCO")</f>
        <v/>
      </c>
      <c r="B681" t="inlineStr">
        <is>
          <t>TRACTOR SUPPLY CO /DE/</t>
        </is>
      </c>
      <c r="C681" t="inlineStr">
        <is>
          <t>Nasdaq</t>
        </is>
      </c>
      <c r="D681" t="n">
        <v>916365</v>
      </c>
      <c r="E681" t="inlineStr">
        <is>
          <t>SEC</t>
        </is>
      </c>
    </row>
    <row r="682">
      <c r="A682" s="5">
        <f>HYPERLINK("https://finance.yahoo.com/quote/RGA","RGA")</f>
        <v/>
      </c>
      <c r="B682" t="inlineStr">
        <is>
          <t>REINSURANCE GROUP OF AMERICA INC</t>
        </is>
      </c>
      <c r="C682" t="inlineStr">
        <is>
          <t>NYSE</t>
        </is>
      </c>
      <c r="D682" t="n">
        <v>898174</v>
      </c>
      <c r="E682" t="inlineStr">
        <is>
          <t>SEC</t>
        </is>
      </c>
    </row>
    <row r="683">
      <c r="A683" s="5">
        <f>HYPERLINK("https://finance.yahoo.com/quote/RIVN","RIVN")</f>
        <v/>
      </c>
      <c r="B683" t="inlineStr">
        <is>
          <t>Rivian Automotive, Inc. / DE</t>
        </is>
      </c>
      <c r="C683" t="inlineStr">
        <is>
          <t>Nasdaq</t>
        </is>
      </c>
      <c r="D683" t="n">
        <v>1874178</v>
      </c>
      <c r="E683" t="inlineStr">
        <is>
          <t>SEC</t>
        </is>
      </c>
    </row>
    <row r="684">
      <c r="A684" s="5">
        <f>HYPERLINK("https://finance.yahoo.com/quote/CW","CW")</f>
        <v/>
      </c>
      <c r="B684" t="inlineStr">
        <is>
          <t>CURTISS WRIGHT CORP</t>
        </is>
      </c>
      <c r="C684" t="inlineStr">
        <is>
          <t>NYSE</t>
        </is>
      </c>
      <c r="D684" t="n">
        <v>26324</v>
      </c>
      <c r="E684" t="inlineStr">
        <is>
          <t>SEC</t>
        </is>
      </c>
    </row>
    <row r="685">
      <c r="A685" s="5">
        <f>HYPERLINK("https://finance.yahoo.com/quote/HST","HST")</f>
        <v/>
      </c>
      <c r="B685" t="inlineStr">
        <is>
          <t>HOST HOTELS &amp; RESORTS, INC.</t>
        </is>
      </c>
      <c r="C685" t="inlineStr">
        <is>
          <t>Nasdaq</t>
        </is>
      </c>
      <c r="D685" t="n">
        <v>1070750</v>
      </c>
      <c r="E685" t="inlineStr">
        <is>
          <t>SEC</t>
        </is>
      </c>
    </row>
    <row r="686">
      <c r="A686" s="5">
        <f>HYPERLINK("https://finance.yahoo.com/quote/BALL","BALL")</f>
        <v/>
      </c>
      <c r="B686" t="inlineStr">
        <is>
          <t>BALL Corp</t>
        </is>
      </c>
      <c r="C686" t="inlineStr">
        <is>
          <t>NYSE</t>
        </is>
      </c>
      <c r="D686" t="n">
        <v>9389</v>
      </c>
      <c r="E686" t="inlineStr">
        <is>
          <t>SEC</t>
        </is>
      </c>
    </row>
    <row r="687">
      <c r="A687" s="5">
        <f>HYPERLINK("https://finance.yahoo.com/quote/MGA","MGA")</f>
        <v/>
      </c>
      <c r="B687" t="inlineStr">
        <is>
          <t>MAGNA INTERNATIONAL INC</t>
        </is>
      </c>
      <c r="C687" t="inlineStr">
        <is>
          <t>NYSE</t>
        </is>
      </c>
      <c r="D687" t="n">
        <v>749098</v>
      </c>
      <c r="E687" t="inlineStr">
        <is>
          <t>SEC</t>
        </is>
      </c>
    </row>
    <row r="688">
      <c r="A688" s="5">
        <f>HYPERLINK("https://finance.yahoo.com/quote/APG","APG")</f>
        <v/>
      </c>
      <c r="B688" t="inlineStr">
        <is>
          <t>APi Group Corp</t>
        </is>
      </c>
      <c r="C688" t="inlineStr">
        <is>
          <t>NYSE</t>
        </is>
      </c>
      <c r="D688" t="n">
        <v>1796209</v>
      </c>
      <c r="E688" t="inlineStr">
        <is>
          <t>SEC</t>
        </is>
      </c>
    </row>
    <row r="689">
      <c r="A689" s="5">
        <f>HYPERLINK("https://finance.yahoo.com/quote/LDOS","LDOS")</f>
        <v/>
      </c>
      <c r="B689" t="inlineStr">
        <is>
          <t>Leidos Holdings, Inc.</t>
        </is>
      </c>
      <c r="C689" t="inlineStr">
        <is>
          <t>NYSE</t>
        </is>
      </c>
      <c r="D689" t="n">
        <v>1336920</v>
      </c>
      <c r="E689" t="inlineStr">
        <is>
          <t>SEC</t>
        </is>
      </c>
    </row>
    <row r="690">
      <c r="A690" s="5">
        <f>HYPERLINK("https://finance.yahoo.com/quote/J","J")</f>
        <v/>
      </c>
      <c r="B690" t="inlineStr">
        <is>
          <t>JACOBS SOLUTIONS INC.</t>
        </is>
      </c>
      <c r="C690" t="inlineStr">
        <is>
          <t>NYSE</t>
        </is>
      </c>
      <c r="D690" t="n">
        <v>52988</v>
      </c>
      <c r="E690" t="inlineStr">
        <is>
          <t>SEC</t>
        </is>
      </c>
    </row>
    <row r="691">
      <c r="A691" s="5">
        <f>HYPERLINK("https://finance.yahoo.com/quote/GIB","GIB")</f>
        <v/>
      </c>
      <c r="B691" t="inlineStr">
        <is>
          <t>CGI INC</t>
        </is>
      </c>
      <c r="C691" t="inlineStr">
        <is>
          <t>NYSE</t>
        </is>
      </c>
      <c r="D691" t="n">
        <v>1061574</v>
      </c>
      <c r="E691" t="inlineStr">
        <is>
          <t>SEC</t>
        </is>
      </c>
    </row>
    <row r="692">
      <c r="A692" s="5">
        <f>HYPERLINK("https://finance.yahoo.com/quote/IEX","IEX")</f>
        <v/>
      </c>
      <c r="B692" t="inlineStr">
        <is>
          <t>IDEX CORP /DE/</t>
        </is>
      </c>
      <c r="C692" t="inlineStr">
        <is>
          <t>NYSE</t>
        </is>
      </c>
      <c r="D692" t="n">
        <v>832101</v>
      </c>
      <c r="E692" t="inlineStr">
        <is>
          <t>SEC</t>
        </is>
      </c>
    </row>
    <row r="693">
      <c r="A693" s="5">
        <f>HYPERLINK("https://finance.yahoo.com/quote/GPC","GPC")</f>
        <v/>
      </c>
      <c r="B693" t="inlineStr">
        <is>
          <t>GENUINE PARTS CO</t>
        </is>
      </c>
      <c r="C693" t="inlineStr">
        <is>
          <t>NYSE</t>
        </is>
      </c>
      <c r="D693" t="n">
        <v>40987</v>
      </c>
      <c r="E693" t="inlineStr">
        <is>
          <t>SEC</t>
        </is>
      </c>
    </row>
    <row r="694">
      <c r="A694" s="5">
        <f>HYPERLINK("https://finance.yahoo.com/quote/VNOM","VNOM")</f>
        <v/>
      </c>
      <c r="B694" t="inlineStr">
        <is>
          <t>Viper Energy, Inc.</t>
        </is>
      </c>
      <c r="C694" t="inlineStr">
        <is>
          <t>Nasdaq</t>
        </is>
      </c>
      <c r="D694" t="n">
        <v>2074176</v>
      </c>
      <c r="E694" t="inlineStr">
        <is>
          <t>SEC</t>
        </is>
      </c>
    </row>
    <row r="695">
      <c r="A695" s="5">
        <f>HYPERLINK("https://finance.yahoo.com/quote/CLH","CLH")</f>
        <v/>
      </c>
      <c r="B695" t="inlineStr">
        <is>
          <t>CLEAN HARBORS INC</t>
        </is>
      </c>
      <c r="C695" t="inlineStr">
        <is>
          <t>NYSE</t>
        </is>
      </c>
      <c r="D695" t="n">
        <v>822818</v>
      </c>
      <c r="E695" t="inlineStr">
        <is>
          <t>SEC</t>
        </is>
      </c>
    </row>
    <row r="696">
      <c r="A696" s="5">
        <f>HYPERLINK("https://finance.yahoo.com/quote/PAAS","PAAS")</f>
        <v/>
      </c>
      <c r="B696" t="inlineStr">
        <is>
          <t>PAN AMERICAN SILVER CORP</t>
        </is>
      </c>
      <c r="C696" t="inlineStr">
        <is>
          <t>NYSE</t>
        </is>
      </c>
      <c r="D696" t="n">
        <v>771992</v>
      </c>
      <c r="E696" t="inlineStr">
        <is>
          <t>SEC</t>
        </is>
      </c>
    </row>
    <row r="697">
      <c r="A697" s="5">
        <f>HYPERLINK("https://finance.yahoo.com/quote/NWSA","NWSA")</f>
        <v/>
      </c>
      <c r="B697" t="inlineStr">
        <is>
          <t>NEWS CORP</t>
        </is>
      </c>
      <c r="C697" t="inlineStr">
        <is>
          <t>Nasdaq</t>
        </is>
      </c>
      <c r="D697" t="n">
        <v>1564708</v>
      </c>
      <c r="E697" t="inlineStr">
        <is>
          <t>SEC</t>
        </is>
      </c>
    </row>
    <row r="698">
      <c r="A698" s="5">
        <f>HYPERLINK("https://finance.yahoo.com/quote/ARNNY","ARNNY")</f>
        <v/>
      </c>
      <c r="B698" t="inlineStr">
        <is>
          <t>ASR Nederland N.V./ADR</t>
        </is>
      </c>
      <c r="C698" t="inlineStr">
        <is>
          <t>OTC</t>
        </is>
      </c>
      <c r="D698" t="n">
        <v>1719117</v>
      </c>
      <c r="E698" t="inlineStr">
        <is>
          <t>SEC</t>
        </is>
      </c>
    </row>
    <row r="699">
      <c r="A699" s="5">
        <f>HYPERLINK("https://finance.yahoo.com/quote/CRL","CRL")</f>
        <v/>
      </c>
      <c r="B699" t="inlineStr">
        <is>
          <t>CHARLES RIVER LABORATORIES INTERNATIONAL, INC.</t>
        </is>
      </c>
      <c r="C699" t="inlineStr">
        <is>
          <t>NYSE</t>
        </is>
      </c>
      <c r="D699" t="n">
        <v>1100682</v>
      </c>
      <c r="E699" t="inlineStr">
        <is>
          <t>SEC</t>
        </is>
      </c>
    </row>
    <row r="700">
      <c r="A700" s="5">
        <f>HYPERLINK("https://finance.yahoo.com/quote/ROL","ROL")</f>
        <v/>
      </c>
      <c r="B700" t="inlineStr">
        <is>
          <t>ROLLINS INC</t>
        </is>
      </c>
      <c r="C700" t="inlineStr">
        <is>
          <t>NYSE</t>
        </is>
      </c>
      <c r="D700" t="n">
        <v>84839</v>
      </c>
      <c r="E700" t="inlineStr">
        <is>
          <t>SEC</t>
        </is>
      </c>
    </row>
    <row r="701">
      <c r="A701" s="5">
        <f>HYPERLINK("https://finance.yahoo.com/quote/FDXF","FDXF")</f>
        <v/>
      </c>
      <c r="B701" t="inlineStr">
        <is>
          <t>FedEx Freight Holding Company, Inc.</t>
        </is>
      </c>
      <c r="C701" t="inlineStr">
        <is>
          <t>NYSE</t>
        </is>
      </c>
      <c r="D701" t="n">
        <v>2082247</v>
      </c>
      <c r="E701" t="inlineStr">
        <is>
          <t>SEC</t>
        </is>
      </c>
    </row>
    <row r="702">
      <c r="A702" s="5">
        <f>HYPERLINK("https://finance.yahoo.com/quote/HSAI","HSAI")</f>
        <v/>
      </c>
      <c r="B702" t="inlineStr">
        <is>
          <t>Hesai Group</t>
        </is>
      </c>
      <c r="C702" t="inlineStr">
        <is>
          <t>Nasdaq</t>
        </is>
      </c>
      <c r="D702" t="n">
        <v>1861737</v>
      </c>
      <c r="E702" t="inlineStr">
        <is>
          <t>SEC</t>
        </is>
      </c>
    </row>
    <row r="703">
      <c r="A703" s="5">
        <f>HYPERLINK("https://finance.yahoo.com/quote/HAS","HAS")</f>
        <v/>
      </c>
      <c r="B703" t="inlineStr">
        <is>
          <t>HASBRO, INC.</t>
        </is>
      </c>
      <c r="C703" t="inlineStr">
        <is>
          <t>Nasdaq</t>
        </is>
      </c>
      <c r="D703" t="n">
        <v>46080</v>
      </c>
      <c r="E703" t="inlineStr">
        <is>
          <t>SEC</t>
        </is>
      </c>
    </row>
    <row r="704">
      <c r="A704" s="5">
        <f>HYPERLINK("https://finance.yahoo.com/quote/GFL","GFL")</f>
        <v/>
      </c>
      <c r="B704" t="inlineStr">
        <is>
          <t>GFL Environmental Inc.</t>
        </is>
      </c>
      <c r="C704" t="inlineStr">
        <is>
          <t>NYSE</t>
        </is>
      </c>
      <c r="D704" t="n">
        <v>1780232</v>
      </c>
      <c r="E704" t="inlineStr">
        <is>
          <t>SEC</t>
        </is>
      </c>
    </row>
    <row r="705">
      <c r="A705" s="5">
        <f>HYPERLINK("https://finance.yahoo.com/quote/AS","AS")</f>
        <v/>
      </c>
      <c r="B705" t="inlineStr">
        <is>
          <t>Amer Sports, Inc.</t>
        </is>
      </c>
      <c r="C705" t="inlineStr">
        <is>
          <t>NYSE</t>
        </is>
      </c>
      <c r="D705" t="n">
        <v>1988894</v>
      </c>
      <c r="E705" t="inlineStr">
        <is>
          <t>SEC</t>
        </is>
      </c>
    </row>
    <row r="706">
      <c r="A706" s="5">
        <f>HYPERLINK("https://finance.yahoo.com/quote/CHRW","CHRW")</f>
        <v/>
      </c>
      <c r="B706" t="inlineStr">
        <is>
          <t>C. H. ROBINSON WORLDWIDE, INC.</t>
        </is>
      </c>
      <c r="C706" t="inlineStr">
        <is>
          <t>Nasdaq</t>
        </is>
      </c>
      <c r="D706" t="n">
        <v>1043277</v>
      </c>
      <c r="E706" t="inlineStr">
        <is>
          <t>SEC</t>
        </is>
      </c>
    </row>
    <row r="707">
      <c r="A707" s="5">
        <f>HYPERLINK("https://finance.yahoo.com/quote/SQM","SQM")</f>
        <v/>
      </c>
      <c r="B707" t="inlineStr">
        <is>
          <t>CHEMICAL &amp; MINING CO OF CHILE INC</t>
        </is>
      </c>
      <c r="C707" t="inlineStr">
        <is>
          <t>NYSE</t>
        </is>
      </c>
      <c r="D707" t="n">
        <v>909037</v>
      </c>
      <c r="E707" t="inlineStr">
        <is>
          <t>SEC</t>
        </is>
      </c>
    </row>
    <row r="708">
      <c r="A708" s="5">
        <f>HYPERLINK("https://finance.yahoo.com/quote/H","H")</f>
        <v/>
      </c>
      <c r="B708" t="inlineStr">
        <is>
          <t>Hyatt Hotels Corp</t>
        </is>
      </c>
      <c r="C708" t="inlineStr">
        <is>
          <t>NYSE</t>
        </is>
      </c>
      <c r="D708" t="n">
        <v>1468174</v>
      </c>
      <c r="E708" t="inlineStr">
        <is>
          <t>SEC</t>
        </is>
      </c>
    </row>
    <row r="709">
      <c r="A709" s="5">
        <f>HYPERLINK("https://finance.yahoo.com/quote/INVH","INVH")</f>
        <v/>
      </c>
      <c r="B709" t="inlineStr">
        <is>
          <t>Invitation Homes Inc.</t>
        </is>
      </c>
      <c r="C709" t="inlineStr">
        <is>
          <t>NYSE</t>
        </is>
      </c>
      <c r="D709" t="n">
        <v>1687229</v>
      </c>
      <c r="E709" t="inlineStr">
        <is>
          <t>SEC</t>
        </is>
      </c>
    </row>
    <row r="710">
      <c r="A710" s="5">
        <f>HYPERLINK("https://finance.yahoo.com/quote/WF","WF")</f>
        <v/>
      </c>
      <c r="B710" t="inlineStr">
        <is>
          <t>WOORI FINANCIAL GROUP INC.</t>
        </is>
      </c>
      <c r="C710" t="inlineStr">
        <is>
          <t>NYSE</t>
        </is>
      </c>
      <c r="D710" t="n">
        <v>1264136</v>
      </c>
      <c r="E710" t="inlineStr">
        <is>
          <t>SEC</t>
        </is>
      </c>
    </row>
    <row r="711">
      <c r="A711" s="5">
        <f>HYPERLINK("https://finance.yahoo.com/quote/NVR","NVR")</f>
        <v/>
      </c>
      <c r="B711" t="inlineStr">
        <is>
          <t>NVR INC</t>
        </is>
      </c>
      <c r="C711" t="inlineStr">
        <is>
          <t>NYSE</t>
        </is>
      </c>
      <c r="D711" t="n">
        <v>906163</v>
      </c>
      <c r="E711" t="inlineStr">
        <is>
          <t>SEC</t>
        </is>
      </c>
    </row>
    <row r="712">
      <c r="A712" s="5">
        <f>HYPERLINK("https://finance.yahoo.com/quote/CHKP","CHKP")</f>
        <v/>
      </c>
      <c r="B712" t="inlineStr">
        <is>
          <t>CHECK POINT SOFTWARE TECHNOLOGIES LTD</t>
        </is>
      </c>
      <c r="C712" t="inlineStr">
        <is>
          <t>Nasdaq</t>
        </is>
      </c>
      <c r="D712" t="n">
        <v>1015922</v>
      </c>
      <c r="E712" t="inlineStr">
        <is>
          <t>SEC</t>
        </is>
      </c>
    </row>
    <row r="713">
      <c r="A713" s="5">
        <f>HYPERLINK("https://finance.yahoo.com/quote/WMG","WMG")</f>
        <v/>
      </c>
      <c r="B713" t="inlineStr">
        <is>
          <t>Warner Music Group Corp.</t>
        </is>
      </c>
      <c r="C713" t="inlineStr">
        <is>
          <t>Nasdaq</t>
        </is>
      </c>
      <c r="D713" t="n">
        <v>1319161</v>
      </c>
      <c r="E713" t="inlineStr">
        <is>
          <t>SEC</t>
        </is>
      </c>
    </row>
    <row r="714">
      <c r="A714" s="5">
        <f>HYPERLINK("https://finance.yahoo.com/quote/FTAI","FTAI")</f>
        <v/>
      </c>
      <c r="B714" t="inlineStr">
        <is>
          <t>FTAI Aviation Ltd.</t>
        </is>
      </c>
      <c r="C714" t="inlineStr">
        <is>
          <t>Nasdaq</t>
        </is>
      </c>
      <c r="D714" t="n">
        <v>1590364</v>
      </c>
      <c r="E714" t="inlineStr">
        <is>
          <t>SEC</t>
        </is>
      </c>
    </row>
    <row r="715">
      <c r="A715" s="5">
        <f>HYPERLINK("https://finance.yahoo.com/quote/OBICY","OBICY")</f>
        <v/>
      </c>
      <c r="B715" t="inlineStr">
        <is>
          <t>OBIC Co., Ltd./ADR</t>
        </is>
      </c>
      <c r="C715" t="inlineStr">
        <is>
          <t>OTC</t>
        </is>
      </c>
      <c r="D715" t="n">
        <v>2077146</v>
      </c>
      <c r="E715" t="inlineStr">
        <is>
          <t>SEC</t>
        </is>
      </c>
    </row>
    <row r="716">
      <c r="A716" s="5">
        <f>HYPERLINK("https://finance.yahoo.com/quote/EXEL","EXEL")</f>
        <v/>
      </c>
      <c r="B716" t="inlineStr">
        <is>
          <t>EXELIXIS, INC.</t>
        </is>
      </c>
      <c r="C716" t="inlineStr">
        <is>
          <t>Nasdaq</t>
        </is>
      </c>
      <c r="D716" t="n">
        <v>939767</v>
      </c>
      <c r="E716" t="inlineStr">
        <is>
          <t>SEC</t>
        </is>
      </c>
    </row>
    <row r="717">
      <c r="A717" s="5">
        <f>HYPERLINK("https://finance.yahoo.com/quote/TYL","TYL")</f>
        <v/>
      </c>
      <c r="B717" t="inlineStr">
        <is>
          <t>TYLER TECHNOLOGIES INC</t>
        </is>
      </c>
      <c r="C717" t="inlineStr">
        <is>
          <t>NYSE</t>
        </is>
      </c>
      <c r="D717" t="n">
        <v>860731</v>
      </c>
      <c r="E717" t="inlineStr">
        <is>
          <t>SEC</t>
        </is>
      </c>
    </row>
    <row r="718">
      <c r="A718" s="5">
        <f>HYPERLINK("https://finance.yahoo.com/quote/ASND","ASND")</f>
        <v/>
      </c>
      <c r="B718" t="inlineStr">
        <is>
          <t>Ascendis Pharma A/S</t>
        </is>
      </c>
      <c r="C718" t="inlineStr">
        <is>
          <t>Nasdaq</t>
        </is>
      </c>
      <c r="D718" t="n">
        <v>1612042</v>
      </c>
      <c r="E718" t="inlineStr">
        <is>
          <t>SEC</t>
        </is>
      </c>
    </row>
    <row r="719">
      <c r="A719" s="5">
        <f>HYPERLINK("https://finance.yahoo.com/quote/DOCU","DOCU")</f>
        <v/>
      </c>
      <c r="B719" t="inlineStr">
        <is>
          <t>DOCUSIGN, INC.</t>
        </is>
      </c>
      <c r="C719" t="inlineStr">
        <is>
          <t>Nasdaq</t>
        </is>
      </c>
      <c r="D719" t="n">
        <v>1261333</v>
      </c>
      <c r="E719" t="inlineStr">
        <is>
          <t>SEC</t>
        </is>
      </c>
    </row>
    <row r="720">
      <c r="A720" s="5">
        <f>HYPERLINK("https://finance.yahoo.com/quote/BEN","BEN")</f>
        <v/>
      </c>
      <c r="B720" t="inlineStr">
        <is>
          <t>FRANKLIN TEMPLETON INC</t>
        </is>
      </c>
      <c r="C720" t="inlineStr">
        <is>
          <t>NYSE</t>
        </is>
      </c>
      <c r="D720" t="n">
        <v>38777</v>
      </c>
      <c r="E720" t="inlineStr">
        <is>
          <t>SEC</t>
        </is>
      </c>
    </row>
    <row r="721">
      <c r="A721" s="5">
        <f>HYPERLINK("https://finance.yahoo.com/quote/KIM","KIM")</f>
        <v/>
      </c>
      <c r="B721" t="inlineStr">
        <is>
          <t>KIMCO REALTY CORP</t>
        </is>
      </c>
      <c r="C721" t="inlineStr">
        <is>
          <t>NYSE</t>
        </is>
      </c>
      <c r="D721" t="n">
        <v>879101</v>
      </c>
      <c r="E721" t="inlineStr">
        <is>
          <t>SEC</t>
        </is>
      </c>
    </row>
    <row r="722">
      <c r="A722" s="5">
        <f>HYPERLINK("https://finance.yahoo.com/quote/LAMR","LAMR")</f>
        <v/>
      </c>
      <c r="B722" t="inlineStr">
        <is>
          <t>LAMAR ADVERTISING CO/NEW</t>
        </is>
      </c>
      <c r="C722" t="inlineStr">
        <is>
          <t>Nasdaq</t>
        </is>
      </c>
      <c r="D722" t="n">
        <v>1090425</v>
      </c>
      <c r="E722" t="inlineStr">
        <is>
          <t>SEC</t>
        </is>
      </c>
    </row>
    <row r="723">
      <c r="A723" s="5">
        <f>HYPERLINK("https://finance.yahoo.com/quote/LOGI","LOGI")</f>
        <v/>
      </c>
      <c r="B723" t="inlineStr">
        <is>
          <t>LOGITECH INTERNATIONAL S.A.</t>
        </is>
      </c>
      <c r="C723" t="inlineStr">
        <is>
          <t>Nasdaq</t>
        </is>
      </c>
      <c r="D723" t="n">
        <v>1032975</v>
      </c>
      <c r="E723" t="inlineStr">
        <is>
          <t>SEC</t>
        </is>
      </c>
    </row>
    <row r="724">
      <c r="A724" s="5">
        <f>HYPERLINK("https://finance.yahoo.com/quote/LNTCY","LNTCY")</f>
        <v/>
      </c>
      <c r="B724" t="inlineStr">
        <is>
          <t>Lens Technology Co., Ltd./ADR</t>
        </is>
      </c>
      <c r="C724" t="inlineStr">
        <is>
          <t>OTC</t>
        </is>
      </c>
      <c r="D724" t="n">
        <v>2098381</v>
      </c>
      <c r="E724" t="inlineStr">
        <is>
          <t>SEC</t>
        </is>
      </c>
    </row>
    <row r="725">
      <c r="A725" s="5">
        <f>HYPERLINK("https://finance.yahoo.com/quote/TRU","TRU")</f>
        <v/>
      </c>
      <c r="B725" t="inlineStr">
        <is>
          <t>TransUnion</t>
        </is>
      </c>
      <c r="C725" t="inlineStr">
        <is>
          <t>NYSE</t>
        </is>
      </c>
      <c r="D725" t="n">
        <v>1552033</v>
      </c>
      <c r="E725" t="inlineStr">
        <is>
          <t>SEC</t>
        </is>
      </c>
    </row>
    <row r="726">
      <c r="A726" s="5">
        <f>HYPERLINK("https://finance.yahoo.com/quote/WCC","WCC")</f>
        <v/>
      </c>
      <c r="B726" t="inlineStr">
        <is>
          <t>WESCO INTERNATIONAL INC</t>
        </is>
      </c>
      <c r="C726" t="inlineStr">
        <is>
          <t>NYSE</t>
        </is>
      </c>
      <c r="D726" t="n">
        <v>929008</v>
      </c>
      <c r="E726" t="inlineStr">
        <is>
          <t>SEC</t>
        </is>
      </c>
    </row>
    <row r="727">
      <c r="A727" s="5">
        <f>HYPERLINK("https://finance.yahoo.com/quote/PKX","PKX")</f>
        <v/>
      </c>
      <c r="B727" t="inlineStr">
        <is>
          <t>POSCO HOLDINGS INC.</t>
        </is>
      </c>
      <c r="C727" t="inlineStr">
        <is>
          <t>NYSE</t>
        </is>
      </c>
      <c r="D727" t="n">
        <v>889132</v>
      </c>
      <c r="E727" t="inlineStr">
        <is>
          <t>SEC</t>
        </is>
      </c>
    </row>
    <row r="728">
      <c r="A728" s="5">
        <f>HYPERLINK("https://finance.yahoo.com/quote/RBA","RBA")</f>
        <v/>
      </c>
      <c r="B728" t="inlineStr">
        <is>
          <t>RB GLOBAL INC.</t>
        </is>
      </c>
      <c r="C728" t="inlineStr">
        <is>
          <t>NYSE</t>
        </is>
      </c>
      <c r="D728" t="n">
        <v>1046102</v>
      </c>
      <c r="E728" t="inlineStr">
        <is>
          <t>SEC</t>
        </is>
      </c>
    </row>
    <row r="729">
      <c r="A729" s="5">
        <f>HYPERLINK("https://finance.yahoo.com/quote/GWRE","GWRE")</f>
        <v/>
      </c>
      <c r="B729" t="inlineStr">
        <is>
          <t>Guidewire Software, Inc.</t>
        </is>
      </c>
      <c r="C729" t="inlineStr">
        <is>
          <t>NYSE</t>
        </is>
      </c>
      <c r="D729" t="n">
        <v>1528396</v>
      </c>
      <c r="E729" t="inlineStr">
        <is>
          <t>SEC</t>
        </is>
      </c>
    </row>
    <row r="730">
      <c r="A730" s="5">
        <f>HYPERLINK("https://finance.yahoo.com/quote/W","W")</f>
        <v/>
      </c>
      <c r="B730" t="inlineStr">
        <is>
          <t>Wayfair Inc.</t>
        </is>
      </c>
      <c r="C730" t="inlineStr">
        <is>
          <t>NYSE</t>
        </is>
      </c>
      <c r="D730" t="n">
        <v>1616707</v>
      </c>
      <c r="E730" t="inlineStr">
        <is>
          <t>SEC</t>
        </is>
      </c>
    </row>
    <row r="731">
      <c r="A731" s="5">
        <f>HYPERLINK("https://finance.yahoo.com/quote/ASTS","ASTS")</f>
        <v/>
      </c>
      <c r="B731" t="inlineStr">
        <is>
          <t>AST SpaceMobile, Inc.</t>
        </is>
      </c>
      <c r="C731" t="inlineStr">
        <is>
          <t>Nasdaq</t>
        </is>
      </c>
      <c r="D731" t="n">
        <v>1780312</v>
      </c>
      <c r="E731" t="inlineStr">
        <is>
          <t>SEC</t>
        </is>
      </c>
    </row>
    <row r="732">
      <c r="A732" s="5">
        <f>HYPERLINK("https://finance.yahoo.com/quote/XP","XP")</f>
        <v/>
      </c>
      <c r="B732" t="inlineStr">
        <is>
          <t>XP Inc.</t>
        </is>
      </c>
      <c r="C732" t="inlineStr">
        <is>
          <t>Nasdaq</t>
        </is>
      </c>
      <c r="D732" t="n">
        <v>1787425</v>
      </c>
      <c r="E732" t="inlineStr">
        <is>
          <t>SEC</t>
        </is>
      </c>
    </row>
    <row r="733">
      <c r="A733" s="5">
        <f>HYPERLINK("https://finance.yahoo.com/quote/TLN","TLN")</f>
        <v/>
      </c>
      <c r="B733" t="inlineStr">
        <is>
          <t>Talen Energy Corp</t>
        </is>
      </c>
      <c r="C733" t="inlineStr">
        <is>
          <t>Nasdaq</t>
        </is>
      </c>
      <c r="D733" t="n">
        <v>1622536</v>
      </c>
      <c r="E733" t="inlineStr">
        <is>
          <t>SEC</t>
        </is>
      </c>
    </row>
    <row r="734">
      <c r="A734" s="5">
        <f>HYPERLINK("https://finance.yahoo.com/quote/BURL","BURL")</f>
        <v/>
      </c>
      <c r="B734" t="inlineStr">
        <is>
          <t>Burlington Stores, Inc.</t>
        </is>
      </c>
      <c r="C734" t="inlineStr">
        <is>
          <t>NYSE</t>
        </is>
      </c>
      <c r="D734" t="n">
        <v>1579298</v>
      </c>
      <c r="E734" t="inlineStr">
        <is>
          <t>SEC</t>
        </is>
      </c>
    </row>
    <row r="735">
      <c r="A735" s="5">
        <f>HYPERLINK("https://finance.yahoo.com/quote/EG","EG")</f>
        <v/>
      </c>
      <c r="B735" t="inlineStr">
        <is>
          <t>EVEREST GROUP, LTD.</t>
        </is>
      </c>
      <c r="C735" t="inlineStr">
        <is>
          <t>NYSE</t>
        </is>
      </c>
      <c r="D735" t="n">
        <v>1095073</v>
      </c>
      <c r="E735" t="inlineStr">
        <is>
          <t>SEC</t>
        </is>
      </c>
    </row>
    <row r="736">
      <c r="A736" s="5">
        <f>HYPERLINK("https://finance.yahoo.com/quote/JHX","JHX")</f>
        <v/>
      </c>
      <c r="B736" t="inlineStr">
        <is>
          <t>James Hardie Industries plc</t>
        </is>
      </c>
      <c r="C736" t="inlineStr">
        <is>
          <t>NYSE</t>
        </is>
      </c>
      <c r="D736" t="n">
        <v>1159152</v>
      </c>
      <c r="E736" t="inlineStr">
        <is>
          <t>SEC</t>
        </is>
      </c>
    </row>
    <row r="737">
      <c r="A737" s="5">
        <f>HYPERLINK("https://finance.yahoo.com/quote/ALLE","ALLE")</f>
        <v/>
      </c>
      <c r="B737" t="inlineStr">
        <is>
          <t>Allegion plc</t>
        </is>
      </c>
      <c r="C737" t="inlineStr">
        <is>
          <t>NYSE</t>
        </is>
      </c>
      <c r="D737" t="n">
        <v>1579241</v>
      </c>
      <c r="E737" t="inlineStr">
        <is>
          <t>SEC</t>
        </is>
      </c>
    </row>
    <row r="738">
      <c r="A738" s="5">
        <f>HYPERLINK("https://finance.yahoo.com/quote/DSEEY","DSEEY")</f>
        <v/>
      </c>
      <c r="B738" t="inlineStr">
        <is>
          <t>Daiwa Securities Group Inc.</t>
        </is>
      </c>
      <c r="C738" t="inlineStr">
        <is>
          <t>OTC</t>
        </is>
      </c>
      <c r="D738" t="n">
        <v>1481045</v>
      </c>
      <c r="E738" t="inlineStr">
        <is>
          <t>SEC</t>
        </is>
      </c>
    </row>
    <row r="739">
      <c r="A739" s="5">
        <f>HYPERLINK("https://finance.yahoo.com/quote/PNFP","PNFP")</f>
        <v/>
      </c>
      <c r="B739" t="inlineStr">
        <is>
          <t>Pinnacle Financial Partners, Inc.</t>
        </is>
      </c>
      <c r="C739" t="inlineStr">
        <is>
          <t>NYSE</t>
        </is>
      </c>
      <c r="D739" t="n">
        <v>2082866</v>
      </c>
      <c r="E739" t="inlineStr">
        <is>
          <t>SEC</t>
        </is>
      </c>
    </row>
    <row r="740">
      <c r="A740" s="5">
        <f>HYPERLINK("https://finance.yahoo.com/quote/CRBG","CRBG")</f>
        <v/>
      </c>
      <c r="B740" t="inlineStr">
        <is>
          <t>Corebridge Financial, Inc.</t>
        </is>
      </c>
      <c r="C740" t="inlineStr">
        <is>
          <t>NYSE</t>
        </is>
      </c>
      <c r="D740" t="n">
        <v>1889539</v>
      </c>
      <c r="E740" t="inlineStr">
        <is>
          <t>SEC</t>
        </is>
      </c>
    </row>
    <row r="741">
      <c r="A741" s="5">
        <f>HYPERLINK("https://finance.yahoo.com/quote/SUI","SUI")</f>
        <v/>
      </c>
      <c r="B741" t="inlineStr">
        <is>
          <t>SUN COMMUNITIES INC</t>
        </is>
      </c>
      <c r="C741" t="inlineStr">
        <is>
          <t>NYSE</t>
        </is>
      </c>
      <c r="D741" t="n">
        <v>912593</v>
      </c>
      <c r="E741" t="inlineStr">
        <is>
          <t>SEC</t>
        </is>
      </c>
    </row>
    <row r="742">
      <c r="A742" s="5">
        <f>HYPERLINK("https://finance.yahoo.com/quote/MAS","MAS")</f>
        <v/>
      </c>
      <c r="B742" t="inlineStr">
        <is>
          <t>MASCO CORP /DE/</t>
        </is>
      </c>
      <c r="C742" t="inlineStr">
        <is>
          <t>NYSE</t>
        </is>
      </c>
      <c r="D742" t="n">
        <v>62996</v>
      </c>
      <c r="E742" t="inlineStr">
        <is>
          <t>SEC</t>
        </is>
      </c>
    </row>
    <row r="743">
      <c r="A743" s="5">
        <f>HYPERLINK("https://finance.yahoo.com/quote/EMA","EMA")</f>
        <v/>
      </c>
      <c r="B743" t="inlineStr">
        <is>
          <t>EMERA INC</t>
        </is>
      </c>
      <c r="C743" t="inlineStr">
        <is>
          <t>NYSE</t>
        </is>
      </c>
      <c r="D743" t="n">
        <v>1127248</v>
      </c>
      <c r="E743" t="inlineStr">
        <is>
          <t>SEC</t>
        </is>
      </c>
    </row>
    <row r="744">
      <c r="A744" s="5">
        <f>HYPERLINK("https://finance.yahoo.com/quote/VARRY","VARRY")</f>
        <v/>
      </c>
      <c r="B744" t="inlineStr">
        <is>
          <t>Var Energi ASA/ADR</t>
        </is>
      </c>
      <c r="C744" t="inlineStr">
        <is>
          <t>OTC</t>
        </is>
      </c>
      <c r="D744" t="n">
        <v>1919275</v>
      </c>
      <c r="E744" t="inlineStr">
        <is>
          <t>SEC</t>
        </is>
      </c>
    </row>
    <row r="745">
      <c r="A745" s="5">
        <f>HYPERLINK("https://finance.yahoo.com/quote/SWK","SWK")</f>
        <v/>
      </c>
      <c r="B745" t="inlineStr">
        <is>
          <t>STANLEY BLACK &amp; DECKER, INC.</t>
        </is>
      </c>
      <c r="C745" t="inlineStr">
        <is>
          <t>NYSE</t>
        </is>
      </c>
      <c r="D745" t="n">
        <v>93556</v>
      </c>
      <c r="E745" t="inlineStr">
        <is>
          <t>SEC</t>
        </is>
      </c>
    </row>
    <row r="746">
      <c r="A746" s="5">
        <f>HYPERLINK("https://finance.yahoo.com/quote/YUMC","YUMC")</f>
        <v/>
      </c>
      <c r="B746" t="inlineStr">
        <is>
          <t>Yum China Holdings, Inc.</t>
        </is>
      </c>
      <c r="C746" t="inlineStr">
        <is>
          <t>NYSE</t>
        </is>
      </c>
      <c r="D746" t="n">
        <v>1673358</v>
      </c>
      <c r="E746" t="inlineStr">
        <is>
          <t>SEC</t>
        </is>
      </c>
    </row>
    <row r="747">
      <c r="A747" s="5">
        <f>HYPERLINK("https://finance.yahoo.com/quote/GEN","GEN")</f>
        <v/>
      </c>
      <c r="B747" t="inlineStr">
        <is>
          <t>Gen Digital Inc.</t>
        </is>
      </c>
      <c r="C747" t="inlineStr">
        <is>
          <t>Nasdaq</t>
        </is>
      </c>
      <c r="D747" t="n">
        <v>849399</v>
      </c>
      <c r="E747" t="inlineStr">
        <is>
          <t>SEC</t>
        </is>
      </c>
    </row>
    <row r="748">
      <c r="A748" s="5">
        <f>HYPERLINK("https://finance.yahoo.com/quote/RBC","RBC")</f>
        <v/>
      </c>
      <c r="B748" t="inlineStr">
        <is>
          <t>RBC Bearings INC</t>
        </is>
      </c>
      <c r="C748" t="inlineStr">
        <is>
          <t>NYSE</t>
        </is>
      </c>
      <c r="D748" t="n">
        <v>1324948</v>
      </c>
      <c r="E748" t="inlineStr">
        <is>
          <t>SEC</t>
        </is>
      </c>
    </row>
    <row r="749">
      <c r="A749" s="5">
        <f>HYPERLINK("https://finance.yahoo.com/quote/SGI","SGI")</f>
        <v/>
      </c>
      <c r="B749" t="inlineStr">
        <is>
          <t>SOMNIGROUP INTERNATIONAL INC.</t>
        </is>
      </c>
      <c r="C749" t="inlineStr">
        <is>
          <t>NYSE</t>
        </is>
      </c>
      <c r="D749" t="n">
        <v>1206264</v>
      </c>
      <c r="E749" t="inlineStr">
        <is>
          <t>SEC</t>
        </is>
      </c>
    </row>
    <row r="750">
      <c r="A750" s="5">
        <f>HYPERLINK("https://finance.yahoo.com/quote/ZTO","ZTO")</f>
        <v/>
      </c>
      <c r="B750" t="inlineStr">
        <is>
          <t>ZTO Express (Cayman) Inc.</t>
        </is>
      </c>
      <c r="C750" t="inlineStr">
        <is>
          <t>NYSE</t>
        </is>
      </c>
      <c r="D750" t="n">
        <v>1677250</v>
      </c>
      <c r="E750" t="inlineStr">
        <is>
          <t>SEC</t>
        </is>
      </c>
    </row>
    <row r="751">
      <c r="A751" s="5">
        <f>HYPERLINK("https://finance.yahoo.com/quote/PFGC","PFGC")</f>
        <v/>
      </c>
      <c r="B751" t="inlineStr">
        <is>
          <t>Performance Food Group Co</t>
        </is>
      </c>
      <c r="C751" t="inlineStr">
        <is>
          <t>NYSE</t>
        </is>
      </c>
      <c r="D751" t="n">
        <v>1618673</v>
      </c>
      <c r="E751" t="inlineStr">
        <is>
          <t>SEC</t>
        </is>
      </c>
    </row>
    <row r="752">
      <c r="A752" s="5">
        <f>HYPERLINK("https://finance.yahoo.com/quote/BSAC","BSAC")</f>
        <v/>
      </c>
      <c r="B752" t="inlineStr">
        <is>
          <t>BANCO SANTANDER CHILE</t>
        </is>
      </c>
      <c r="C752" t="inlineStr">
        <is>
          <t>NYSE</t>
        </is>
      </c>
      <c r="D752" t="n">
        <v>1027552</v>
      </c>
      <c r="E752" t="inlineStr">
        <is>
          <t>SEC</t>
        </is>
      </c>
    </row>
    <row r="753">
      <c r="A753" s="5">
        <f>HYPERLINK("https://finance.yahoo.com/quote/TRMB","TRMB")</f>
        <v/>
      </c>
      <c r="B753" t="inlineStr">
        <is>
          <t>TRIMBLE INC.</t>
        </is>
      </c>
      <c r="C753" t="inlineStr">
        <is>
          <t>Nasdaq</t>
        </is>
      </c>
      <c r="D753" t="n">
        <v>864749</v>
      </c>
      <c r="E753" t="inlineStr">
        <is>
          <t>SEC</t>
        </is>
      </c>
    </row>
    <row r="754">
      <c r="A754" s="5">
        <f>HYPERLINK("https://finance.yahoo.com/quote/ULS","ULS")</f>
        <v/>
      </c>
      <c r="B754" t="inlineStr">
        <is>
          <t>UL Solutions Inc.</t>
        </is>
      </c>
      <c r="C754" t="inlineStr">
        <is>
          <t>NYSE</t>
        </is>
      </c>
      <c r="D754" t="n">
        <v>1901440</v>
      </c>
      <c r="E754" t="inlineStr">
        <is>
          <t>SEC</t>
        </is>
      </c>
    </row>
    <row r="755">
      <c r="A755" s="5">
        <f>HYPERLINK("https://finance.yahoo.com/quote/OWL","OWL")</f>
        <v/>
      </c>
      <c r="B755" t="inlineStr">
        <is>
          <t>BLUE OWL CAPITAL INC.</t>
        </is>
      </c>
      <c r="C755" t="inlineStr">
        <is>
          <t>NYSE</t>
        </is>
      </c>
      <c r="D755" t="n">
        <v>1823945</v>
      </c>
      <c r="E755" t="inlineStr">
        <is>
          <t>SEC</t>
        </is>
      </c>
    </row>
    <row r="756">
      <c r="A756" s="5">
        <f>HYPERLINK("https://finance.yahoo.com/quote/OHI","OHI")</f>
        <v/>
      </c>
      <c r="B756" t="inlineStr">
        <is>
          <t>OMEGA HEALTHCARE INVESTORS INC</t>
        </is>
      </c>
      <c r="C756" t="inlineStr">
        <is>
          <t>NYSE</t>
        </is>
      </c>
      <c r="D756" t="n">
        <v>888491</v>
      </c>
      <c r="E756" t="inlineStr">
        <is>
          <t>SEC</t>
        </is>
      </c>
    </row>
    <row r="757">
      <c r="A757" s="5">
        <f>HYPERLINK("https://finance.yahoo.com/quote/RNR","RNR")</f>
        <v/>
      </c>
      <c r="B757" t="inlineStr">
        <is>
          <t>RENAISSANCERE HOLDINGS LTD</t>
        </is>
      </c>
      <c r="C757" t="inlineStr">
        <is>
          <t>NYSE</t>
        </is>
      </c>
      <c r="D757" t="n">
        <v>913144</v>
      </c>
      <c r="E757" t="inlineStr">
        <is>
          <t>SEC</t>
        </is>
      </c>
    </row>
    <row r="758">
      <c r="A758" s="5">
        <f>HYPERLINK("https://finance.yahoo.com/quote/CX","CX")</f>
        <v/>
      </c>
      <c r="B758" t="inlineStr">
        <is>
          <t>CEMEX SAB DE CV</t>
        </is>
      </c>
      <c r="C758" t="inlineStr">
        <is>
          <t>NYSE</t>
        </is>
      </c>
      <c r="D758" t="n">
        <v>1076378</v>
      </c>
      <c r="E758" t="inlineStr">
        <is>
          <t>SEC</t>
        </is>
      </c>
    </row>
    <row r="759">
      <c r="A759" s="5">
        <f>HYPERLINK("https://finance.yahoo.com/quote/IT","IT")</f>
        <v/>
      </c>
      <c r="B759" t="inlineStr">
        <is>
          <t>GARTNER INC</t>
        </is>
      </c>
      <c r="C759" t="inlineStr">
        <is>
          <t>NYSE</t>
        </is>
      </c>
      <c r="D759" t="n">
        <v>749251</v>
      </c>
      <c r="E759" t="inlineStr">
        <is>
          <t>SEC</t>
        </is>
      </c>
    </row>
    <row r="760">
      <c r="A760" s="5">
        <f>HYPERLINK("https://finance.yahoo.com/quote/HTHT","HTHT")</f>
        <v/>
      </c>
      <c r="B760" t="inlineStr">
        <is>
          <t>H World Group Ltd</t>
        </is>
      </c>
      <c r="C760" t="inlineStr">
        <is>
          <t>Nasdaq</t>
        </is>
      </c>
      <c r="D760" t="n">
        <v>1483994</v>
      </c>
      <c r="E760" t="inlineStr">
        <is>
          <t>SEC</t>
        </is>
      </c>
    </row>
    <row r="761">
      <c r="A761" s="5">
        <f>HYPERLINK("https://finance.yahoo.com/quote/SOLV","SOLV")</f>
        <v/>
      </c>
      <c r="B761" t="inlineStr">
        <is>
          <t>Solventum Corp</t>
        </is>
      </c>
      <c r="C761" t="inlineStr">
        <is>
          <t>NYSE</t>
        </is>
      </c>
      <c r="D761" t="n">
        <v>1964738</v>
      </c>
      <c r="E761" t="inlineStr">
        <is>
          <t>SEC</t>
        </is>
      </c>
    </row>
    <row r="762">
      <c r="A762" s="5">
        <f>HYPERLINK("https://finance.yahoo.com/quote/WPC","WPC")</f>
        <v/>
      </c>
      <c r="B762" t="inlineStr">
        <is>
          <t>W. P. Carey Inc.</t>
        </is>
      </c>
      <c r="C762" t="inlineStr">
        <is>
          <t>NYSE</t>
        </is>
      </c>
      <c r="D762" t="n">
        <v>1025378</v>
      </c>
      <c r="E762" t="inlineStr">
        <is>
          <t>SEC</t>
        </is>
      </c>
    </row>
    <row r="763">
      <c r="A763" s="5">
        <f>HYPERLINK("https://finance.yahoo.com/quote/NBIX","NBIX")</f>
        <v/>
      </c>
      <c r="B763" t="inlineStr">
        <is>
          <t>NEUROCRINE BIOSCIENCES INC</t>
        </is>
      </c>
      <c r="C763" t="inlineStr">
        <is>
          <t>Nasdaq</t>
        </is>
      </c>
      <c r="D763" t="n">
        <v>914475</v>
      </c>
      <c r="E763" t="inlineStr">
        <is>
          <t>SEC</t>
        </is>
      </c>
    </row>
    <row r="764">
      <c r="A764" s="5">
        <f>HYPERLINK("https://finance.yahoo.com/quote/GDDY","GDDY")</f>
        <v/>
      </c>
      <c r="B764" t="inlineStr">
        <is>
          <t>GoDaddy Inc.</t>
        </is>
      </c>
      <c r="C764" t="inlineStr">
        <is>
          <t>NYSE</t>
        </is>
      </c>
      <c r="D764" t="n">
        <v>1609711</v>
      </c>
      <c r="E764" t="inlineStr">
        <is>
          <t>SEC</t>
        </is>
      </c>
    </row>
    <row r="765">
      <c r="A765" s="5">
        <f>HYPERLINK("https://finance.yahoo.com/quote/EQH","EQH")</f>
        <v/>
      </c>
      <c r="B765" t="inlineStr">
        <is>
          <t>Equitable Holdings, Inc.</t>
        </is>
      </c>
      <c r="C765" t="inlineStr">
        <is>
          <t>NYSE</t>
        </is>
      </c>
      <c r="D765" t="n">
        <v>1333986</v>
      </c>
      <c r="E765" t="inlineStr">
        <is>
          <t>SEC</t>
        </is>
      </c>
    </row>
    <row r="766">
      <c r="A766" s="5">
        <f>HYPERLINK("https://finance.yahoo.com/quote/PHYS","PHYS")</f>
        <v/>
      </c>
      <c r="B766" t="inlineStr">
        <is>
          <t>Sprott Physical Gold Trust</t>
        </is>
      </c>
      <c r="C766" t="inlineStr">
        <is>
          <t>NYSE</t>
        </is>
      </c>
      <c r="D766" t="n">
        <v>1477049</v>
      </c>
      <c r="E766" t="inlineStr">
        <is>
          <t>SEC</t>
        </is>
      </c>
    </row>
    <row r="767">
      <c r="A767" s="5">
        <f>HYPERLINK("https://finance.yahoo.com/quote/UNM","UNM")</f>
        <v/>
      </c>
      <c r="B767" t="inlineStr">
        <is>
          <t>Unum Group</t>
        </is>
      </c>
      <c r="C767" t="inlineStr">
        <is>
          <t>NYSE</t>
        </is>
      </c>
      <c r="D767" t="n">
        <v>5513</v>
      </c>
      <c r="E767" t="inlineStr">
        <is>
          <t>SEC</t>
        </is>
      </c>
    </row>
    <row r="768">
      <c r="A768" s="5">
        <f>HYPERLINK("https://finance.yahoo.com/quote/CRS","CRS")</f>
        <v/>
      </c>
      <c r="B768" t="inlineStr">
        <is>
          <t>CARPENTER TECHNOLOGY CORP</t>
        </is>
      </c>
      <c r="C768" t="inlineStr">
        <is>
          <t>NYSE</t>
        </is>
      </c>
      <c r="D768" t="n">
        <v>17843</v>
      </c>
      <c r="E768" t="inlineStr">
        <is>
          <t>SEC</t>
        </is>
      </c>
    </row>
    <row r="769">
      <c r="A769" s="5">
        <f>HYPERLINK("https://finance.yahoo.com/quote/MAA","MAA")</f>
        <v/>
      </c>
      <c r="B769" t="inlineStr">
        <is>
          <t>MID AMERICA APARTMENT COMMUNITIES INC.</t>
        </is>
      </c>
      <c r="C769" t="inlineStr">
        <is>
          <t>NYSE</t>
        </is>
      </c>
      <c r="D769" t="n">
        <v>912595</v>
      </c>
      <c r="E769" t="inlineStr">
        <is>
          <t>SEC</t>
        </is>
      </c>
    </row>
    <row r="770">
      <c r="A770" s="5">
        <f>HYPERLINK("https://finance.yahoo.com/quote/HALO","HALO")</f>
        <v/>
      </c>
      <c r="B770" t="inlineStr">
        <is>
          <t>HALOZYME THERAPEUTICS, INC.</t>
        </is>
      </c>
      <c r="C770" t="inlineStr">
        <is>
          <t>Nasdaq</t>
        </is>
      </c>
      <c r="D770" t="n">
        <v>1159036</v>
      </c>
      <c r="E770" t="inlineStr">
        <is>
          <t>SEC</t>
        </is>
      </c>
    </row>
    <row r="771">
      <c r="A771" s="5">
        <f>HYPERLINK("https://finance.yahoo.com/quote/ICLR","ICLR")</f>
        <v/>
      </c>
      <c r="B771" t="inlineStr">
        <is>
          <t>ICON PLC</t>
        </is>
      </c>
      <c r="C771" t="inlineStr">
        <is>
          <t>Nasdaq</t>
        </is>
      </c>
      <c r="D771" t="n">
        <v>1060955</v>
      </c>
      <c r="E771" t="inlineStr">
        <is>
          <t>SEC</t>
        </is>
      </c>
    </row>
    <row r="772">
      <c r="A772" s="5">
        <f>HYPERLINK("https://finance.yahoo.com/quote/CHTR","CHTR")</f>
        <v/>
      </c>
      <c r="B772" t="inlineStr">
        <is>
          <t>CHARTER COMMUNICATIONS, INC. /MO/</t>
        </is>
      </c>
      <c r="C772" t="inlineStr">
        <is>
          <t>Nasdaq</t>
        </is>
      </c>
      <c r="D772" t="n">
        <v>1091667</v>
      </c>
      <c r="E772" t="inlineStr">
        <is>
          <t>SEC</t>
        </is>
      </c>
    </row>
    <row r="773">
      <c r="A773" s="5">
        <f>HYPERLINK("https://finance.yahoo.com/quote/CACI","CACI")</f>
        <v/>
      </c>
      <c r="B773" t="inlineStr">
        <is>
          <t>CACI INTERNATIONAL INC /DE/</t>
        </is>
      </c>
      <c r="C773" t="inlineStr">
        <is>
          <t>NYSE</t>
        </is>
      </c>
      <c r="D773" t="n">
        <v>16058</v>
      </c>
      <c r="E773" t="inlineStr">
        <is>
          <t>SEC</t>
        </is>
      </c>
    </row>
    <row r="774">
      <c r="A774" s="5">
        <f>HYPERLINK("https://finance.yahoo.com/quote/FUTU","FUTU")</f>
        <v/>
      </c>
      <c r="B774" t="inlineStr">
        <is>
          <t>Futu Holdings Ltd</t>
        </is>
      </c>
      <c r="C774" t="inlineStr">
        <is>
          <t>Nasdaq</t>
        </is>
      </c>
      <c r="D774" t="n">
        <v>1754581</v>
      </c>
      <c r="E774" t="inlineStr">
        <is>
          <t>SEC</t>
        </is>
      </c>
    </row>
    <row r="775">
      <c r="A775" s="5">
        <f>HYPERLINK("https://finance.yahoo.com/quote/LECO","LECO")</f>
        <v/>
      </c>
      <c r="B775" t="inlineStr">
        <is>
          <t>LINCOLN ELECTRIC HOLDINGS INC</t>
        </is>
      </c>
      <c r="C775" t="inlineStr">
        <is>
          <t>Nasdaq</t>
        </is>
      </c>
      <c r="D775" t="n">
        <v>59527</v>
      </c>
      <c r="E775" t="inlineStr">
        <is>
          <t>SEC</t>
        </is>
      </c>
    </row>
    <row r="776">
      <c r="A776" s="5">
        <f>HYPERLINK("https://finance.yahoo.com/quote/WY","WY")</f>
        <v/>
      </c>
      <c r="B776" t="inlineStr">
        <is>
          <t>WEYERHAEUSER CO</t>
        </is>
      </c>
      <c r="C776" t="inlineStr">
        <is>
          <t>NYSE</t>
        </is>
      </c>
      <c r="D776" t="n">
        <v>106535</v>
      </c>
      <c r="E776" t="inlineStr">
        <is>
          <t>SEC</t>
        </is>
      </c>
    </row>
    <row r="777">
      <c r="A777" s="5">
        <f>HYPERLINK("https://finance.yahoo.com/quote/AIZ","AIZ")</f>
        <v/>
      </c>
      <c r="B777" t="inlineStr">
        <is>
          <t>ASSURANT, INC.</t>
        </is>
      </c>
      <c r="C777" t="inlineStr">
        <is>
          <t>NYSE</t>
        </is>
      </c>
      <c r="D777" t="n">
        <v>1267238</v>
      </c>
      <c r="E777" t="inlineStr">
        <is>
          <t>SEC</t>
        </is>
      </c>
    </row>
    <row r="778">
      <c r="A778" s="5">
        <f>HYPERLINK("https://finance.yahoo.com/quote/DKS","DKS")</f>
        <v/>
      </c>
      <c r="B778" t="inlineStr">
        <is>
          <t>DICK'S SPORTING GOODS, INC.</t>
        </is>
      </c>
      <c r="C778" t="inlineStr">
        <is>
          <t>NYSE</t>
        </is>
      </c>
      <c r="D778" t="n">
        <v>1089063</v>
      </c>
      <c r="E778" t="inlineStr">
        <is>
          <t>SEC</t>
        </is>
      </c>
    </row>
    <row r="779">
      <c r="A779" s="5">
        <f>HYPERLINK("https://finance.yahoo.com/quote/CDE","CDE")</f>
        <v/>
      </c>
      <c r="B779" t="inlineStr">
        <is>
          <t>Coeur Mining, Inc.</t>
        </is>
      </c>
      <c r="C779" t="inlineStr">
        <is>
          <t>NYSE</t>
        </is>
      </c>
      <c r="D779" t="n">
        <v>215466</v>
      </c>
      <c r="E779" t="inlineStr">
        <is>
          <t>SEC</t>
        </is>
      </c>
    </row>
    <row r="780">
      <c r="A780" s="5">
        <f>HYPERLINK("https://finance.yahoo.com/quote/TME","TME")</f>
        <v/>
      </c>
      <c r="B780" t="inlineStr">
        <is>
          <t>Tencent Music Entertainment Group</t>
        </is>
      </c>
      <c r="C780" t="inlineStr">
        <is>
          <t>NYSE</t>
        </is>
      </c>
      <c r="D780" t="n">
        <v>1744676</v>
      </c>
      <c r="E780" t="inlineStr">
        <is>
          <t>SEC</t>
        </is>
      </c>
    </row>
    <row r="781">
      <c r="A781" s="5">
        <f>HYPERLINK("https://finance.yahoo.com/quote/CSGP","CSGP")</f>
        <v/>
      </c>
      <c r="B781" t="inlineStr">
        <is>
          <t>COSTAR GROUP, INC.</t>
        </is>
      </c>
      <c r="C781" t="inlineStr">
        <is>
          <t>Nasdaq</t>
        </is>
      </c>
      <c r="D781" t="n">
        <v>1057352</v>
      </c>
      <c r="E781" t="inlineStr">
        <is>
          <t>SEC</t>
        </is>
      </c>
    </row>
    <row r="782">
      <c r="A782" s="5">
        <f>HYPERLINK("https://finance.yahoo.com/quote/MANH","MANH")</f>
        <v/>
      </c>
      <c r="B782" t="inlineStr">
        <is>
          <t>MANHATTAN ASSOCIATES INC</t>
        </is>
      </c>
      <c r="C782" t="inlineStr">
        <is>
          <t>Nasdaq</t>
        </is>
      </c>
      <c r="D782" t="n">
        <v>1056696</v>
      </c>
      <c r="E782" t="inlineStr">
        <is>
          <t>SEC</t>
        </is>
      </c>
    </row>
    <row r="783">
      <c r="A783" s="5">
        <f>HYPERLINK("https://finance.yahoo.com/quote/PAG","PAG")</f>
        <v/>
      </c>
      <c r="B783" t="inlineStr">
        <is>
          <t>PENSKE AUTOMOTIVE GROUP, INC.</t>
        </is>
      </c>
      <c r="C783" t="inlineStr">
        <is>
          <t>NYSE</t>
        </is>
      </c>
      <c r="D783" t="n">
        <v>1019849</v>
      </c>
      <c r="E783" t="inlineStr">
        <is>
          <t>SEC</t>
        </is>
      </c>
    </row>
    <row r="784">
      <c r="A784" s="5">
        <f>HYPERLINK("https://finance.yahoo.com/quote/TU","TU")</f>
        <v/>
      </c>
      <c r="B784" t="inlineStr">
        <is>
          <t>TELUS CORP</t>
        </is>
      </c>
      <c r="C784" t="inlineStr">
        <is>
          <t>NYSE</t>
        </is>
      </c>
      <c r="D784" t="n">
        <v>868675</v>
      </c>
      <c r="E784" t="inlineStr">
        <is>
          <t>SEC</t>
        </is>
      </c>
    </row>
    <row r="785">
      <c r="A785" s="5">
        <f>HYPERLINK("https://finance.yahoo.com/quote/DIDIY","DIDIY")</f>
        <v/>
      </c>
      <c r="B785" t="inlineStr">
        <is>
          <t>DiDi Global Inc.</t>
        </is>
      </c>
      <c r="C785" t="inlineStr">
        <is>
          <t>OTC</t>
        </is>
      </c>
      <c r="D785" t="n">
        <v>1764757</v>
      </c>
      <c r="E785" t="inlineStr">
        <is>
          <t>SEC</t>
        </is>
      </c>
    </row>
    <row r="786">
      <c r="A786" s="5">
        <f>HYPERLINK("https://finance.yahoo.com/quote/BEP","BEP")</f>
        <v/>
      </c>
      <c r="B786" t="inlineStr">
        <is>
          <t>Brookfield Renewable Partners L.P.</t>
        </is>
      </c>
      <c r="C786" t="inlineStr">
        <is>
          <t>NYSE</t>
        </is>
      </c>
      <c r="D786" t="n">
        <v>1533232</v>
      </c>
      <c r="E786" t="inlineStr">
        <is>
          <t>SEC</t>
        </is>
      </c>
    </row>
    <row r="787">
      <c r="A787" s="5">
        <f>HYPERLINK("https://finance.yahoo.com/quote/SITM","SITM")</f>
        <v/>
      </c>
      <c r="B787" t="inlineStr">
        <is>
          <t>SITIME Corp</t>
        </is>
      </c>
      <c r="C787" t="inlineStr">
        <is>
          <t>Nasdaq</t>
        </is>
      </c>
      <c r="D787" t="n">
        <v>1451809</v>
      </c>
      <c r="E787" t="inlineStr">
        <is>
          <t>SEC</t>
        </is>
      </c>
    </row>
    <row r="788">
      <c r="A788" s="5">
        <f>HYPERLINK("https://finance.yahoo.com/quote/SJM","SJM")</f>
        <v/>
      </c>
      <c r="B788" t="inlineStr">
        <is>
          <t>J M SMUCKER Co</t>
        </is>
      </c>
      <c r="C788" t="inlineStr">
        <is>
          <t>NYSE</t>
        </is>
      </c>
      <c r="D788" t="n">
        <v>91419</v>
      </c>
      <c r="E788" t="inlineStr">
        <is>
          <t>SEC</t>
        </is>
      </c>
    </row>
    <row r="789">
      <c r="A789" s="5">
        <f>HYPERLINK("https://finance.yahoo.com/quote/SUN","SUN")</f>
        <v/>
      </c>
      <c r="B789" t="inlineStr">
        <is>
          <t>Sunoco LP</t>
        </is>
      </c>
      <c r="C789" t="inlineStr">
        <is>
          <t>TXSE</t>
        </is>
      </c>
      <c r="D789" t="n">
        <v>1552275</v>
      </c>
      <c r="E789" t="inlineStr">
        <is>
          <t>SEC</t>
        </is>
      </c>
    </row>
    <row r="790">
      <c r="A790" s="5">
        <f>HYPERLINK("https://finance.yahoo.com/quote/JAZZ","JAZZ")</f>
        <v/>
      </c>
      <c r="B790" t="inlineStr">
        <is>
          <t>Jazz Pharmaceuticals plc</t>
        </is>
      </c>
      <c r="C790" t="inlineStr">
        <is>
          <t>Nasdaq</t>
        </is>
      </c>
      <c r="D790" t="n">
        <v>1232524</v>
      </c>
      <c r="E790" t="inlineStr">
        <is>
          <t>SEC</t>
        </is>
      </c>
    </row>
    <row r="791">
      <c r="A791" s="5">
        <f>HYPERLINK("https://finance.yahoo.com/quote/ARMK","ARMK")</f>
        <v/>
      </c>
      <c r="B791" t="inlineStr">
        <is>
          <t>Aramark</t>
        </is>
      </c>
      <c r="C791" t="inlineStr">
        <is>
          <t>NYSE</t>
        </is>
      </c>
      <c r="D791" t="n">
        <v>1584509</v>
      </c>
      <c r="E791" t="inlineStr">
        <is>
          <t>SEC</t>
        </is>
      </c>
    </row>
    <row r="792">
      <c r="A792" s="5">
        <f>HYPERLINK("https://finance.yahoo.com/quote/FLUT","FLUT")</f>
        <v/>
      </c>
      <c r="B792" t="inlineStr">
        <is>
          <t>Flutter Entertainment plc</t>
        </is>
      </c>
      <c r="C792" t="inlineStr">
        <is>
          <t>NYSE</t>
        </is>
      </c>
      <c r="D792" t="n">
        <v>1635327</v>
      </c>
      <c r="E792" t="inlineStr">
        <is>
          <t>SEC</t>
        </is>
      </c>
    </row>
    <row r="793">
      <c r="A793" s="5">
        <f>HYPERLINK("https://finance.yahoo.com/quote/JLL","JLL")</f>
        <v/>
      </c>
      <c r="B793" t="inlineStr">
        <is>
          <t>JONES LANG LASALLE INC</t>
        </is>
      </c>
      <c r="C793" t="inlineStr">
        <is>
          <t>NYSE</t>
        </is>
      </c>
      <c r="D793" t="n">
        <v>1037976</v>
      </c>
      <c r="E793" t="inlineStr">
        <is>
          <t>SEC</t>
        </is>
      </c>
    </row>
    <row r="794">
      <c r="A794" s="5">
        <f>HYPERLINK("https://finance.yahoo.com/quote/AVY","AVY")</f>
        <v/>
      </c>
      <c r="B794" t="inlineStr">
        <is>
          <t>Avery Dennison Corp</t>
        </is>
      </c>
      <c r="C794" t="inlineStr">
        <is>
          <t>NYSE</t>
        </is>
      </c>
      <c r="D794" t="n">
        <v>8818</v>
      </c>
      <c r="E794" t="inlineStr">
        <is>
          <t>SEC</t>
        </is>
      </c>
    </row>
    <row r="795">
      <c r="A795" s="5">
        <f>HYPERLINK("https://finance.yahoo.com/quote/REG","REG")</f>
        <v/>
      </c>
      <c r="B795" t="inlineStr">
        <is>
          <t>REGENCY CENTERS CORP</t>
        </is>
      </c>
      <c r="C795" t="inlineStr">
        <is>
          <t>Nasdaq</t>
        </is>
      </c>
      <c r="D795" t="n">
        <v>910606</v>
      </c>
      <c r="E795" t="inlineStr">
        <is>
          <t>SEC</t>
        </is>
      </c>
    </row>
    <row r="796">
      <c r="A796" s="5">
        <f>HYPERLINK("https://finance.yahoo.com/quote/HUBS","HUBS")</f>
        <v/>
      </c>
      <c r="B796" t="inlineStr">
        <is>
          <t>HUBSPOT INC</t>
        </is>
      </c>
      <c r="C796" t="inlineStr">
        <is>
          <t>NYSE</t>
        </is>
      </c>
      <c r="D796" t="n">
        <v>1404655</v>
      </c>
      <c r="E796" t="inlineStr">
        <is>
          <t>SEC</t>
        </is>
      </c>
    </row>
    <row r="797">
      <c r="A797" s="5">
        <f>HYPERLINK("https://finance.yahoo.com/quote/LSCC","LSCC")</f>
        <v/>
      </c>
      <c r="B797" t="inlineStr">
        <is>
          <t>LATTICE SEMICONDUCTOR CORP</t>
        </is>
      </c>
      <c r="C797" t="inlineStr">
        <is>
          <t>Nasdaq</t>
        </is>
      </c>
      <c r="D797" t="n">
        <v>855658</v>
      </c>
      <c r="E797" t="inlineStr">
        <is>
          <t>SEC</t>
        </is>
      </c>
    </row>
    <row r="798">
      <c r="A798" s="5">
        <f>HYPERLINK("https://finance.yahoo.com/quote/CSL","CSL")</f>
        <v/>
      </c>
      <c r="B798" t="inlineStr">
        <is>
          <t>CARLISLE COMPANIES INC</t>
        </is>
      </c>
      <c r="C798" t="inlineStr">
        <is>
          <t>NYSE</t>
        </is>
      </c>
      <c r="D798" t="n">
        <v>790051</v>
      </c>
      <c r="E798" t="inlineStr">
        <is>
          <t>SEC</t>
        </is>
      </c>
    </row>
    <row r="799">
      <c r="A799" s="5">
        <f>HYPERLINK("https://finance.yahoo.com/quote/CG","CG")</f>
        <v/>
      </c>
      <c r="B799" t="inlineStr">
        <is>
          <t>Carlyle Group Inc.</t>
        </is>
      </c>
      <c r="C799" t="inlineStr">
        <is>
          <t>Nasdaq</t>
        </is>
      </c>
      <c r="D799" t="n">
        <v>1527166</v>
      </c>
      <c r="E799" t="inlineStr">
        <is>
          <t>SEC</t>
        </is>
      </c>
    </row>
    <row r="800">
      <c r="A800" s="5">
        <f>HYPERLINK("https://finance.yahoo.com/quote/NLY","NLY")</f>
        <v/>
      </c>
      <c r="B800" t="inlineStr">
        <is>
          <t>ANNALY CAPITAL MANAGEMENT INC</t>
        </is>
      </c>
      <c r="C800" t="inlineStr">
        <is>
          <t>NYSE</t>
        </is>
      </c>
      <c r="D800" t="n">
        <v>1043219</v>
      </c>
      <c r="E800" t="inlineStr">
        <is>
          <t>SEC</t>
        </is>
      </c>
    </row>
    <row r="801">
      <c r="A801" s="5">
        <f>HYPERLINK("https://finance.yahoo.com/quote/MTZ","MTZ")</f>
        <v/>
      </c>
      <c r="B801" t="inlineStr">
        <is>
          <t>MASTEC INC</t>
        </is>
      </c>
      <c r="C801" t="inlineStr">
        <is>
          <t>NYSE</t>
        </is>
      </c>
      <c r="D801" t="n">
        <v>15615</v>
      </c>
      <c r="E801" t="inlineStr">
        <is>
          <t>SEC</t>
        </is>
      </c>
    </row>
    <row r="802">
      <c r="A802" s="5">
        <f>HYPERLINK("https://finance.yahoo.com/quote/DOC","DOC")</f>
        <v/>
      </c>
      <c r="B802" t="inlineStr">
        <is>
          <t>HEALTHPEAK PROPERTIES, INC.</t>
        </is>
      </c>
      <c r="C802" t="inlineStr">
        <is>
          <t>NYSE</t>
        </is>
      </c>
      <c r="D802" t="n">
        <v>765880</v>
      </c>
      <c r="E802" t="inlineStr">
        <is>
          <t>SEC</t>
        </is>
      </c>
    </row>
    <row r="803">
      <c r="A803" s="5">
        <f>HYPERLINK("https://finance.yahoo.com/quote/KEP","KEP")</f>
        <v/>
      </c>
      <c r="B803" t="inlineStr">
        <is>
          <t>KOREA ELECTRIC POWER CORP</t>
        </is>
      </c>
      <c r="C803" t="inlineStr">
        <is>
          <t>NYSE</t>
        </is>
      </c>
      <c r="D803" t="n">
        <v>887225</v>
      </c>
      <c r="E803" t="inlineStr">
        <is>
          <t>SEC</t>
        </is>
      </c>
    </row>
    <row r="804">
      <c r="A804" s="5">
        <f>HYPERLINK("https://finance.yahoo.com/quote/BMNR","BMNR")</f>
        <v/>
      </c>
      <c r="B804" t="inlineStr">
        <is>
          <t>BITMINE IMMERSION TECHNOLOGIES, INC.</t>
        </is>
      </c>
      <c r="C804" t="inlineStr">
        <is>
          <t>NYSE</t>
        </is>
      </c>
      <c r="D804" t="n">
        <v>1829311</v>
      </c>
      <c r="E804" t="inlineStr">
        <is>
          <t>SEC</t>
        </is>
      </c>
    </row>
    <row r="805">
      <c r="A805" s="5">
        <f>HYPERLINK("https://finance.yahoo.com/quote/COKE","COKE")</f>
        <v/>
      </c>
      <c r="B805" t="inlineStr">
        <is>
          <t>Coca-Cola Consolidated, Inc.</t>
        </is>
      </c>
      <c r="C805" t="inlineStr">
        <is>
          <t>Nasdaq</t>
        </is>
      </c>
      <c r="D805" t="n">
        <v>317540</v>
      </c>
      <c r="E805" t="inlineStr">
        <is>
          <t>SEC</t>
        </is>
      </c>
    </row>
    <row r="806">
      <c r="A806" s="5">
        <f>HYPERLINK("https://finance.yahoo.com/quote/BF-B","BF-B")</f>
        <v/>
      </c>
      <c r="B806" t="inlineStr">
        <is>
          <t>BROWN FORMAN CORP</t>
        </is>
      </c>
      <c r="C806" t="inlineStr">
        <is>
          <t>NYSE</t>
        </is>
      </c>
      <c r="D806" t="n">
        <v>14693</v>
      </c>
      <c r="E806" t="inlineStr">
        <is>
          <t>SEC</t>
        </is>
      </c>
    </row>
    <row r="807">
      <c r="A807" s="5">
        <f>HYPERLINK("https://finance.yahoo.com/quote/AKAM","AKAM")</f>
        <v/>
      </c>
      <c r="B807" t="inlineStr">
        <is>
          <t>AKAMAI TECHNOLOGIES INC</t>
        </is>
      </c>
      <c r="C807" t="inlineStr">
        <is>
          <t>Nasdaq</t>
        </is>
      </c>
      <c r="D807" t="n">
        <v>1086222</v>
      </c>
      <c r="E807" t="inlineStr">
        <is>
          <t>SEC</t>
        </is>
      </c>
    </row>
    <row r="808">
      <c r="A808" s="5">
        <f>HYPERLINK("https://finance.yahoo.com/quote/MKSI","MKSI")</f>
        <v/>
      </c>
      <c r="B808" t="inlineStr">
        <is>
          <t>MKS INC</t>
        </is>
      </c>
      <c r="C808" t="inlineStr">
        <is>
          <t>Nasdaq</t>
        </is>
      </c>
      <c r="D808" t="n">
        <v>1049502</v>
      </c>
      <c r="E808" t="inlineStr">
        <is>
          <t>SEC</t>
        </is>
      </c>
    </row>
    <row r="809">
      <c r="A809" s="5">
        <f>HYPERLINK("https://finance.yahoo.com/quote/ARCC","ARCC")</f>
        <v/>
      </c>
      <c r="B809" t="inlineStr">
        <is>
          <t>ARES CAPITAL CORP</t>
        </is>
      </c>
      <c r="C809" t="inlineStr">
        <is>
          <t>Nasdaq</t>
        </is>
      </c>
      <c r="D809" t="n">
        <v>1287750</v>
      </c>
      <c r="E809" t="inlineStr">
        <is>
          <t>SEC</t>
        </is>
      </c>
    </row>
    <row r="810">
      <c r="A810" s="5">
        <f>HYPERLINK("https://finance.yahoo.com/quote/BJ","BJ")</f>
        <v/>
      </c>
      <c r="B810" t="inlineStr">
        <is>
          <t>BJ's Wholesale Club Holdings, Inc.</t>
        </is>
      </c>
      <c r="C810" t="inlineStr">
        <is>
          <t>NYSE</t>
        </is>
      </c>
      <c r="D810" t="n">
        <v>1531152</v>
      </c>
      <c r="E810" t="inlineStr">
        <is>
          <t>SEC</t>
        </is>
      </c>
    </row>
    <row r="811">
      <c r="A811" s="5">
        <f>HYPERLINK("https://finance.yahoo.com/quote/BBIO","BBIO")</f>
        <v/>
      </c>
      <c r="B811" t="inlineStr">
        <is>
          <t>BridgeBio Pharma, Inc.</t>
        </is>
      </c>
      <c r="C811" t="inlineStr">
        <is>
          <t>Nasdaq</t>
        </is>
      </c>
      <c r="D811" t="n">
        <v>1743881</v>
      </c>
      <c r="E811" t="inlineStr">
        <is>
          <t>SEC</t>
        </is>
      </c>
    </row>
    <row r="812">
      <c r="A812" s="5">
        <f>HYPERLINK("https://finance.yahoo.com/quote/WSO","WSO")</f>
        <v/>
      </c>
      <c r="B812" t="inlineStr">
        <is>
          <t>WATSCO INC</t>
        </is>
      </c>
      <c r="C812" t="inlineStr">
        <is>
          <t>NYSE</t>
        </is>
      </c>
      <c r="D812" t="n">
        <v>105016</v>
      </c>
      <c r="E812" t="inlineStr">
        <is>
          <t>SEC</t>
        </is>
      </c>
    </row>
    <row r="813">
      <c r="A813" s="5">
        <f>HYPERLINK("https://finance.yahoo.com/quote/PAC","PAC")</f>
        <v/>
      </c>
      <c r="B813" t="inlineStr">
        <is>
          <t>Pacific Airport Group</t>
        </is>
      </c>
      <c r="C813" t="inlineStr">
        <is>
          <t>NYSE</t>
        </is>
      </c>
      <c r="D813" t="n">
        <v>1347557</v>
      </c>
      <c r="E813" t="inlineStr">
        <is>
          <t>SEC</t>
        </is>
      </c>
    </row>
    <row r="814">
      <c r="A814" s="5">
        <f>HYPERLINK("https://finance.yahoo.com/quote/TXT","TXT")</f>
        <v/>
      </c>
      <c r="B814" t="inlineStr">
        <is>
          <t>TEXTRON INC</t>
        </is>
      </c>
      <c r="C814" t="inlineStr">
        <is>
          <t>NYSE</t>
        </is>
      </c>
      <c r="D814" t="n">
        <v>217346</v>
      </c>
      <c r="E814" t="inlineStr">
        <is>
          <t>SEC</t>
        </is>
      </c>
    </row>
    <row r="815">
      <c r="A815" s="5">
        <f>HYPERLINK("https://finance.yahoo.com/quote/FIG","FIG")</f>
        <v/>
      </c>
      <c r="B815" t="inlineStr">
        <is>
          <t>Figma, Inc.</t>
        </is>
      </c>
      <c r="C815" t="inlineStr">
        <is>
          <t>NYSE</t>
        </is>
      </c>
      <c r="D815" t="n">
        <v>1579878</v>
      </c>
      <c r="E815" t="inlineStr">
        <is>
          <t>SEC</t>
        </is>
      </c>
    </row>
    <row r="816">
      <c r="A816" s="5">
        <f>HYPERLINK("https://finance.yahoo.com/quote/UDR","UDR")</f>
        <v/>
      </c>
      <c r="B816" t="inlineStr">
        <is>
          <t>UDR, Inc.</t>
        </is>
      </c>
      <c r="C816" t="inlineStr">
        <is>
          <t>NYSE</t>
        </is>
      </c>
      <c r="D816" t="n">
        <v>74208</v>
      </c>
      <c r="E816" t="inlineStr">
        <is>
          <t>SEC</t>
        </is>
      </c>
    </row>
    <row r="817">
      <c r="A817" s="5">
        <f>HYPERLINK("https://finance.yahoo.com/quote/ERIE","ERIE")</f>
        <v/>
      </c>
      <c r="B817" t="inlineStr">
        <is>
          <t>ERIE INDEMNITY CO</t>
        </is>
      </c>
      <c r="C817" t="inlineStr">
        <is>
          <t>Nasdaq</t>
        </is>
      </c>
      <c r="D817" t="n">
        <v>922621</v>
      </c>
      <c r="E817" t="inlineStr">
        <is>
          <t>SEC</t>
        </is>
      </c>
    </row>
    <row r="818">
      <c r="A818" s="5">
        <f>HYPERLINK("https://finance.yahoo.com/quote/CNA","CNA")</f>
        <v/>
      </c>
      <c r="B818" t="inlineStr">
        <is>
          <t>CNA FINANCIAL CORP</t>
        </is>
      </c>
      <c r="C818" t="inlineStr">
        <is>
          <t>NYSE</t>
        </is>
      </c>
      <c r="D818" t="n">
        <v>21175</v>
      </c>
      <c r="E818" t="inlineStr">
        <is>
          <t>SEC</t>
        </is>
      </c>
    </row>
    <row r="819">
      <c r="A819" s="5">
        <f>HYPERLINK("https://finance.yahoo.com/quote/BAX","BAX")</f>
        <v/>
      </c>
      <c r="B819" t="inlineStr">
        <is>
          <t>BAXTER INTERNATIONAL INC</t>
        </is>
      </c>
      <c r="C819" t="inlineStr">
        <is>
          <t>NYSE</t>
        </is>
      </c>
      <c r="D819" t="n">
        <v>10456</v>
      </c>
      <c r="E819" t="inlineStr">
        <is>
          <t>SEC</t>
        </is>
      </c>
    </row>
    <row r="820">
      <c r="A820" s="5">
        <f>HYPERLINK("https://finance.yahoo.com/quote/TIGO","TIGO")</f>
        <v/>
      </c>
      <c r="B820" t="inlineStr">
        <is>
          <t>MILLICOM INTERNATIONAL CELLULAR SA</t>
        </is>
      </c>
      <c r="C820" t="inlineStr">
        <is>
          <t>Nasdaq</t>
        </is>
      </c>
      <c r="D820" t="n">
        <v>912958</v>
      </c>
      <c r="E820" t="inlineStr">
        <is>
          <t>SEC</t>
        </is>
      </c>
    </row>
    <row r="821">
      <c r="A821" s="5">
        <f>HYPERLINK("https://finance.yahoo.com/quote/LII","LII")</f>
        <v/>
      </c>
      <c r="B821" t="inlineStr">
        <is>
          <t>LENNOX INTERNATIONAL INC</t>
        </is>
      </c>
      <c r="C821" t="inlineStr">
        <is>
          <t>NYSE</t>
        </is>
      </c>
      <c r="D821" t="n">
        <v>1069202</v>
      </c>
      <c r="E821" t="inlineStr">
        <is>
          <t>SEC</t>
        </is>
      </c>
    </row>
    <row r="822">
      <c r="A822" s="5">
        <f>HYPERLINK("https://finance.yahoo.com/quote/AMH","AMH")</f>
        <v/>
      </c>
      <c r="B822" t="inlineStr">
        <is>
          <t>American Homes 4 Rent</t>
        </is>
      </c>
      <c r="C822" t="inlineStr">
        <is>
          <t>NYSE</t>
        </is>
      </c>
      <c r="D822" t="n">
        <v>1562401</v>
      </c>
      <c r="E822" t="inlineStr">
        <is>
          <t>SEC</t>
        </is>
      </c>
    </row>
    <row r="823">
      <c r="A823" s="5">
        <f>HYPERLINK("https://finance.yahoo.com/quote/JBS","JBS")</f>
        <v/>
      </c>
      <c r="B823" t="inlineStr">
        <is>
          <t>JBS N.V.</t>
        </is>
      </c>
      <c r="C823" t="inlineStr">
        <is>
          <t>NYSE</t>
        </is>
      </c>
      <c r="D823" t="n">
        <v>1791942</v>
      </c>
      <c r="E823" t="inlineStr">
        <is>
          <t>SEC</t>
        </is>
      </c>
    </row>
    <row r="824">
      <c r="A824" s="5">
        <f>HYPERLINK("https://finance.yahoo.com/quote/BAWAY","BAWAY")</f>
        <v/>
      </c>
      <c r="B824" t="inlineStr">
        <is>
          <t>BAWAG Group AG/ADR</t>
        </is>
      </c>
      <c r="C824" t="inlineStr">
        <is>
          <t>OTC</t>
        </is>
      </c>
      <c r="D824" t="n">
        <v>1968385</v>
      </c>
      <c r="E824" t="inlineStr">
        <is>
          <t>SEC</t>
        </is>
      </c>
    </row>
    <row r="825">
      <c r="A825" s="5">
        <f>HYPERLINK("https://finance.yahoo.com/quote/SNN","SNN")</f>
        <v/>
      </c>
      <c r="B825" t="inlineStr">
        <is>
          <t>SMITH &amp; NEPHEW PLC</t>
        </is>
      </c>
      <c r="C825" t="inlineStr">
        <is>
          <t>NYSE</t>
        </is>
      </c>
      <c r="D825" t="n">
        <v>845982</v>
      </c>
      <c r="E825" t="inlineStr">
        <is>
          <t>SEC</t>
        </is>
      </c>
    </row>
    <row r="826">
      <c r="A826" s="5">
        <f>HYPERLINK("https://finance.yahoo.com/quote/TOL","TOL")</f>
        <v/>
      </c>
      <c r="B826" t="inlineStr">
        <is>
          <t>Toll Brothers, Inc.</t>
        </is>
      </c>
      <c r="C826" t="inlineStr">
        <is>
          <t>NYSE</t>
        </is>
      </c>
      <c r="D826" t="n">
        <v>794170</v>
      </c>
      <c r="E826" t="inlineStr">
        <is>
          <t>SEC</t>
        </is>
      </c>
    </row>
    <row r="827">
      <c r="A827" s="5">
        <f>HYPERLINK("https://finance.yahoo.com/quote/PNW","PNW")</f>
        <v/>
      </c>
      <c r="B827" t="inlineStr">
        <is>
          <t>PINNACLE WEST CAPITAL CORP</t>
        </is>
      </c>
      <c r="C827" t="inlineStr">
        <is>
          <t>NYSE</t>
        </is>
      </c>
      <c r="D827" t="n">
        <v>764622</v>
      </c>
      <c r="E827" t="inlineStr">
        <is>
          <t>SEC</t>
        </is>
      </c>
    </row>
    <row r="828">
      <c r="A828" s="5">
        <f>HYPERLINK("https://finance.yahoo.com/quote/CCK","CCK")</f>
        <v/>
      </c>
      <c r="B828" t="inlineStr">
        <is>
          <t>CROWN HOLDINGS, INC.</t>
        </is>
      </c>
      <c r="C828" t="inlineStr">
        <is>
          <t>NYSE</t>
        </is>
      </c>
      <c r="D828" t="n">
        <v>1219601</v>
      </c>
      <c r="E828" t="inlineStr">
        <is>
          <t>SEC</t>
        </is>
      </c>
    </row>
    <row r="829">
      <c r="A829" s="5">
        <f>HYPERLINK("https://finance.yahoo.com/quote/MKC","MKC")</f>
        <v/>
      </c>
      <c r="B829" t="inlineStr">
        <is>
          <t>MCCORMICK &amp; CO INC</t>
        </is>
      </c>
      <c r="C829" t="inlineStr">
        <is>
          <t>NYSE</t>
        </is>
      </c>
      <c r="D829" t="n">
        <v>63754</v>
      </c>
      <c r="E829" t="inlineStr">
        <is>
          <t>SEC</t>
        </is>
      </c>
    </row>
    <row r="830">
      <c r="A830" s="5">
        <f>HYPERLINK("https://finance.yahoo.com/quote/PEN","PEN")</f>
        <v/>
      </c>
      <c r="B830" t="inlineStr">
        <is>
          <t>Penumbra Inc</t>
        </is>
      </c>
      <c r="C830" t="inlineStr">
        <is>
          <t>NYSE</t>
        </is>
      </c>
      <c r="D830" t="n">
        <v>1321732</v>
      </c>
      <c r="E830" t="inlineStr">
        <is>
          <t>SEC</t>
        </is>
      </c>
    </row>
    <row r="831">
      <c r="A831" s="5">
        <f>HYPERLINK("https://finance.yahoo.com/quote/IONQ","IONQ")</f>
        <v/>
      </c>
      <c r="B831" t="inlineStr">
        <is>
          <t>IonQ, Inc.</t>
        </is>
      </c>
      <c r="C831" t="inlineStr">
        <is>
          <t>NYSE</t>
        </is>
      </c>
      <c r="D831" t="n">
        <v>1824920</v>
      </c>
      <c r="E831" t="inlineStr">
        <is>
          <t>SEC</t>
        </is>
      </c>
    </row>
    <row r="832">
      <c r="A832" s="5">
        <f>HYPERLINK("https://finance.yahoo.com/quote/DTM","DTM")</f>
        <v/>
      </c>
      <c r="B832" t="inlineStr">
        <is>
          <t>DT Midstream, Inc.</t>
        </is>
      </c>
      <c r="C832" t="inlineStr">
        <is>
          <t>NYSE</t>
        </is>
      </c>
      <c r="D832" t="n">
        <v>1842022</v>
      </c>
      <c r="E832" t="inlineStr">
        <is>
          <t>SEC</t>
        </is>
      </c>
    </row>
    <row r="833">
      <c r="A833" s="5">
        <f>HYPERLINK("https://finance.yahoo.com/quote/PINS","PINS")</f>
        <v/>
      </c>
      <c r="B833" t="inlineStr">
        <is>
          <t>PINTEREST, INC.</t>
        </is>
      </c>
      <c r="C833" t="inlineStr">
        <is>
          <t>NYSE</t>
        </is>
      </c>
      <c r="D833" t="n">
        <v>1506293</v>
      </c>
      <c r="E833" t="inlineStr">
        <is>
          <t>SEC</t>
        </is>
      </c>
    </row>
    <row r="834">
      <c r="A834" s="5">
        <f>HYPERLINK("https://finance.yahoo.com/quote/GME","GME")</f>
        <v/>
      </c>
      <c r="B834" t="inlineStr">
        <is>
          <t>GameStop Corp.</t>
        </is>
      </c>
      <c r="C834" t="inlineStr">
        <is>
          <t>NYSE</t>
        </is>
      </c>
      <c r="D834" t="n">
        <v>1326380</v>
      </c>
      <c r="E834" t="inlineStr">
        <is>
          <t>SEC</t>
        </is>
      </c>
    </row>
    <row r="835">
      <c r="A835" s="5">
        <f>HYPERLINK("https://finance.yahoo.com/quote/EMBJ","EMBJ")</f>
        <v/>
      </c>
      <c r="B835" t="inlineStr">
        <is>
          <t>EMBRAER S.A.</t>
        </is>
      </c>
      <c r="C835" t="inlineStr">
        <is>
          <t>NYSE</t>
        </is>
      </c>
      <c r="D835" t="n">
        <v>1355444</v>
      </c>
      <c r="E835" t="inlineStr">
        <is>
          <t>SEC</t>
        </is>
      </c>
    </row>
    <row r="836">
      <c r="A836" s="5">
        <f>HYPERLINK("https://finance.yahoo.com/quote/RPM","RPM")</f>
        <v/>
      </c>
      <c r="B836" t="inlineStr">
        <is>
          <t>RPM INTERNATIONAL INC/DE/</t>
        </is>
      </c>
      <c r="C836" t="inlineStr">
        <is>
          <t>NYSE</t>
        </is>
      </c>
      <c r="D836" t="n">
        <v>110621</v>
      </c>
      <c r="E836" t="inlineStr">
        <is>
          <t>SEC</t>
        </is>
      </c>
    </row>
    <row r="837">
      <c r="A837" s="5">
        <f>HYPERLINK("https://finance.yahoo.com/quote/AGI","AGI")</f>
        <v/>
      </c>
      <c r="B837" t="inlineStr">
        <is>
          <t>ALAMOS GOLD INC</t>
        </is>
      </c>
      <c r="C837" t="inlineStr">
        <is>
          <t>NYSE</t>
        </is>
      </c>
      <c r="D837" t="n">
        <v>1178819</v>
      </c>
      <c r="E837" t="inlineStr">
        <is>
          <t>SEC</t>
        </is>
      </c>
    </row>
    <row r="838">
      <c r="A838" s="5">
        <f>HYPERLINK("https://finance.yahoo.com/quote/AFG","AFG")</f>
        <v/>
      </c>
      <c r="B838" t="inlineStr">
        <is>
          <t>AMERICAN FINANCIAL GROUP INC</t>
        </is>
      </c>
      <c r="C838" t="inlineStr">
        <is>
          <t>NYSE</t>
        </is>
      </c>
      <c r="D838" t="n">
        <v>1042046</v>
      </c>
      <c r="E838" t="inlineStr">
        <is>
          <t>SEC</t>
        </is>
      </c>
    </row>
    <row r="839">
      <c r="A839" s="5">
        <f>HYPERLINK("https://finance.yahoo.com/quote/IVZ","IVZ")</f>
        <v/>
      </c>
      <c r="B839" t="inlineStr">
        <is>
          <t>Invesco Ltd.</t>
        </is>
      </c>
      <c r="C839" t="inlineStr">
        <is>
          <t>NYSE</t>
        </is>
      </c>
      <c r="D839" t="n">
        <v>914208</v>
      </c>
      <c r="E839" t="inlineStr">
        <is>
          <t>SEC</t>
        </is>
      </c>
    </row>
    <row r="840">
      <c r="A840" s="5">
        <f>HYPERLINK("https://finance.yahoo.com/quote/SMTC","SMTC")</f>
        <v/>
      </c>
      <c r="B840" t="inlineStr">
        <is>
          <t>SEMTECH CORP</t>
        </is>
      </c>
      <c r="C840" t="inlineStr">
        <is>
          <t>Nasdaq</t>
        </is>
      </c>
      <c r="D840" t="n">
        <v>88941</v>
      </c>
      <c r="E840" t="inlineStr">
        <is>
          <t>SEC</t>
        </is>
      </c>
    </row>
    <row r="841">
      <c r="A841" s="5">
        <f>HYPERLINK("https://finance.yahoo.com/quote/SAIL","SAIL")</f>
        <v/>
      </c>
      <c r="B841" t="inlineStr">
        <is>
          <t>SailPoint, Inc.</t>
        </is>
      </c>
      <c r="C841" t="inlineStr">
        <is>
          <t>Nasdaq</t>
        </is>
      </c>
      <c r="D841" t="n">
        <v>2030781</v>
      </c>
      <c r="E841" t="inlineStr">
        <is>
          <t>SEC</t>
        </is>
      </c>
    </row>
    <row r="842">
      <c r="A842" s="5">
        <f>HYPERLINK("https://finance.yahoo.com/quote/PAYC","PAYC")</f>
        <v/>
      </c>
      <c r="B842" t="inlineStr">
        <is>
          <t>Paycom Software, Inc.</t>
        </is>
      </c>
      <c r="C842" t="inlineStr">
        <is>
          <t>NYSE</t>
        </is>
      </c>
      <c r="D842" t="n">
        <v>1590955</v>
      </c>
      <c r="E842" t="inlineStr">
        <is>
          <t>SEC</t>
        </is>
      </c>
    </row>
    <row r="843">
      <c r="A843" s="5">
        <f>HYPERLINK("https://finance.yahoo.com/quote/SMMT","SMMT")</f>
        <v/>
      </c>
      <c r="B843" t="inlineStr">
        <is>
          <t>Summit Therapeutics Inc.</t>
        </is>
      </c>
      <c r="C843" t="inlineStr">
        <is>
          <t>Nasdaq</t>
        </is>
      </c>
      <c r="D843" t="n">
        <v>1599298</v>
      </c>
      <c r="E843" t="inlineStr">
        <is>
          <t>SEC</t>
        </is>
      </c>
    </row>
    <row r="844">
      <c r="A844" s="5">
        <f>HYPERLINK("https://finance.yahoo.com/quote/AR","AR")</f>
        <v/>
      </c>
      <c r="B844" t="inlineStr">
        <is>
          <t>ANTERO RESOURCES Corp</t>
        </is>
      </c>
      <c r="C844" t="inlineStr">
        <is>
          <t>NYSE</t>
        </is>
      </c>
      <c r="D844" t="n">
        <v>1433270</v>
      </c>
      <c r="E844" t="inlineStr">
        <is>
          <t>SEC</t>
        </is>
      </c>
    </row>
    <row r="845">
      <c r="A845" s="5">
        <f>HYPERLINK("https://finance.yahoo.com/quote/DFKUY","DFKUY")</f>
        <v/>
      </c>
      <c r="B845" t="inlineStr">
        <is>
          <t>Daifuku Co., Ltd./ADR</t>
        </is>
      </c>
      <c r="C845" t="inlineStr">
        <is>
          <t>OTC</t>
        </is>
      </c>
      <c r="D845" t="n">
        <v>1762831</v>
      </c>
      <c r="E845" t="inlineStr">
        <is>
          <t>SEC</t>
        </is>
      </c>
    </row>
    <row r="846">
      <c r="A846" s="5">
        <f>HYPERLINK("https://finance.yahoo.com/quote/SEIC","SEIC")</f>
        <v/>
      </c>
      <c r="B846" t="inlineStr">
        <is>
          <t>SEI INVESTMENTS CO</t>
        </is>
      </c>
      <c r="C846" t="inlineStr">
        <is>
          <t>Nasdaq</t>
        </is>
      </c>
      <c r="D846" t="n">
        <v>350894</v>
      </c>
      <c r="E846" t="inlineStr">
        <is>
          <t>SEC</t>
        </is>
      </c>
    </row>
    <row r="847">
      <c r="A847" s="5">
        <f>HYPERLINK("https://finance.yahoo.com/quote/TEM","TEM")</f>
        <v/>
      </c>
      <c r="B847" t="inlineStr">
        <is>
          <t>Tempus AI, Inc.</t>
        </is>
      </c>
      <c r="C847" t="inlineStr">
        <is>
          <t>Nasdaq</t>
        </is>
      </c>
      <c r="D847" t="n">
        <v>1717115</v>
      </c>
      <c r="E847" t="inlineStr">
        <is>
          <t>SEC</t>
        </is>
      </c>
    </row>
    <row r="848">
      <c r="A848" s="5">
        <f>HYPERLINK("https://finance.yahoo.com/quote/EHC","EHC")</f>
        <v/>
      </c>
      <c r="B848" t="inlineStr">
        <is>
          <t>Encompass Health Corp</t>
        </is>
      </c>
      <c r="C848" t="inlineStr">
        <is>
          <t>NYSE</t>
        </is>
      </c>
      <c r="D848" t="n">
        <v>785161</v>
      </c>
      <c r="E848" t="inlineStr">
        <is>
          <t>SEC</t>
        </is>
      </c>
    </row>
    <row r="849">
      <c r="A849" s="5">
        <f>HYPERLINK("https://finance.yahoo.com/quote/NXT","NXT")</f>
        <v/>
      </c>
      <c r="B849" t="inlineStr">
        <is>
          <t>Nextpower Inc.</t>
        </is>
      </c>
      <c r="C849" t="inlineStr">
        <is>
          <t>Nasdaq</t>
        </is>
      </c>
      <c r="D849" t="n">
        <v>1852131</v>
      </c>
      <c r="E849" t="inlineStr">
        <is>
          <t>SEC</t>
        </is>
      </c>
    </row>
    <row r="850">
      <c r="A850" s="5">
        <f>HYPERLINK("https://finance.yahoo.com/quote/WTRG","WTRG")</f>
        <v/>
      </c>
      <c r="B850" t="inlineStr">
        <is>
          <t>Essential Utilities, Inc.</t>
        </is>
      </c>
      <c r="C850" t="inlineStr">
        <is>
          <t>NYSE</t>
        </is>
      </c>
      <c r="D850" t="n">
        <v>78128</v>
      </c>
      <c r="E850" t="inlineStr">
        <is>
          <t>SEC</t>
        </is>
      </c>
    </row>
    <row r="851">
      <c r="A851" s="5">
        <f>HYPERLINK("https://finance.yahoo.com/quote/FROG","FROG")</f>
        <v/>
      </c>
      <c r="B851" t="inlineStr">
        <is>
          <t>JFrog Ltd</t>
        </is>
      </c>
      <c r="C851" t="inlineStr">
        <is>
          <t>Nasdaq</t>
        </is>
      </c>
      <c r="D851" t="n">
        <v>1800667</v>
      </c>
      <c r="E851" t="inlineStr">
        <is>
          <t>SEC</t>
        </is>
      </c>
    </row>
    <row r="852">
      <c r="A852" s="5">
        <f>HYPERLINK("https://finance.yahoo.com/quote/FIVE","FIVE")</f>
        <v/>
      </c>
      <c r="B852" t="inlineStr">
        <is>
          <t>FIVE BELOW, INC</t>
        </is>
      </c>
      <c r="C852" t="inlineStr">
        <is>
          <t>Nasdaq</t>
        </is>
      </c>
      <c r="D852" t="n">
        <v>1177609</v>
      </c>
      <c r="E852" t="inlineStr">
        <is>
          <t>SEC</t>
        </is>
      </c>
    </row>
    <row r="853">
      <c r="A853" s="5">
        <f>HYPERLINK("https://finance.yahoo.com/quote/CART","CART")</f>
        <v/>
      </c>
      <c r="B853" t="inlineStr">
        <is>
          <t>Maplebear Inc.</t>
        </is>
      </c>
      <c r="C853" t="inlineStr">
        <is>
          <t>Nasdaq</t>
        </is>
      </c>
      <c r="D853" t="n">
        <v>1579091</v>
      </c>
      <c r="E853" t="inlineStr">
        <is>
          <t>SEC</t>
        </is>
      </c>
    </row>
    <row r="854">
      <c r="A854" s="5">
        <f>HYPERLINK("https://finance.yahoo.com/quote/ELS","ELS")</f>
        <v/>
      </c>
      <c r="B854" t="inlineStr">
        <is>
          <t>EQUITY LIFESTYLE PROPERTIES INC</t>
        </is>
      </c>
      <c r="C854" t="inlineStr">
        <is>
          <t>NYSE</t>
        </is>
      </c>
      <c r="D854" t="n">
        <v>895417</v>
      </c>
      <c r="E854" t="inlineStr">
        <is>
          <t>SEC</t>
        </is>
      </c>
    </row>
    <row r="855">
      <c r="A855" s="5">
        <f>HYPERLINK("https://finance.yahoo.com/quote/TMTNY","TMTNY")</f>
        <v/>
      </c>
      <c r="B855" t="inlineStr">
        <is>
          <t>Toromont Industries Ltd./ADR</t>
        </is>
      </c>
      <c r="C855" t="inlineStr">
        <is>
          <t>OTC</t>
        </is>
      </c>
      <c r="D855" t="n">
        <v>2072098</v>
      </c>
      <c r="E855" t="inlineStr">
        <is>
          <t>SEC</t>
        </is>
      </c>
    </row>
    <row r="856">
      <c r="A856" s="5">
        <f>HYPERLINK("https://finance.yahoo.com/quote/FMS","FMS")</f>
        <v/>
      </c>
      <c r="B856" t="inlineStr">
        <is>
          <t>Fresenius Medical Care AG</t>
        </is>
      </c>
      <c r="C856" t="inlineStr">
        <is>
          <t>NYSE</t>
        </is>
      </c>
      <c r="D856" t="n">
        <v>1333141</v>
      </c>
      <c r="E856" t="inlineStr">
        <is>
          <t>SEC</t>
        </is>
      </c>
    </row>
    <row r="857">
      <c r="A857" s="5">
        <f>HYPERLINK("https://finance.yahoo.com/quote/WTS","WTS")</f>
        <v/>
      </c>
      <c r="B857" t="inlineStr">
        <is>
          <t>WATTS WATER TECHNOLOGIES INC</t>
        </is>
      </c>
      <c r="C857" t="inlineStr">
        <is>
          <t>NYSE</t>
        </is>
      </c>
      <c r="D857" t="n">
        <v>795403</v>
      </c>
      <c r="E857" t="inlineStr">
        <is>
          <t>SEC</t>
        </is>
      </c>
    </row>
    <row r="858">
      <c r="A858" s="5">
        <f>HYPERLINK("https://finance.yahoo.com/quote/BSY","BSY")</f>
        <v/>
      </c>
      <c r="B858" t="inlineStr">
        <is>
          <t>BENTLEY SYSTEMS INC</t>
        </is>
      </c>
      <c r="C858" t="inlineStr">
        <is>
          <t>Nasdaq</t>
        </is>
      </c>
      <c r="D858" t="n">
        <v>1031308</v>
      </c>
      <c r="E858" t="inlineStr">
        <is>
          <t>SEC</t>
        </is>
      </c>
    </row>
    <row r="859">
      <c r="A859" s="5">
        <f>HYPERLINK("https://finance.yahoo.com/quote/TLK","TLK")</f>
        <v/>
      </c>
      <c r="B859" t="inlineStr">
        <is>
          <t>PERUSAHAAN PERSEROAN PERSERO PT TELEKOMUNIKASI INDONESIA TBK</t>
        </is>
      </c>
      <c r="C859" t="inlineStr">
        <is>
          <t>NYSE</t>
        </is>
      </c>
      <c r="D859" t="n">
        <v>1001807</v>
      </c>
      <c r="E859" t="inlineStr">
        <is>
          <t>SEC</t>
        </is>
      </c>
    </row>
    <row r="860">
      <c r="A860" s="5">
        <f>HYPERLINK("https://finance.yahoo.com/quote/AEG","AEG")</f>
        <v/>
      </c>
      <c r="B860" t="inlineStr">
        <is>
          <t>AEGON LTD.</t>
        </is>
      </c>
      <c r="C860" t="inlineStr">
        <is>
          <t>NYSE</t>
        </is>
      </c>
      <c r="D860" t="n">
        <v>769218</v>
      </c>
      <c r="E860" t="inlineStr">
        <is>
          <t>SEC</t>
        </is>
      </c>
    </row>
    <row r="861">
      <c r="A861" s="5">
        <f>HYPERLINK("https://finance.yahoo.com/quote/NCLTY","NCLTY")</f>
        <v/>
      </c>
      <c r="B861" t="inlineStr">
        <is>
          <t>Nitori Holdings Co., Ltd.</t>
        </is>
      </c>
      <c r="C861" t="inlineStr">
        <is>
          <t>OTC</t>
        </is>
      </c>
      <c r="D861" t="n">
        <v>1801729</v>
      </c>
      <c r="E861" t="inlineStr">
        <is>
          <t>SEC</t>
        </is>
      </c>
    </row>
    <row r="862">
      <c r="A862" s="5">
        <f>HYPERLINK("https://finance.yahoo.com/quote/GL","GL")</f>
        <v/>
      </c>
      <c r="B862" t="inlineStr">
        <is>
          <t>GLOBE LIFE INC.</t>
        </is>
      </c>
      <c r="C862" t="inlineStr">
        <is>
          <t>NYSE</t>
        </is>
      </c>
      <c r="D862" t="n">
        <v>320335</v>
      </c>
      <c r="E862" t="inlineStr">
        <is>
          <t>SEC</t>
        </is>
      </c>
    </row>
    <row r="863">
      <c r="A863" s="5">
        <f>HYPERLINK("https://finance.yahoo.com/quote/BTSG","BTSG")</f>
        <v/>
      </c>
      <c r="B863" t="inlineStr">
        <is>
          <t>BrightSpring Health Services, Inc.</t>
        </is>
      </c>
      <c r="C863" t="inlineStr">
        <is>
          <t>Nasdaq</t>
        </is>
      </c>
      <c r="D863" t="n">
        <v>1865782</v>
      </c>
      <c r="E863" t="inlineStr">
        <is>
          <t>SEC</t>
        </is>
      </c>
    </row>
    <row r="864">
      <c r="A864" s="5">
        <f>HYPERLINK("https://finance.yahoo.com/quote/EQX","EQX")</f>
        <v/>
      </c>
      <c r="B864" t="inlineStr">
        <is>
          <t>Equinox Gold Corp.</t>
        </is>
      </c>
      <c r="C864" t="inlineStr">
        <is>
          <t>NYSE</t>
        </is>
      </c>
      <c r="D864" t="n">
        <v>1756607</v>
      </c>
      <c r="E864" t="inlineStr">
        <is>
          <t>SEC</t>
        </is>
      </c>
    </row>
    <row r="865">
      <c r="A865" s="5">
        <f>HYPERLINK("https://finance.yahoo.com/quote/ALLY","ALLY")</f>
        <v/>
      </c>
      <c r="B865" t="inlineStr">
        <is>
          <t>Ally Financial Inc.</t>
        </is>
      </c>
      <c r="C865" t="inlineStr">
        <is>
          <t>NYSE</t>
        </is>
      </c>
      <c r="D865" t="n">
        <v>40729</v>
      </c>
      <c r="E865" t="inlineStr">
        <is>
          <t>SEC</t>
        </is>
      </c>
    </row>
    <row r="866">
      <c r="A866" s="5">
        <f>HYPERLINK("https://finance.yahoo.com/quote/MLI","MLI")</f>
        <v/>
      </c>
      <c r="B866" t="inlineStr">
        <is>
          <t>MUELLER INDUSTRIES INC</t>
        </is>
      </c>
      <c r="C866" t="inlineStr">
        <is>
          <t>NYSE</t>
        </is>
      </c>
      <c r="D866" t="n">
        <v>89439</v>
      </c>
      <c r="E866" t="inlineStr">
        <is>
          <t>SEC</t>
        </is>
      </c>
    </row>
    <row r="867">
      <c r="A867" s="5">
        <f>HYPERLINK("https://finance.yahoo.com/quote/GLPI","GLPI")</f>
        <v/>
      </c>
      <c r="B867" t="inlineStr">
        <is>
          <t>Gaming &amp; Leisure Properties, Inc.</t>
        </is>
      </c>
      <c r="C867" t="inlineStr">
        <is>
          <t>Nasdaq</t>
        </is>
      </c>
      <c r="D867" t="n">
        <v>1575965</v>
      </c>
      <c r="E867" t="inlineStr">
        <is>
          <t>SEC</t>
        </is>
      </c>
    </row>
    <row r="868">
      <c r="A868" s="5">
        <f>HYPERLINK("https://finance.yahoo.com/quote/FDS","FDS")</f>
        <v/>
      </c>
      <c r="B868" t="inlineStr">
        <is>
          <t>FACTSET RESEARCH SYSTEMS INC</t>
        </is>
      </c>
      <c r="C868" t="inlineStr">
        <is>
          <t>NYSE</t>
        </is>
      </c>
      <c r="D868" t="n">
        <v>1013237</v>
      </c>
      <c r="E868" t="inlineStr">
        <is>
          <t>SEC</t>
        </is>
      </c>
    </row>
    <row r="869">
      <c r="A869" s="5">
        <f>HYPERLINK("https://finance.yahoo.com/quote/DVA","DVA")</f>
        <v/>
      </c>
      <c r="B869" t="inlineStr">
        <is>
          <t>DAVITA INC.</t>
        </is>
      </c>
      <c r="C869" t="inlineStr">
        <is>
          <t>NYSE</t>
        </is>
      </c>
      <c r="D869" t="n">
        <v>927066</v>
      </c>
      <c r="E869" t="inlineStr">
        <is>
          <t>SEC</t>
        </is>
      </c>
    </row>
    <row r="870">
      <c r="A870" s="5">
        <f>HYPERLINK("https://finance.yahoo.com/quote/CPT","CPT")</f>
        <v/>
      </c>
      <c r="B870" t="inlineStr">
        <is>
          <t>CAMDEN PROPERTY TRUST</t>
        </is>
      </c>
      <c r="C870" t="inlineStr">
        <is>
          <t>NYSE</t>
        </is>
      </c>
      <c r="D870" t="n">
        <v>906345</v>
      </c>
      <c r="E870" t="inlineStr">
        <is>
          <t>SEC</t>
        </is>
      </c>
    </row>
    <row r="871">
      <c r="A871" s="5">
        <f>HYPERLINK("https://finance.yahoo.com/quote/SKM","SKM")</f>
        <v/>
      </c>
      <c r="B871" t="inlineStr">
        <is>
          <t>SK TELECOM CO LTD</t>
        </is>
      </c>
      <c r="C871" t="inlineStr">
        <is>
          <t>NYSE</t>
        </is>
      </c>
      <c r="D871" t="n">
        <v>1015650</v>
      </c>
      <c r="E871" t="inlineStr">
        <is>
          <t>SEC</t>
        </is>
      </c>
    </row>
    <row r="872">
      <c r="A872" s="5">
        <f>HYPERLINK("https://finance.yahoo.com/quote/STLA","STLA")</f>
        <v/>
      </c>
      <c r="B872" t="inlineStr">
        <is>
          <t>Stellantis N.V.</t>
        </is>
      </c>
      <c r="C872" t="inlineStr">
        <is>
          <t>NYSE</t>
        </is>
      </c>
      <c r="D872" t="n">
        <v>1605484</v>
      </c>
      <c r="E872" t="inlineStr">
        <is>
          <t>SEC</t>
        </is>
      </c>
    </row>
    <row r="873">
      <c r="A873" s="5">
        <f>HYPERLINK("https://finance.yahoo.com/quote/FRO","FRO")</f>
        <v/>
      </c>
      <c r="B873" t="inlineStr">
        <is>
          <t>Frontline plc</t>
        </is>
      </c>
      <c r="C873" t="inlineStr">
        <is>
          <t>NYSE</t>
        </is>
      </c>
      <c r="D873" t="n">
        <v>913290</v>
      </c>
      <c r="E873" t="inlineStr">
        <is>
          <t>SEC</t>
        </is>
      </c>
    </row>
    <row r="874">
      <c r="A874" s="5">
        <f>HYPERLINK("https://finance.yahoo.com/quote/BWXT","BWXT")</f>
        <v/>
      </c>
      <c r="B874" t="inlineStr">
        <is>
          <t>BWX Technologies, Inc.</t>
        </is>
      </c>
      <c r="C874" t="inlineStr">
        <is>
          <t>NYSE</t>
        </is>
      </c>
      <c r="D874" t="n">
        <v>1486957</v>
      </c>
      <c r="E874" t="inlineStr">
        <is>
          <t>SEC</t>
        </is>
      </c>
    </row>
    <row r="875">
      <c r="A875" s="5">
        <f>HYPERLINK("https://finance.yahoo.com/quote/COO","COO")</f>
        <v/>
      </c>
      <c r="B875" t="inlineStr">
        <is>
          <t>COOPER COMPANIES, INC.</t>
        </is>
      </c>
      <c r="C875" t="inlineStr">
        <is>
          <t>Nasdaq</t>
        </is>
      </c>
      <c r="D875" t="n">
        <v>711404</v>
      </c>
      <c r="E875" t="inlineStr">
        <is>
          <t>SEC</t>
        </is>
      </c>
    </row>
    <row r="876">
      <c r="A876" s="5">
        <f>HYPERLINK("https://finance.yahoo.com/quote/AVTR","AVTR")</f>
        <v/>
      </c>
      <c r="B876" t="inlineStr">
        <is>
          <t>Avantor, Inc.</t>
        </is>
      </c>
      <c r="C876" t="inlineStr">
        <is>
          <t>NYSE</t>
        </is>
      </c>
      <c r="D876" t="n">
        <v>1722482</v>
      </c>
      <c r="E876" t="inlineStr">
        <is>
          <t>SEC</t>
        </is>
      </c>
    </row>
    <row r="877">
      <c r="A877" s="5">
        <f>HYPERLINK("https://finance.yahoo.com/quote/AIT","AIT")</f>
        <v/>
      </c>
      <c r="B877" t="inlineStr">
        <is>
          <t>APPLIED INDUSTRIAL TECHNOLOGIES INC</t>
        </is>
      </c>
      <c r="C877" t="inlineStr">
        <is>
          <t>NYSE</t>
        </is>
      </c>
      <c r="D877" t="n">
        <v>109563</v>
      </c>
      <c r="E877" t="inlineStr">
        <is>
          <t>SEC</t>
        </is>
      </c>
    </row>
    <row r="878">
      <c r="A878" s="5">
        <f>HYPERLINK("https://finance.yahoo.com/quote/HRL","HRL")</f>
        <v/>
      </c>
      <c r="B878" t="inlineStr">
        <is>
          <t>HORMEL FOODS CORP /DE/</t>
        </is>
      </c>
      <c r="C878" t="inlineStr">
        <is>
          <t>NYSE</t>
        </is>
      </c>
      <c r="D878" t="n">
        <v>48465</v>
      </c>
      <c r="E878" t="inlineStr">
        <is>
          <t>SEC</t>
        </is>
      </c>
    </row>
    <row r="879">
      <c r="A879" s="5">
        <f>HYPERLINK("https://finance.yahoo.com/quote/GRAB","GRAB")</f>
        <v/>
      </c>
      <c r="B879" t="inlineStr">
        <is>
          <t>Grab Holdings Ltd</t>
        </is>
      </c>
      <c r="C879" t="inlineStr">
        <is>
          <t>Nasdaq</t>
        </is>
      </c>
      <c r="D879" t="n">
        <v>1855612</v>
      </c>
      <c r="E879" t="inlineStr">
        <is>
          <t>SEC</t>
        </is>
      </c>
    </row>
    <row r="880">
      <c r="A880" s="5">
        <f>HYPERLINK("https://finance.yahoo.com/quote/MAIR","MAIR")</f>
        <v/>
      </c>
      <c r="B880" t="inlineStr">
        <is>
          <t>Madison Air Solutions Corp</t>
        </is>
      </c>
      <c r="C880" t="inlineStr">
        <is>
          <t>NYSE</t>
        </is>
      </c>
      <c r="D880" t="n">
        <v>2098430</v>
      </c>
      <c r="E880" t="inlineStr">
        <is>
          <t>SEC</t>
        </is>
      </c>
    </row>
    <row r="881">
      <c r="A881" s="5">
        <f>HYPERLINK("https://finance.yahoo.com/quote/SSL","SSL")</f>
        <v/>
      </c>
      <c r="B881" t="inlineStr">
        <is>
          <t>SASOL LTD</t>
        </is>
      </c>
      <c r="C881" t="inlineStr">
        <is>
          <t>NYSE</t>
        </is>
      </c>
      <c r="D881" t="n">
        <v>314590</v>
      </c>
      <c r="E881" t="inlineStr">
        <is>
          <t>SEC</t>
        </is>
      </c>
    </row>
    <row r="882">
      <c r="A882" s="5">
        <f>HYPERLINK("https://finance.yahoo.com/quote/MICC","MICC")</f>
        <v/>
      </c>
      <c r="B882" t="inlineStr">
        <is>
          <t>Magnum Ice Cream Co N.V.</t>
        </is>
      </c>
      <c r="C882" t="inlineStr">
        <is>
          <t>NYSE</t>
        </is>
      </c>
      <c r="D882" t="n">
        <v>2071668</v>
      </c>
      <c r="E882" t="inlineStr">
        <is>
          <t>SEC</t>
        </is>
      </c>
    </row>
    <row r="883">
      <c r="A883" s="5">
        <f>HYPERLINK("https://finance.yahoo.com/quote/AHR","AHR")</f>
        <v/>
      </c>
      <c r="B883" t="inlineStr">
        <is>
          <t>American Healthcare REIT, Inc.</t>
        </is>
      </c>
      <c r="C883" t="inlineStr">
        <is>
          <t>NYSE</t>
        </is>
      </c>
      <c r="D883" t="n">
        <v>1632970</v>
      </c>
      <c r="E883" t="inlineStr">
        <is>
          <t>SEC</t>
        </is>
      </c>
    </row>
    <row r="884">
      <c r="A884" s="5">
        <f>HYPERLINK("https://finance.yahoo.com/quote/LULU","LULU")</f>
        <v/>
      </c>
      <c r="B884" t="inlineStr">
        <is>
          <t>lululemon athletica inc.</t>
        </is>
      </c>
      <c r="C884" t="inlineStr">
        <is>
          <t>Nasdaq</t>
        </is>
      </c>
      <c r="D884" t="n">
        <v>1397187</v>
      </c>
      <c r="E884" t="inlineStr">
        <is>
          <t>SEC</t>
        </is>
      </c>
    </row>
    <row r="885">
      <c r="A885" s="5">
        <f>HYPERLINK("https://finance.yahoo.com/quote/RTO","RTO")</f>
        <v/>
      </c>
      <c r="B885" t="inlineStr">
        <is>
          <t>RENTOKIL INITIAL PLC /FI</t>
        </is>
      </c>
      <c r="C885" t="inlineStr">
        <is>
          <t>NYSE</t>
        </is>
      </c>
      <c r="D885" t="n">
        <v>930157</v>
      </c>
      <c r="E885" t="inlineStr">
        <is>
          <t>SEC</t>
        </is>
      </c>
    </row>
    <row r="886">
      <c r="A886" s="5">
        <f>HYPERLINK("https://finance.yahoo.com/quote/INIO","INIO")</f>
        <v/>
      </c>
      <c r="B886" t="inlineStr">
        <is>
          <t>INNIO N.V.</t>
        </is>
      </c>
      <c r="C886" t="inlineStr">
        <is>
          <t>Nasdaq</t>
        </is>
      </c>
      <c r="D886" t="n">
        <v>2109150</v>
      </c>
      <c r="E886" t="inlineStr">
        <is>
          <t>SEC</t>
        </is>
      </c>
    </row>
    <row r="887">
      <c r="A887" s="5">
        <f>HYPERLINK("https://finance.yahoo.com/quote/SCI","SCI")</f>
        <v/>
      </c>
      <c r="B887" t="inlineStr">
        <is>
          <t>SERVICE CORP INTERNATIONAL</t>
        </is>
      </c>
      <c r="C887" t="inlineStr">
        <is>
          <t>NYSE</t>
        </is>
      </c>
      <c r="D887" t="n">
        <v>89089</v>
      </c>
      <c r="E887" t="inlineStr">
        <is>
          <t>SEC</t>
        </is>
      </c>
    </row>
    <row r="888">
      <c r="A888" s="5">
        <f>HYPERLINK("https://finance.yahoo.com/quote/TECH","TECH")</f>
        <v/>
      </c>
      <c r="B888" t="inlineStr">
        <is>
          <t>BIO-TECHNE Corp</t>
        </is>
      </c>
      <c r="C888" t="inlineStr">
        <is>
          <t>Nasdaq</t>
        </is>
      </c>
      <c r="D888" t="n">
        <v>842023</v>
      </c>
      <c r="E888" t="inlineStr">
        <is>
          <t>SEC</t>
        </is>
      </c>
    </row>
    <row r="889">
      <c r="A889" s="5">
        <f>HYPERLINK("https://finance.yahoo.com/quote/FN","FN")</f>
        <v/>
      </c>
      <c r="B889" t="inlineStr">
        <is>
          <t>Fabrinet</t>
        </is>
      </c>
      <c r="C889" t="inlineStr">
        <is>
          <t>NYSE</t>
        </is>
      </c>
      <c r="D889" t="n">
        <v>1408710</v>
      </c>
      <c r="E889" t="inlineStr">
        <is>
          <t>SEC</t>
        </is>
      </c>
    </row>
    <row r="890">
      <c r="A890" s="5">
        <f>HYPERLINK("https://finance.yahoo.com/quote/JKHY","JKHY")</f>
        <v/>
      </c>
      <c r="B890" t="inlineStr">
        <is>
          <t>JACK HENRY &amp; ASSOCIATES INC</t>
        </is>
      </c>
      <c r="C890" t="inlineStr">
        <is>
          <t>Nasdaq</t>
        </is>
      </c>
      <c r="D890" t="n">
        <v>779152</v>
      </c>
      <c r="E890" t="inlineStr">
        <is>
          <t>SEC</t>
        </is>
      </c>
    </row>
    <row r="891">
      <c r="A891" s="5">
        <f>HYPERLINK("https://finance.yahoo.com/quote/ELAN","ELAN")</f>
        <v/>
      </c>
      <c r="B891" t="inlineStr">
        <is>
          <t>Elanco Animal Health Inc</t>
        </is>
      </c>
      <c r="C891" t="inlineStr">
        <is>
          <t>NYSE</t>
        </is>
      </c>
      <c r="D891" t="n">
        <v>1739104</v>
      </c>
      <c r="E891" t="inlineStr">
        <is>
          <t>SEC</t>
        </is>
      </c>
    </row>
    <row r="892">
      <c r="A892" s="5">
        <f>HYPERLINK("https://finance.yahoo.com/quote/AKZOY","AKZOY")</f>
        <v/>
      </c>
      <c r="B892" t="inlineStr">
        <is>
          <t>AKZO NOBEL NV</t>
        </is>
      </c>
      <c r="C892" t="inlineStr">
        <is>
          <t>OTC</t>
        </is>
      </c>
      <c r="D892" t="n">
        <v>3124</v>
      </c>
      <c r="E892" t="inlineStr">
        <is>
          <t>SEC</t>
        </is>
      </c>
    </row>
    <row r="893">
      <c r="A893" s="5">
        <f>HYPERLINK("https://finance.yahoo.com/quote/BLMOY","BLMOY")</f>
        <v/>
      </c>
      <c r="B893" t="inlineStr">
        <is>
          <t>BELIMO Holding AG/ADR</t>
        </is>
      </c>
      <c r="C893" t="inlineStr">
        <is>
          <t>OTC</t>
        </is>
      </c>
      <c r="D893" t="n">
        <v>2109234</v>
      </c>
      <c r="E893" t="inlineStr">
        <is>
          <t>SEC</t>
        </is>
      </c>
    </row>
    <row r="894">
      <c r="A894" s="5">
        <f>HYPERLINK("https://finance.yahoo.com/quote/CHYM","CHYM")</f>
        <v/>
      </c>
      <c r="B894" t="inlineStr">
        <is>
          <t>Chime Financial, Inc.</t>
        </is>
      </c>
      <c r="C894" t="inlineStr">
        <is>
          <t>Nasdaq</t>
        </is>
      </c>
      <c r="D894" t="n">
        <v>1795586</v>
      </c>
      <c r="E894" t="inlineStr">
        <is>
          <t>SEC</t>
        </is>
      </c>
    </row>
    <row r="895">
      <c r="A895" s="5">
        <f>HYPERLINK("https://finance.yahoo.com/quote/NYT","NYT")</f>
        <v/>
      </c>
      <c r="B895" t="inlineStr">
        <is>
          <t>NEW YORK TIMES CO</t>
        </is>
      </c>
      <c r="C895" t="inlineStr">
        <is>
          <t>NYSE</t>
        </is>
      </c>
      <c r="D895" t="n">
        <v>71691</v>
      </c>
      <c r="E895" t="inlineStr">
        <is>
          <t>SEC</t>
        </is>
      </c>
    </row>
    <row r="896">
      <c r="A896" s="5">
        <f>HYPERLINK("https://finance.yahoo.com/quote/BXP","BXP")</f>
        <v/>
      </c>
      <c r="B896" t="inlineStr">
        <is>
          <t>BXP, Inc.</t>
        </is>
      </c>
      <c r="C896" t="inlineStr">
        <is>
          <t>NYSE</t>
        </is>
      </c>
      <c r="D896" t="n">
        <v>1037540</v>
      </c>
      <c r="E896" t="inlineStr">
        <is>
          <t>SEC</t>
        </is>
      </c>
    </row>
    <row r="897">
      <c r="A897" s="5">
        <f>HYPERLINK("https://finance.yahoo.com/quote/BWA","BWA")</f>
        <v/>
      </c>
      <c r="B897" t="inlineStr">
        <is>
          <t>BORGWARNER INC</t>
        </is>
      </c>
      <c r="C897" t="inlineStr">
        <is>
          <t>NYSE</t>
        </is>
      </c>
      <c r="D897" t="n">
        <v>908255</v>
      </c>
      <c r="E897" t="inlineStr">
        <is>
          <t>SEC</t>
        </is>
      </c>
    </row>
    <row r="898">
      <c r="A898" s="5">
        <f>HYPERLINK("https://finance.yahoo.com/quote/RYAN","RYAN")</f>
        <v/>
      </c>
      <c r="B898" t="inlineStr">
        <is>
          <t>RYAN SPECIALTY HOLDINGS, INC.</t>
        </is>
      </c>
      <c r="C898" t="inlineStr">
        <is>
          <t>NYSE</t>
        </is>
      </c>
      <c r="D898" t="n">
        <v>1849253</v>
      </c>
      <c r="E898" t="inlineStr">
        <is>
          <t>SEC</t>
        </is>
      </c>
    </row>
    <row r="899">
      <c r="A899" s="5">
        <f>HYPERLINK("https://finance.yahoo.com/quote/GNRC","GNRC")</f>
        <v/>
      </c>
      <c r="B899" t="inlineStr">
        <is>
          <t>GENERAC HOLDINGS INC.</t>
        </is>
      </c>
      <c r="C899" t="inlineStr">
        <is>
          <t>NYSE</t>
        </is>
      </c>
      <c r="D899" t="n">
        <v>1474735</v>
      </c>
      <c r="E899" t="inlineStr">
        <is>
          <t>SEC</t>
        </is>
      </c>
    </row>
    <row r="900">
      <c r="A900" s="5">
        <f>HYPERLINK("https://finance.yahoo.com/quote/LI","LI")</f>
        <v/>
      </c>
      <c r="B900" t="inlineStr">
        <is>
          <t>Li Auto Inc.</t>
        </is>
      </c>
      <c r="C900" t="inlineStr">
        <is>
          <t>Nasdaq</t>
        </is>
      </c>
      <c r="D900" t="n">
        <v>1791706</v>
      </c>
      <c r="E900" t="inlineStr">
        <is>
          <t>SEC</t>
        </is>
      </c>
    </row>
    <row r="901">
      <c r="A901" s="5">
        <f>HYPERLINK("https://finance.yahoo.com/quote/RGEN","RGEN")</f>
        <v/>
      </c>
      <c r="B901" t="inlineStr">
        <is>
          <t>REPLIGEN CORP</t>
        </is>
      </c>
      <c r="C901" t="inlineStr">
        <is>
          <t>Nasdaq</t>
        </is>
      </c>
      <c r="D901" t="n">
        <v>730272</v>
      </c>
      <c r="E901" t="inlineStr">
        <is>
          <t>SEC</t>
        </is>
      </c>
    </row>
    <row r="902">
      <c r="A902" s="5">
        <f>HYPERLINK("https://finance.yahoo.com/quote/FHN","FHN")</f>
        <v/>
      </c>
      <c r="B902" t="inlineStr">
        <is>
          <t>FIRST HORIZON CORP</t>
        </is>
      </c>
      <c r="C902" t="inlineStr">
        <is>
          <t>NYSE</t>
        </is>
      </c>
      <c r="D902" t="n">
        <v>36966</v>
      </c>
      <c r="E902" t="inlineStr">
        <is>
          <t>SEC</t>
        </is>
      </c>
    </row>
    <row r="903">
      <c r="A903" s="5">
        <f>HYPERLINK("https://finance.yahoo.com/quote/DOCN","DOCN")</f>
        <v/>
      </c>
      <c r="B903" t="inlineStr">
        <is>
          <t>DigitalOcean Holdings, Inc.</t>
        </is>
      </c>
      <c r="C903" t="inlineStr">
        <is>
          <t>NYSE</t>
        </is>
      </c>
      <c r="D903" t="n">
        <v>1582961</v>
      </c>
      <c r="E903" t="inlineStr">
        <is>
          <t>SEC</t>
        </is>
      </c>
    </row>
    <row r="904">
      <c r="A904" s="5">
        <f>HYPERLINK("https://finance.yahoo.com/quote/ALB","ALB")</f>
        <v/>
      </c>
      <c r="B904" t="inlineStr">
        <is>
          <t>ALBEMARLE CORP</t>
        </is>
      </c>
      <c r="C904" t="inlineStr">
        <is>
          <t>NYSE</t>
        </is>
      </c>
      <c r="D904" t="n">
        <v>915913</v>
      </c>
      <c r="E904" t="inlineStr">
        <is>
          <t>SEC</t>
        </is>
      </c>
    </row>
    <row r="905">
      <c r="A905" s="5">
        <f>HYPERLINK("https://finance.yahoo.com/quote/RDY","RDY")</f>
        <v/>
      </c>
      <c r="B905" t="inlineStr">
        <is>
          <t>DR REDDYS LABORATORIES LTD</t>
        </is>
      </c>
      <c r="C905" t="inlineStr">
        <is>
          <t>NYSE</t>
        </is>
      </c>
      <c r="D905" t="n">
        <v>1135951</v>
      </c>
      <c r="E905" t="inlineStr">
        <is>
          <t>SEC</t>
        </is>
      </c>
    </row>
    <row r="906">
      <c r="A906" s="5">
        <f>HYPERLINK("https://finance.yahoo.com/quote/UHS","UHS")</f>
        <v/>
      </c>
      <c r="B906" t="inlineStr">
        <is>
          <t>UNIVERSAL HEALTH SERVICES INC</t>
        </is>
      </c>
      <c r="C906" t="inlineStr">
        <is>
          <t>NYSE</t>
        </is>
      </c>
      <c r="D906" t="n">
        <v>352915</v>
      </c>
      <c r="E906" t="inlineStr">
        <is>
          <t>SEC</t>
        </is>
      </c>
    </row>
    <row r="907">
      <c r="A907" s="5">
        <f>HYPERLINK("https://finance.yahoo.com/quote/DDS","DDS")</f>
        <v/>
      </c>
      <c r="B907" t="inlineStr">
        <is>
          <t>DILLARD'S, INC.</t>
        </is>
      </c>
      <c r="C907" t="inlineStr">
        <is>
          <t>TXSE</t>
        </is>
      </c>
      <c r="D907" t="n">
        <v>28917</v>
      </c>
      <c r="E907" t="inlineStr">
        <is>
          <t>SEC</t>
        </is>
      </c>
    </row>
    <row r="908">
      <c r="A908" s="5">
        <f>HYPERLINK("https://finance.yahoo.com/quote/RML","RML")</f>
        <v/>
      </c>
      <c r="B908" t="inlineStr">
        <is>
          <t>Resolution Minerals Ltd</t>
        </is>
      </c>
      <c r="C908" t="inlineStr">
        <is>
          <t>Nasdaq</t>
        </is>
      </c>
      <c r="D908" t="n">
        <v>2102907</v>
      </c>
      <c r="E908" t="inlineStr">
        <is>
          <t>SEC</t>
        </is>
      </c>
    </row>
    <row r="909">
      <c r="A909" s="5">
        <f>HYPERLINK("https://finance.yahoo.com/quote/STRL","STRL")</f>
        <v/>
      </c>
      <c r="B909" t="inlineStr">
        <is>
          <t>STERLING INFRASTRUCTURE, INC.</t>
        </is>
      </c>
      <c r="C909" t="inlineStr">
        <is>
          <t>Nasdaq</t>
        </is>
      </c>
      <c r="D909" t="n">
        <v>874238</v>
      </c>
      <c r="E909" t="inlineStr">
        <is>
          <t>SEC</t>
        </is>
      </c>
    </row>
    <row r="910">
      <c r="A910" s="5">
        <f>HYPERLINK("https://finance.yahoo.com/quote/PSLV","PSLV")</f>
        <v/>
      </c>
      <c r="B910" t="inlineStr">
        <is>
          <t>Sprott Physical Silver Trust</t>
        </is>
      </c>
      <c r="C910" t="inlineStr">
        <is>
          <t>NYSE</t>
        </is>
      </c>
      <c r="D910" t="n">
        <v>1494728</v>
      </c>
      <c r="E910" t="inlineStr">
        <is>
          <t>SEC</t>
        </is>
      </c>
    </row>
    <row r="911">
      <c r="A911" s="5">
        <f>HYPERLINK("https://finance.yahoo.com/quote/ALGN","ALGN")</f>
        <v/>
      </c>
      <c r="B911" t="inlineStr">
        <is>
          <t>ALIGN TECHNOLOGY INC</t>
        </is>
      </c>
      <c r="C911" t="inlineStr">
        <is>
          <t>Nasdaq</t>
        </is>
      </c>
      <c r="D911" t="n">
        <v>1097149</v>
      </c>
      <c r="E911" t="inlineStr">
        <is>
          <t>SEC</t>
        </is>
      </c>
    </row>
    <row r="912">
      <c r="A912" s="5">
        <f>HYPERLINK("https://finance.yahoo.com/quote/YARIY","YARIY")</f>
        <v/>
      </c>
      <c r="B912" t="inlineStr">
        <is>
          <t>YARA INTERNATIONAL ASA</t>
        </is>
      </c>
      <c r="C912" t="inlineStr">
        <is>
          <t>OTC</t>
        </is>
      </c>
      <c r="D912" t="n">
        <v>1279956</v>
      </c>
      <c r="E912" t="inlineStr">
        <is>
          <t>SEC</t>
        </is>
      </c>
    </row>
    <row r="913">
      <c r="A913" s="5">
        <f>HYPERLINK("https://finance.yahoo.com/quote/PSO","PSO")</f>
        <v/>
      </c>
      <c r="B913" t="inlineStr">
        <is>
          <t>PEARSON PLC</t>
        </is>
      </c>
      <c r="C913" t="inlineStr">
        <is>
          <t>NYSE</t>
        </is>
      </c>
      <c r="D913" t="n">
        <v>938323</v>
      </c>
      <c r="E913" t="inlineStr">
        <is>
          <t>SEC</t>
        </is>
      </c>
    </row>
    <row r="914">
      <c r="A914" s="5">
        <f>HYPERLINK("https://finance.yahoo.com/quote/GMED","GMED")</f>
        <v/>
      </c>
      <c r="B914" t="inlineStr">
        <is>
          <t>GLOBUS MEDICAL INC</t>
        </is>
      </c>
      <c r="C914" t="inlineStr">
        <is>
          <t>NYSE</t>
        </is>
      </c>
      <c r="D914" t="n">
        <v>1237831</v>
      </c>
      <c r="E914" t="inlineStr">
        <is>
          <t>SEC</t>
        </is>
      </c>
    </row>
    <row r="915">
      <c r="A915" s="5">
        <f>HYPERLINK("https://finance.yahoo.com/quote/QXO","QXO")</f>
        <v/>
      </c>
      <c r="B915" t="inlineStr">
        <is>
          <t>QXO, Inc.</t>
        </is>
      </c>
      <c r="C915" t="inlineStr">
        <is>
          <t>NYSE</t>
        </is>
      </c>
      <c r="D915" t="n">
        <v>1236275</v>
      </c>
      <c r="E915" t="inlineStr">
        <is>
          <t>SEC</t>
        </is>
      </c>
    </row>
    <row r="916">
      <c r="A916" s="5">
        <f>HYPERLINK("https://finance.yahoo.com/quote/FRHC","FRHC")</f>
        <v/>
      </c>
      <c r="B916" t="inlineStr">
        <is>
          <t>Freedom Holding Corp.</t>
        </is>
      </c>
      <c r="C916" t="inlineStr">
        <is>
          <t>Nasdaq</t>
        </is>
      </c>
      <c r="D916" t="n">
        <v>924805</v>
      </c>
      <c r="E916" t="inlineStr">
        <is>
          <t>SEC</t>
        </is>
      </c>
    </row>
    <row r="917">
      <c r="A917" s="5">
        <f>HYPERLINK("https://finance.yahoo.com/quote/FNF","FNF")</f>
        <v/>
      </c>
      <c r="B917" t="inlineStr">
        <is>
          <t>Fidelity National Financial, Inc.</t>
        </is>
      </c>
      <c r="C917" t="inlineStr">
        <is>
          <t>NYSE</t>
        </is>
      </c>
      <c r="D917" t="n">
        <v>1331875</v>
      </c>
      <c r="E917" t="inlineStr">
        <is>
          <t>SEC</t>
        </is>
      </c>
    </row>
    <row r="918">
      <c r="A918" s="5">
        <f>HYPERLINK("https://finance.yahoo.com/quote/ONON","ONON")</f>
        <v/>
      </c>
      <c r="B918" t="inlineStr">
        <is>
          <t>On Holding AG</t>
        </is>
      </c>
      <c r="C918" t="inlineStr">
        <is>
          <t>NYSE</t>
        </is>
      </c>
      <c r="D918" t="n">
        <v>1858985</v>
      </c>
      <c r="E918" t="inlineStr">
        <is>
          <t>SEC</t>
        </is>
      </c>
    </row>
    <row r="919">
      <c r="A919" s="5">
        <f>HYPERLINK("https://finance.yahoo.com/quote/MOH","MOH")</f>
        <v/>
      </c>
      <c r="B919" t="inlineStr">
        <is>
          <t>MOLINA HEALTHCARE, INC.</t>
        </is>
      </c>
      <c r="C919" t="inlineStr">
        <is>
          <t>NYSE</t>
        </is>
      </c>
      <c r="D919" t="n">
        <v>1179929</v>
      </c>
      <c r="E919" t="inlineStr">
        <is>
          <t>SEC</t>
        </is>
      </c>
    </row>
    <row r="920">
      <c r="A920" s="5">
        <f>HYPERLINK("https://finance.yahoo.com/quote/DECK","DECK")</f>
        <v/>
      </c>
      <c r="B920" t="inlineStr">
        <is>
          <t>DECKERS OUTDOOR CORP</t>
        </is>
      </c>
      <c r="C920" t="inlineStr">
        <is>
          <t>NYSE</t>
        </is>
      </c>
      <c r="D920" t="n">
        <v>910521</v>
      </c>
      <c r="E920" t="inlineStr">
        <is>
          <t>SEC</t>
        </is>
      </c>
    </row>
    <row r="921">
      <c r="A921" s="5">
        <f>HYPERLINK("https://finance.yahoo.com/quote/UHAL","UHAL")</f>
        <v/>
      </c>
      <c r="B921" t="inlineStr">
        <is>
          <t>U-Haul Holding Co /NV/</t>
        </is>
      </c>
      <c r="C921" t="inlineStr">
        <is>
          <t>NYSE</t>
        </is>
      </c>
      <c r="D921" t="n">
        <v>4457</v>
      </c>
      <c r="E921" t="inlineStr">
        <is>
          <t>SEC</t>
        </is>
      </c>
    </row>
    <row r="922">
      <c r="A922" s="5">
        <f>HYPERLINK("https://finance.yahoo.com/quote/TXRH","TXRH")</f>
        <v/>
      </c>
      <c r="B922" t="inlineStr">
        <is>
          <t>Texas Roadhouse, Inc.</t>
        </is>
      </c>
      <c r="C922" t="inlineStr">
        <is>
          <t>Nasdaq</t>
        </is>
      </c>
      <c r="D922" t="n">
        <v>1289460</v>
      </c>
      <c r="E922" t="inlineStr">
        <is>
          <t>SEC</t>
        </is>
      </c>
    </row>
    <row r="923">
      <c r="A923" s="5">
        <f>HYPERLINK("https://finance.yahoo.com/quote/HII","HII")</f>
        <v/>
      </c>
      <c r="B923" t="inlineStr">
        <is>
          <t>HUNTINGTON INGALLS INDUSTRIES, INC.</t>
        </is>
      </c>
      <c r="C923" t="inlineStr">
        <is>
          <t>NYSE</t>
        </is>
      </c>
      <c r="D923" t="n">
        <v>1501585</v>
      </c>
      <c r="E923" t="inlineStr">
        <is>
          <t>SEC</t>
        </is>
      </c>
    </row>
    <row r="924">
      <c r="A924" s="5">
        <f>HYPERLINK("https://finance.yahoo.com/quote/BMRN","BMRN")</f>
        <v/>
      </c>
      <c r="B924" t="inlineStr">
        <is>
          <t>BIOMARIN PHARMACEUTICAL INC</t>
        </is>
      </c>
      <c r="C924" t="inlineStr">
        <is>
          <t>Nasdaq</t>
        </is>
      </c>
      <c r="D924" t="n">
        <v>1048477</v>
      </c>
      <c r="E924" t="inlineStr">
        <is>
          <t>SEC</t>
        </is>
      </c>
    </row>
    <row r="925">
      <c r="A925" s="5">
        <f>HYPERLINK("https://finance.yahoo.com/quote/MOG-A","MOG-A")</f>
        <v/>
      </c>
      <c r="B925" t="inlineStr">
        <is>
          <t>MOOG INC.</t>
        </is>
      </c>
      <c r="C925" t="inlineStr">
        <is>
          <t>NYSE</t>
        </is>
      </c>
      <c r="D925" t="n">
        <v>67887</v>
      </c>
      <c r="E925" t="inlineStr">
        <is>
          <t>SEC</t>
        </is>
      </c>
    </row>
    <row r="926">
      <c r="A926" s="5">
        <f>HYPERLINK("https://finance.yahoo.com/quote/GGG","GGG")</f>
        <v/>
      </c>
      <c r="B926" t="inlineStr">
        <is>
          <t>GRACO INC</t>
        </is>
      </c>
      <c r="C926" t="inlineStr">
        <is>
          <t>NYSE</t>
        </is>
      </c>
      <c r="D926" t="n">
        <v>42888</v>
      </c>
      <c r="E926" t="inlineStr">
        <is>
          <t>SEC</t>
        </is>
      </c>
    </row>
    <row r="927">
      <c r="A927" s="5">
        <f>HYPERLINK("https://finance.yahoo.com/quote/SNAP","SNAP")</f>
        <v/>
      </c>
      <c r="B927" t="inlineStr">
        <is>
          <t>Snap Inc</t>
        </is>
      </c>
      <c r="C927" t="inlineStr">
        <is>
          <t>NYSE</t>
        </is>
      </c>
      <c r="D927" t="n">
        <v>1564408</v>
      </c>
      <c r="E927" t="inlineStr">
        <is>
          <t>SEC</t>
        </is>
      </c>
    </row>
    <row r="928">
      <c r="A928" s="5">
        <f>HYPERLINK("https://finance.yahoo.com/quote/EGP","EGP")</f>
        <v/>
      </c>
      <c r="B928" t="inlineStr">
        <is>
          <t>EASTGROUP PROPERTIES INC</t>
        </is>
      </c>
      <c r="C928" t="inlineStr">
        <is>
          <t>NYSE</t>
        </is>
      </c>
      <c r="D928" t="n">
        <v>49600</v>
      </c>
      <c r="E928" t="inlineStr">
        <is>
          <t>SEC</t>
        </is>
      </c>
    </row>
    <row r="929">
      <c r="A929" s="5">
        <f>HYPERLINK("https://finance.yahoo.com/quote/ESTC","ESTC")</f>
        <v/>
      </c>
      <c r="B929" t="inlineStr">
        <is>
          <t>Elastic N.V.</t>
        </is>
      </c>
      <c r="C929" t="inlineStr">
        <is>
          <t>NYSE</t>
        </is>
      </c>
      <c r="D929" t="n">
        <v>1707753</v>
      </c>
      <c r="E929" t="inlineStr">
        <is>
          <t>SEC</t>
        </is>
      </c>
    </row>
    <row r="930">
      <c r="A930" s="5">
        <f>HYPERLINK("https://finance.yahoo.com/quote/ARW","ARW")</f>
        <v/>
      </c>
      <c r="B930" t="inlineStr">
        <is>
          <t>ARROW ELECTRONICS, INC.</t>
        </is>
      </c>
      <c r="C930" t="inlineStr">
        <is>
          <t>NYSE</t>
        </is>
      </c>
      <c r="D930" t="n">
        <v>7536</v>
      </c>
      <c r="E930" t="inlineStr">
        <is>
          <t>SEC</t>
        </is>
      </c>
    </row>
    <row r="931">
      <c r="A931" s="5">
        <f>HYPERLINK("https://finance.yahoo.com/quote/WSE","WSE")</f>
        <v/>
      </c>
      <c r="B931" t="inlineStr">
        <is>
          <t>Wise Group plc</t>
        </is>
      </c>
      <c r="C931" t="inlineStr">
        <is>
          <t>Nasdaq</t>
        </is>
      </c>
      <c r="D931" t="n">
        <v>2099039</v>
      </c>
      <c r="E931" t="inlineStr">
        <is>
          <t>SEC</t>
        </is>
      </c>
    </row>
    <row r="932">
      <c r="A932" s="5">
        <f>HYPERLINK("https://finance.yahoo.com/quote/AES","AES")</f>
        <v/>
      </c>
      <c r="B932" t="inlineStr">
        <is>
          <t>AES CORP</t>
        </is>
      </c>
      <c r="C932" t="inlineStr">
        <is>
          <t>NYSE</t>
        </is>
      </c>
      <c r="D932" t="n">
        <v>874761</v>
      </c>
      <c r="E932" t="inlineStr">
        <is>
          <t>SEC</t>
        </is>
      </c>
    </row>
    <row r="933">
      <c r="A933" s="5">
        <f>HYPERLINK("https://finance.yahoo.com/quote/MTCH","MTCH")</f>
        <v/>
      </c>
      <c r="B933" t="inlineStr">
        <is>
          <t>Match Group, Inc.</t>
        </is>
      </c>
      <c r="C933" t="inlineStr">
        <is>
          <t>Nasdaq</t>
        </is>
      </c>
      <c r="D933" t="n">
        <v>891103</v>
      </c>
      <c r="E933" t="inlineStr">
        <is>
          <t>SEC</t>
        </is>
      </c>
    </row>
    <row r="934">
      <c r="A934" s="5">
        <f>HYPERLINK("https://finance.yahoo.com/quote/GSAT","GSAT")</f>
        <v/>
      </c>
      <c r="B934" t="inlineStr">
        <is>
          <t>Globalstar, Inc.</t>
        </is>
      </c>
      <c r="C934" t="inlineStr">
        <is>
          <t>Nasdaq</t>
        </is>
      </c>
      <c r="D934" t="n">
        <v>1366868</v>
      </c>
      <c r="E934" t="inlineStr">
        <is>
          <t>SEC</t>
        </is>
      </c>
    </row>
    <row r="935">
      <c r="A935" s="5">
        <f>HYPERLINK("https://finance.yahoo.com/quote/SUZ","SUZ")</f>
        <v/>
      </c>
      <c r="B935" t="inlineStr">
        <is>
          <t>Suzano S.A.</t>
        </is>
      </c>
      <c r="C935" t="inlineStr">
        <is>
          <t>NYSE</t>
        </is>
      </c>
      <c r="D935" t="n">
        <v>909327</v>
      </c>
      <c r="E935" t="inlineStr">
        <is>
          <t>SEC</t>
        </is>
      </c>
    </row>
    <row r="936">
      <c r="A936" s="5">
        <f>HYPERLINK("https://finance.yahoo.com/quote/RRC","RRC")</f>
        <v/>
      </c>
      <c r="B936" t="inlineStr">
        <is>
          <t>RANGE RESOURCES CORP</t>
        </is>
      </c>
      <c r="C936" t="inlineStr">
        <is>
          <t>NYSE</t>
        </is>
      </c>
      <c r="D936" t="n">
        <v>315852</v>
      </c>
      <c r="E936" t="inlineStr">
        <is>
          <t>SEC</t>
        </is>
      </c>
    </row>
    <row r="937">
      <c r="A937" s="5">
        <f>HYPERLINK("https://finance.yahoo.com/quote/CR","CR")</f>
        <v/>
      </c>
      <c r="B937" t="inlineStr">
        <is>
          <t>Crane Co</t>
        </is>
      </c>
      <c r="C937" t="inlineStr">
        <is>
          <t>NYSE</t>
        </is>
      </c>
      <c r="D937" t="n">
        <v>1944013</v>
      </c>
      <c r="E937" t="inlineStr">
        <is>
          <t>SEC</t>
        </is>
      </c>
    </row>
    <row r="938">
      <c r="A938" s="5">
        <f>HYPERLINK("https://finance.yahoo.com/quote/CLX","CLX")</f>
        <v/>
      </c>
      <c r="B938" t="inlineStr">
        <is>
          <t>CLOROX CO /DE/</t>
        </is>
      </c>
      <c r="C938" t="inlineStr">
        <is>
          <t>NYSE</t>
        </is>
      </c>
      <c r="D938" t="n">
        <v>21076</v>
      </c>
      <c r="E938" t="inlineStr">
        <is>
          <t>SEC</t>
        </is>
      </c>
    </row>
    <row r="939">
      <c r="A939" s="5">
        <f>HYPERLINK("https://finance.yahoo.com/quote/SNROY","SNROY")</f>
        <v/>
      </c>
      <c r="B939" t="inlineStr">
        <is>
          <t>Sanrio Company, Ltd./ADR</t>
        </is>
      </c>
      <c r="C939" t="inlineStr">
        <is>
          <t>OTC</t>
        </is>
      </c>
      <c r="D939" t="n">
        <v>1584273</v>
      </c>
      <c r="E939" t="inlineStr">
        <is>
          <t>SEC</t>
        </is>
      </c>
    </row>
    <row r="940">
      <c r="A940" s="5">
        <f>HYPERLINK("https://finance.yahoo.com/quote/AGNC","AGNC")</f>
        <v/>
      </c>
      <c r="B940" t="inlineStr">
        <is>
          <t>AGNC Investment Corp.</t>
        </is>
      </c>
      <c r="C940" t="inlineStr">
        <is>
          <t>Nasdaq</t>
        </is>
      </c>
      <c r="D940" t="n">
        <v>1423689</v>
      </c>
      <c r="E940" t="inlineStr">
        <is>
          <t>SEC</t>
        </is>
      </c>
    </row>
    <row r="941">
      <c r="A941" s="5">
        <f>HYPERLINK("https://finance.yahoo.com/quote/GKOS","GKOS")</f>
        <v/>
      </c>
      <c r="B941" t="inlineStr">
        <is>
          <t>GLAUKOS Corp</t>
        </is>
      </c>
      <c r="C941" t="inlineStr">
        <is>
          <t>NYSE</t>
        </is>
      </c>
      <c r="D941" t="n">
        <v>1192448</v>
      </c>
      <c r="E941" t="inlineStr">
        <is>
          <t>SEC</t>
        </is>
      </c>
    </row>
    <row r="942">
      <c r="A942" s="5">
        <f>HYPERLINK("https://finance.yahoo.com/quote/BNT","BNT")</f>
        <v/>
      </c>
      <c r="B942" t="inlineStr">
        <is>
          <t>Brookfield Wealth Solutions Ltd.</t>
        </is>
      </c>
      <c r="C942" t="inlineStr">
        <is>
          <t>NYSE</t>
        </is>
      </c>
      <c r="D942" t="n">
        <v>1837429</v>
      </c>
      <c r="E942" t="inlineStr">
        <is>
          <t>SEC</t>
        </is>
      </c>
    </row>
    <row r="943">
      <c r="A943" s="5">
        <f>HYPERLINK("https://finance.yahoo.com/quote/QGEN","QGEN")</f>
        <v/>
      </c>
      <c r="B943" t="inlineStr">
        <is>
          <t>QIAGEN N.V.</t>
        </is>
      </c>
      <c r="C943" t="inlineStr">
        <is>
          <t>NYSE</t>
        </is>
      </c>
      <c r="D943" t="n">
        <v>1015820</v>
      </c>
      <c r="E943" t="inlineStr">
        <is>
          <t>SEC</t>
        </is>
      </c>
    </row>
    <row r="944">
      <c r="A944" s="5">
        <f>HYPERLINK("https://finance.yahoo.com/quote/PODD","PODD")</f>
        <v/>
      </c>
      <c r="B944" t="inlineStr">
        <is>
          <t>INSULET CORP</t>
        </is>
      </c>
      <c r="C944" t="inlineStr">
        <is>
          <t>Nasdaq</t>
        </is>
      </c>
      <c r="D944" t="n">
        <v>1145197</v>
      </c>
      <c r="E944" t="inlineStr">
        <is>
          <t>SEC</t>
        </is>
      </c>
    </row>
    <row r="945">
      <c r="A945" s="5">
        <f>HYPERLINK("https://finance.yahoo.com/quote/UMBF","UMBF")</f>
        <v/>
      </c>
      <c r="B945" t="inlineStr">
        <is>
          <t>UMB FINANCIAL CORP</t>
        </is>
      </c>
      <c r="C945" t="inlineStr">
        <is>
          <t>Nasdaq</t>
        </is>
      </c>
      <c r="D945" t="n">
        <v>101382</v>
      </c>
      <c r="E945" t="inlineStr">
        <is>
          <t>SEC</t>
        </is>
      </c>
    </row>
    <row r="946">
      <c r="A946" s="5">
        <f>HYPERLINK("https://finance.yahoo.com/quote/ELPC","ELPC")</f>
        <v/>
      </c>
      <c r="B946" t="inlineStr">
        <is>
          <t>ENERGY CO OF PARANA</t>
        </is>
      </c>
      <c r="C946" t="inlineStr">
        <is>
          <t>NYSE</t>
        </is>
      </c>
      <c r="D946" t="n">
        <v>1041792</v>
      </c>
      <c r="E946" t="inlineStr">
        <is>
          <t>SEC</t>
        </is>
      </c>
    </row>
    <row r="947">
      <c r="A947" s="5">
        <f>HYPERLINK("https://finance.yahoo.com/quote/DPZ","DPZ")</f>
        <v/>
      </c>
      <c r="B947" t="inlineStr">
        <is>
          <t>DOMINOS PIZZA INC</t>
        </is>
      </c>
      <c r="C947" t="inlineStr">
        <is>
          <t>Nasdaq</t>
        </is>
      </c>
      <c r="D947" t="n">
        <v>1286681</v>
      </c>
      <c r="E947" t="inlineStr">
        <is>
          <t>SEC</t>
        </is>
      </c>
    </row>
    <row r="948">
      <c r="A948" s="5">
        <f>HYPERLINK("https://finance.yahoo.com/quote/ENSG","ENSG")</f>
        <v/>
      </c>
      <c r="B948" t="inlineStr">
        <is>
          <t>ENSIGN GROUP, INC</t>
        </is>
      </c>
      <c r="C948" t="inlineStr">
        <is>
          <t>Nasdaq</t>
        </is>
      </c>
      <c r="D948" t="n">
        <v>1125376</v>
      </c>
      <c r="E948" t="inlineStr">
        <is>
          <t>SEC</t>
        </is>
      </c>
    </row>
    <row r="949">
      <c r="A949" s="5">
        <f>HYPERLINK("https://finance.yahoo.com/quote/DKNG","DKNG")</f>
        <v/>
      </c>
      <c r="B949" t="inlineStr">
        <is>
          <t>DraftKings Inc.</t>
        </is>
      </c>
      <c r="C949" t="inlineStr">
        <is>
          <t>Nasdaq</t>
        </is>
      </c>
      <c r="D949" t="n">
        <v>1883685</v>
      </c>
      <c r="E949" t="inlineStr">
        <is>
          <t>SEC</t>
        </is>
      </c>
    </row>
    <row r="950">
      <c r="A950" s="5">
        <f>HYPERLINK("https://finance.yahoo.com/quote/R","R")</f>
        <v/>
      </c>
      <c r="B950" t="inlineStr">
        <is>
          <t>RYDER SYSTEM INC</t>
        </is>
      </c>
      <c r="C950" t="inlineStr">
        <is>
          <t>NYSE</t>
        </is>
      </c>
      <c r="D950" t="n">
        <v>85961</v>
      </c>
      <c r="E950" t="inlineStr">
        <is>
          <t>SEC</t>
        </is>
      </c>
    </row>
    <row r="951">
      <c r="A951" s="5">
        <f>HYPERLINK("https://finance.yahoo.com/quote/PAYP","PAYP")</f>
        <v/>
      </c>
      <c r="B951" t="inlineStr">
        <is>
          <t>PayPay Corp</t>
        </is>
      </c>
      <c r="C951" t="inlineStr">
        <is>
          <t>Nasdaq</t>
        </is>
      </c>
      <c r="D951" t="n">
        <v>2080845</v>
      </c>
      <c r="E951" t="inlineStr">
        <is>
          <t>SEC</t>
        </is>
      </c>
    </row>
    <row r="952">
      <c r="A952" s="5">
        <f>HYPERLINK("https://finance.yahoo.com/quote/SSB","SSB")</f>
        <v/>
      </c>
      <c r="B952" t="inlineStr">
        <is>
          <t>SouthState Bank Corp</t>
        </is>
      </c>
      <c r="C952" t="inlineStr">
        <is>
          <t>NYSE</t>
        </is>
      </c>
      <c r="D952" t="n">
        <v>764038</v>
      </c>
      <c r="E952" t="inlineStr">
        <is>
          <t>SEC</t>
        </is>
      </c>
    </row>
    <row r="953">
      <c r="A953" s="5">
        <f>HYPERLINK("https://finance.yahoo.com/quote/JEF","JEF")</f>
        <v/>
      </c>
      <c r="B953" t="inlineStr">
        <is>
          <t>Jefferies Financial Group Inc.</t>
        </is>
      </c>
      <c r="C953" t="inlineStr">
        <is>
          <t>NYSE</t>
        </is>
      </c>
      <c r="D953" t="n">
        <v>96223</v>
      </c>
      <c r="E953" t="inlineStr">
        <is>
          <t>SEC</t>
        </is>
      </c>
    </row>
    <row r="954">
      <c r="A954" s="5">
        <f>HYPERLINK("https://finance.yahoo.com/quote/WTFC","WTFC")</f>
        <v/>
      </c>
      <c r="B954" t="inlineStr">
        <is>
          <t>WINTRUST FINANCIAL CORP</t>
        </is>
      </c>
      <c r="C954" t="inlineStr">
        <is>
          <t>Nasdaq</t>
        </is>
      </c>
      <c r="D954" t="n">
        <v>1015328</v>
      </c>
      <c r="E954" t="inlineStr">
        <is>
          <t>SEC</t>
        </is>
      </c>
    </row>
    <row r="955">
      <c r="A955" s="5">
        <f>HYPERLINK("https://finance.yahoo.com/quote/MDGL","MDGL")</f>
        <v/>
      </c>
      <c r="B955" t="inlineStr">
        <is>
          <t>MADRIGAL PHARMACEUTICALS, INC.</t>
        </is>
      </c>
      <c r="C955" t="inlineStr">
        <is>
          <t>Nasdaq</t>
        </is>
      </c>
      <c r="D955" t="n">
        <v>1157601</v>
      </c>
      <c r="E955" t="inlineStr">
        <is>
          <t>SEC</t>
        </is>
      </c>
    </row>
    <row r="956">
      <c r="A956" s="5">
        <f>HYPERLINK("https://finance.yahoo.com/quote/AA","AA")</f>
        <v/>
      </c>
      <c r="B956" t="inlineStr">
        <is>
          <t>Alcoa Corp</t>
        </is>
      </c>
      <c r="C956" t="inlineStr">
        <is>
          <t>NYSE</t>
        </is>
      </c>
      <c r="D956" t="n">
        <v>1675149</v>
      </c>
      <c r="E956" t="inlineStr">
        <is>
          <t>SEC</t>
        </is>
      </c>
    </row>
    <row r="957">
      <c r="A957" s="5">
        <f>HYPERLINK("https://finance.yahoo.com/quote/IREN","IREN")</f>
        <v/>
      </c>
      <c r="B957" t="inlineStr">
        <is>
          <t>IREN Ltd</t>
        </is>
      </c>
      <c r="C957" t="inlineStr">
        <is>
          <t>Nasdaq</t>
        </is>
      </c>
      <c r="D957" t="n">
        <v>1878848</v>
      </c>
      <c r="E957" t="inlineStr">
        <is>
          <t>SEC</t>
        </is>
      </c>
    </row>
    <row r="958">
      <c r="A958" s="5">
        <f>HYPERLINK("https://finance.yahoo.com/quote/OGE","OGE")</f>
        <v/>
      </c>
      <c r="B958" t="inlineStr">
        <is>
          <t>OGE ENERGY CORP.</t>
        </is>
      </c>
      <c r="C958" t="inlineStr">
        <is>
          <t>NYSE</t>
        </is>
      </c>
      <c r="D958" t="n">
        <v>1021635</v>
      </c>
      <c r="E958" t="inlineStr">
        <is>
          <t>SEC</t>
        </is>
      </c>
    </row>
    <row r="959">
      <c r="A959" s="5">
        <f>HYPERLINK("https://finance.yahoo.com/quote/SF","SF")</f>
        <v/>
      </c>
      <c r="B959" t="inlineStr">
        <is>
          <t>STIFEL FINANCIAL CORP</t>
        </is>
      </c>
      <c r="C959" t="inlineStr">
        <is>
          <t>NYSE</t>
        </is>
      </c>
      <c r="D959" t="n">
        <v>720672</v>
      </c>
      <c r="E959" t="inlineStr">
        <is>
          <t>SEC</t>
        </is>
      </c>
    </row>
    <row r="960">
      <c r="A960" s="5">
        <f>HYPERLINK("https://finance.yahoo.com/quote/BPOP","BPOP")</f>
        <v/>
      </c>
      <c r="B960" t="inlineStr">
        <is>
          <t>POPULAR, INC.</t>
        </is>
      </c>
      <c r="C960" t="inlineStr">
        <is>
          <t>Nasdaq</t>
        </is>
      </c>
      <c r="D960" t="n">
        <v>763901</v>
      </c>
      <c r="E960" t="inlineStr">
        <is>
          <t>SEC</t>
        </is>
      </c>
    </row>
    <row r="961">
      <c r="A961" s="5">
        <f>HYPERLINK("https://finance.yahoo.com/quote/AMG","AMG")</f>
        <v/>
      </c>
      <c r="B961" t="inlineStr">
        <is>
          <t>AFFILIATED MANAGERS GROUP, INC.</t>
        </is>
      </c>
      <c r="C961" t="inlineStr">
        <is>
          <t>NYSE</t>
        </is>
      </c>
      <c r="D961" t="n">
        <v>1004434</v>
      </c>
      <c r="E961" t="inlineStr">
        <is>
          <t>SEC</t>
        </is>
      </c>
    </row>
    <row r="962">
      <c r="A962" s="5">
        <f>HYPERLINK("https://finance.yahoo.com/quote/GGB","GGB")</f>
        <v/>
      </c>
      <c r="B962" t="inlineStr">
        <is>
          <t>GERDAU S.A.</t>
        </is>
      </c>
      <c r="C962" t="inlineStr">
        <is>
          <t>NYSE</t>
        </is>
      </c>
      <c r="D962" t="n">
        <v>1073404</v>
      </c>
      <c r="E962" t="inlineStr">
        <is>
          <t>SEC</t>
        </is>
      </c>
    </row>
    <row r="963">
      <c r="A963" s="5">
        <f>HYPERLINK("https://finance.yahoo.com/quote/TTC","TTC")</f>
        <v/>
      </c>
      <c r="B963" t="inlineStr">
        <is>
          <t>TORO CO</t>
        </is>
      </c>
      <c r="C963" t="inlineStr">
        <is>
          <t>NYSE</t>
        </is>
      </c>
      <c r="D963" t="n">
        <v>737758</v>
      </c>
      <c r="E963" t="inlineStr">
        <is>
          <t>SEC</t>
        </is>
      </c>
    </row>
    <row r="964">
      <c r="A964" s="5">
        <f>HYPERLINK("https://finance.yahoo.com/quote/HMY","HMY")</f>
        <v/>
      </c>
      <c r="B964" t="inlineStr">
        <is>
          <t>HARMONY GOLD MINING CO LTD</t>
        </is>
      </c>
      <c r="C964" t="inlineStr">
        <is>
          <t>NYSE</t>
        </is>
      </c>
      <c r="D964" t="n">
        <v>1023514</v>
      </c>
      <c r="E964" t="inlineStr">
        <is>
          <t>SEC</t>
        </is>
      </c>
    </row>
    <row r="965">
      <c r="A965" s="5">
        <f>HYPERLINK("https://finance.yahoo.com/quote/NVMI","NVMI")</f>
        <v/>
      </c>
      <c r="B965" t="inlineStr">
        <is>
          <t>NOVA LTD.</t>
        </is>
      </c>
      <c r="C965" t="inlineStr">
        <is>
          <t>Nasdaq</t>
        </is>
      </c>
      <c r="D965" t="n">
        <v>1109345</v>
      </c>
      <c r="E965" t="inlineStr">
        <is>
          <t>SEC</t>
        </is>
      </c>
    </row>
    <row r="966">
      <c r="A966" s="5">
        <f>HYPERLINK("https://finance.yahoo.com/quote/RRX","RRX")</f>
        <v/>
      </c>
      <c r="B966" t="inlineStr">
        <is>
          <t>REGAL REXNORD CORP</t>
        </is>
      </c>
      <c r="C966" t="inlineStr">
        <is>
          <t>NYSE</t>
        </is>
      </c>
      <c r="D966" t="n">
        <v>82811</v>
      </c>
      <c r="E966" t="inlineStr">
        <is>
          <t>SEC</t>
        </is>
      </c>
    </row>
    <row r="967">
      <c r="A967" s="5">
        <f>HYPERLINK("https://finance.yahoo.com/quote/AM","AM")</f>
        <v/>
      </c>
      <c r="B967" t="inlineStr">
        <is>
          <t>Antero Midstream Corp</t>
        </is>
      </c>
      <c r="C967" t="inlineStr">
        <is>
          <t>NYSE</t>
        </is>
      </c>
      <c r="D967" t="n">
        <v>1623925</v>
      </c>
      <c r="E967" t="inlineStr">
        <is>
          <t>SEC</t>
        </is>
      </c>
    </row>
    <row r="968">
      <c r="A968" s="5">
        <f>HYPERLINK("https://finance.yahoo.com/quote/KNX","KNX")</f>
        <v/>
      </c>
      <c r="B968" t="inlineStr">
        <is>
          <t>Knight-Swift Transportation Holdings Inc.</t>
        </is>
      </c>
      <c r="C968" t="inlineStr">
        <is>
          <t>NYSE</t>
        </is>
      </c>
      <c r="D968" t="n">
        <v>1492691</v>
      </c>
      <c r="E968" t="inlineStr">
        <is>
          <t>SEC</t>
        </is>
      </c>
    </row>
    <row r="969">
      <c r="A969" s="5">
        <f>HYPERLINK("https://finance.yahoo.com/quote/MUSA","MUSA")</f>
        <v/>
      </c>
      <c r="B969" t="inlineStr">
        <is>
          <t>Murphy USA Inc.</t>
        </is>
      </c>
      <c r="C969" t="inlineStr">
        <is>
          <t>NYSE</t>
        </is>
      </c>
      <c r="D969" t="n">
        <v>1573516</v>
      </c>
      <c r="E969" t="inlineStr">
        <is>
          <t>SEC</t>
        </is>
      </c>
    </row>
    <row r="970">
      <c r="A970" s="5">
        <f>HYPERLINK("https://finance.yahoo.com/quote/HBM","HBM")</f>
        <v/>
      </c>
      <c r="B970" t="inlineStr">
        <is>
          <t>Hudbay Minerals Inc.</t>
        </is>
      </c>
      <c r="C970" t="inlineStr">
        <is>
          <t>NYSE</t>
        </is>
      </c>
      <c r="D970" t="n">
        <v>1322422</v>
      </c>
      <c r="E970" t="inlineStr">
        <is>
          <t>SEC</t>
        </is>
      </c>
    </row>
    <row r="971">
      <c r="A971" s="5">
        <f>HYPERLINK("https://finance.yahoo.com/quote/WMS","WMS")</f>
        <v/>
      </c>
      <c r="B971" t="inlineStr">
        <is>
          <t>ADVANCED DRAINAGE SYSTEMS, INC.</t>
        </is>
      </c>
      <c r="C971" t="inlineStr">
        <is>
          <t>NYSE</t>
        </is>
      </c>
      <c r="D971" t="n">
        <v>1604028</v>
      </c>
      <c r="E971" t="inlineStr">
        <is>
          <t>SEC</t>
        </is>
      </c>
    </row>
    <row r="972">
      <c r="A972" s="5">
        <f>HYPERLINK("https://finance.yahoo.com/quote/QNT","QNT")</f>
        <v/>
      </c>
      <c r="B972" t="inlineStr">
        <is>
          <t>Quantinuum Inc.</t>
        </is>
      </c>
      <c r="C972" t="inlineStr">
        <is>
          <t>Nasdaq</t>
        </is>
      </c>
      <c r="D972" t="n">
        <v>2110105</v>
      </c>
      <c r="E972" t="inlineStr">
        <is>
          <t>SEC</t>
        </is>
      </c>
    </row>
    <row r="973">
      <c r="A973" s="5">
        <f>HYPERLINK("https://finance.yahoo.com/quote/DCI","DCI")</f>
        <v/>
      </c>
      <c r="B973" t="inlineStr">
        <is>
          <t>DONALDSON Co INC</t>
        </is>
      </c>
      <c r="C973" t="inlineStr">
        <is>
          <t>NYSE</t>
        </is>
      </c>
      <c r="D973" t="n">
        <v>29644</v>
      </c>
      <c r="E973" t="inlineStr">
        <is>
          <t>SEC</t>
        </is>
      </c>
    </row>
    <row r="974">
      <c r="A974" s="5">
        <f>HYPERLINK("https://finance.yahoo.com/quote/AMKR","AMKR")</f>
        <v/>
      </c>
      <c r="B974" t="inlineStr">
        <is>
          <t>AMKOR TECHNOLOGY, INC.</t>
        </is>
      </c>
      <c r="C974" t="inlineStr">
        <is>
          <t>Nasdaq</t>
        </is>
      </c>
      <c r="D974" t="n">
        <v>1047127</v>
      </c>
      <c r="E974" t="inlineStr">
        <is>
          <t>SEC</t>
        </is>
      </c>
    </row>
    <row r="975">
      <c r="A975" s="5">
        <f>HYPERLINK("https://finance.yahoo.com/quote/NTSK","NTSK")</f>
        <v/>
      </c>
      <c r="B975" t="inlineStr">
        <is>
          <t>Netskope Inc</t>
        </is>
      </c>
      <c r="C975" t="inlineStr">
        <is>
          <t>Nasdaq</t>
        </is>
      </c>
      <c r="D975" t="n">
        <v>2063196</v>
      </c>
      <c r="E975" t="inlineStr">
        <is>
          <t>SEC</t>
        </is>
      </c>
    </row>
    <row r="976">
      <c r="A976" s="5">
        <f>HYPERLINK("https://finance.yahoo.com/quote/AUR","AUR")</f>
        <v/>
      </c>
      <c r="B976" t="inlineStr">
        <is>
          <t>Aurora Innovation, Inc.</t>
        </is>
      </c>
      <c r="C976" t="inlineStr">
        <is>
          <t>Nasdaq</t>
        </is>
      </c>
      <c r="D976" t="n">
        <v>1828108</v>
      </c>
      <c r="E976" t="inlineStr">
        <is>
          <t>SEC</t>
        </is>
      </c>
    </row>
    <row r="977">
      <c r="A977" s="5">
        <f>HYPERLINK("https://finance.yahoo.com/quote/BIO","BIO")</f>
        <v/>
      </c>
      <c r="B977" t="inlineStr">
        <is>
          <t>BIO-RAD LABORATORIES, INC.</t>
        </is>
      </c>
      <c r="C977" t="inlineStr">
        <is>
          <t>NYSE</t>
        </is>
      </c>
      <c r="D977" t="n">
        <v>12208</v>
      </c>
      <c r="E977" t="inlineStr">
        <is>
          <t>SEC</t>
        </is>
      </c>
    </row>
    <row r="978">
      <c r="A978" s="5">
        <f>HYPERLINK("https://finance.yahoo.com/quote/CFR","CFR")</f>
        <v/>
      </c>
      <c r="B978" t="inlineStr">
        <is>
          <t>CULLEN/FROST BANKERS, INC.</t>
        </is>
      </c>
      <c r="C978" t="inlineStr">
        <is>
          <t>NYSE</t>
        </is>
      </c>
      <c r="D978" t="n">
        <v>39263</v>
      </c>
      <c r="E978" t="inlineStr">
        <is>
          <t>SEC</t>
        </is>
      </c>
    </row>
    <row r="979">
      <c r="A979" s="5">
        <f>HYPERLINK("https://finance.yahoo.com/quote/ONTO","ONTO")</f>
        <v/>
      </c>
      <c r="B979" t="inlineStr">
        <is>
          <t>ONTO INNOVATION INC.</t>
        </is>
      </c>
      <c r="C979" t="inlineStr">
        <is>
          <t>NYSE</t>
        </is>
      </c>
      <c r="D979" t="n">
        <v>704532</v>
      </c>
      <c r="E979" t="inlineStr">
        <is>
          <t>SEC</t>
        </is>
      </c>
    </row>
    <row r="980">
      <c r="A980" s="5">
        <f>HYPERLINK("https://finance.yahoo.com/quote/EVR","EVR")</f>
        <v/>
      </c>
      <c r="B980" t="inlineStr">
        <is>
          <t>Evercore Inc.</t>
        </is>
      </c>
      <c r="C980" t="inlineStr">
        <is>
          <t>NYSE</t>
        </is>
      </c>
      <c r="D980" t="n">
        <v>1360901</v>
      </c>
      <c r="E980" t="inlineStr">
        <is>
          <t>SEC</t>
        </is>
      </c>
    </row>
    <row r="981">
      <c r="A981" s="5">
        <f>HYPERLINK("https://finance.yahoo.com/quote/ZION","ZION")</f>
        <v/>
      </c>
      <c r="B981" t="inlineStr">
        <is>
          <t>ZIONS BANCORPORATION, NATIONAL ASSOCIATION /UT/</t>
        </is>
      </c>
      <c r="C981" t="inlineStr">
        <is>
          <t>Nasdaq</t>
        </is>
      </c>
      <c r="D981" t="n">
        <v>109380</v>
      </c>
      <c r="E981" t="inlineStr">
        <is>
          <t>SEC</t>
        </is>
      </c>
    </row>
    <row r="982">
      <c r="A982" s="5">
        <f>HYPERLINK("https://finance.yahoo.com/quote/OSCR","OSCR")</f>
        <v/>
      </c>
      <c r="B982" t="inlineStr">
        <is>
          <t>Oscar Health, Inc.</t>
        </is>
      </c>
      <c r="C982" t="inlineStr">
        <is>
          <t>NYSE</t>
        </is>
      </c>
      <c r="D982" t="n">
        <v>1568651</v>
      </c>
      <c r="E982" t="inlineStr">
        <is>
          <t>SEC</t>
        </is>
      </c>
    </row>
    <row r="983">
      <c r="A983" s="5">
        <f>HYPERLINK("https://finance.yahoo.com/quote/PCVX","PCVX")</f>
        <v/>
      </c>
      <c r="B983" t="inlineStr">
        <is>
          <t>Vaxcyte, Inc.</t>
        </is>
      </c>
      <c r="C983" t="inlineStr">
        <is>
          <t>Nasdaq</t>
        </is>
      </c>
      <c r="D983" t="n">
        <v>1649094</v>
      </c>
      <c r="E983" t="inlineStr">
        <is>
          <t>SEC</t>
        </is>
      </c>
    </row>
    <row r="984">
      <c r="A984" s="5">
        <f>HYPERLINK("https://finance.yahoo.com/quote/PCOR","PCOR")</f>
        <v/>
      </c>
      <c r="B984" t="inlineStr">
        <is>
          <t>PROCORE TECHNOLOGIES, INC.</t>
        </is>
      </c>
      <c r="C984" t="inlineStr">
        <is>
          <t>NYSE</t>
        </is>
      </c>
      <c r="D984" t="n">
        <v>1611052</v>
      </c>
      <c r="E984" t="inlineStr">
        <is>
          <t>SEC</t>
        </is>
      </c>
    </row>
    <row r="985">
      <c r="A985" s="5">
        <f>HYPERLINK("https://finance.yahoo.com/quote/ONB","ONB")</f>
        <v/>
      </c>
      <c r="B985" t="inlineStr">
        <is>
          <t>OLD NATIONAL BANCORP /IN/</t>
        </is>
      </c>
      <c r="C985" t="inlineStr">
        <is>
          <t>Nasdaq</t>
        </is>
      </c>
      <c r="D985" t="n">
        <v>707179</v>
      </c>
      <c r="E985" t="inlineStr">
        <is>
          <t>SEC</t>
        </is>
      </c>
    </row>
    <row r="986">
      <c r="A986" s="5">
        <f>HYPERLINK("https://finance.yahoo.com/quote/ENLT","ENLT")</f>
        <v/>
      </c>
      <c r="B986" t="inlineStr">
        <is>
          <t>Enlight Renewable Energy Ltd.</t>
        </is>
      </c>
      <c r="C986" t="inlineStr">
        <is>
          <t>Nasdaq</t>
        </is>
      </c>
      <c r="D986" t="n">
        <v>1922641</v>
      </c>
      <c r="E986" t="inlineStr">
        <is>
          <t>SEC</t>
        </is>
      </c>
    </row>
    <row r="987">
      <c r="A987" s="5">
        <f>HYPERLINK("https://finance.yahoo.com/quote/SM","SM")</f>
        <v/>
      </c>
      <c r="B987" t="inlineStr">
        <is>
          <t>SM Energy Co</t>
        </is>
      </c>
      <c r="C987" t="inlineStr">
        <is>
          <t>NYSE</t>
        </is>
      </c>
      <c r="D987" t="n">
        <v>893538</v>
      </c>
      <c r="E987" t="inlineStr">
        <is>
          <t>SEC</t>
        </is>
      </c>
    </row>
    <row r="988">
      <c r="A988" s="5">
        <f>HYPERLINK("https://finance.yahoo.com/quote/HSIC","HSIC")</f>
        <v/>
      </c>
      <c r="B988" t="inlineStr">
        <is>
          <t>HENRY SCHEIN INC</t>
        </is>
      </c>
      <c r="C988" t="inlineStr">
        <is>
          <t>Nasdaq</t>
        </is>
      </c>
      <c r="D988" t="n">
        <v>1000228</v>
      </c>
      <c r="E988" t="inlineStr">
        <is>
          <t>SEC</t>
        </is>
      </c>
    </row>
    <row r="989">
      <c r="A989" s="5">
        <f>HYPERLINK("https://finance.yahoo.com/quote/KNTK","KNTK")</f>
        <v/>
      </c>
      <c r="B989" t="inlineStr">
        <is>
          <t>Kinetik Holdings Inc.</t>
        </is>
      </c>
      <c r="C989" t="inlineStr">
        <is>
          <t>NYSE</t>
        </is>
      </c>
      <c r="D989" t="n">
        <v>1692787</v>
      </c>
      <c r="E989" t="inlineStr">
        <is>
          <t>SEC</t>
        </is>
      </c>
    </row>
    <row r="990">
      <c r="A990" s="5">
        <f>HYPERLINK("https://finance.yahoo.com/quote/FRT","FRT")</f>
        <v/>
      </c>
      <c r="B990" t="inlineStr">
        <is>
          <t>FEDERAL REALTY INVESTMENT TRUST</t>
        </is>
      </c>
      <c r="C990" t="inlineStr">
        <is>
          <t>NYSE</t>
        </is>
      </c>
      <c r="D990" t="n">
        <v>34903</v>
      </c>
      <c r="E990" t="inlineStr">
        <is>
          <t>SEC</t>
        </is>
      </c>
    </row>
    <row r="991">
      <c r="A991" s="5">
        <f>HYPERLINK("https://finance.yahoo.com/quote/AYI","AYI")</f>
        <v/>
      </c>
      <c r="B991" t="inlineStr">
        <is>
          <t>ACUITY INC. (DE)</t>
        </is>
      </c>
      <c r="C991" t="inlineStr">
        <is>
          <t>NYSE</t>
        </is>
      </c>
      <c r="D991" t="n">
        <v>1144215</v>
      </c>
      <c r="E991" t="inlineStr">
        <is>
          <t>SEC</t>
        </is>
      </c>
    </row>
    <row r="992">
      <c r="A992" s="5">
        <f>HYPERLINK("https://finance.yahoo.com/quote/GTLB","GTLB")</f>
        <v/>
      </c>
      <c r="B992" t="inlineStr">
        <is>
          <t>Gitlab Inc.</t>
        </is>
      </c>
      <c r="C992" t="inlineStr">
        <is>
          <t>Nasdaq</t>
        </is>
      </c>
      <c r="D992" t="n">
        <v>1653482</v>
      </c>
      <c r="E992" t="inlineStr">
        <is>
          <t>SEC</t>
        </is>
      </c>
    </row>
    <row r="993">
      <c r="A993" s="5">
        <f>HYPERLINK("https://finance.yahoo.com/quote/RMBS","RMBS")</f>
        <v/>
      </c>
      <c r="B993" t="inlineStr">
        <is>
          <t>RAMBUS INC</t>
        </is>
      </c>
      <c r="C993" t="inlineStr">
        <is>
          <t>Nasdaq</t>
        </is>
      </c>
      <c r="D993" t="n">
        <v>917273</v>
      </c>
      <c r="E993" t="inlineStr">
        <is>
          <t>SEC</t>
        </is>
      </c>
    </row>
    <row r="994">
      <c r="A994" s="5">
        <f>HYPERLINK("https://finance.yahoo.com/quote/SOLS","SOLS")</f>
        <v/>
      </c>
      <c r="B994" t="inlineStr">
        <is>
          <t>Solstice Advanced Materials Inc.</t>
        </is>
      </c>
      <c r="C994" t="inlineStr">
        <is>
          <t>Nasdaq</t>
        </is>
      </c>
      <c r="D994" t="n">
        <v>2064953</v>
      </c>
      <c r="E994" t="inlineStr">
        <is>
          <t>SEC</t>
        </is>
      </c>
    </row>
    <row r="995">
      <c r="A995" s="5">
        <f>HYPERLINK("https://finance.yahoo.com/quote/TTEK","TTEK")</f>
        <v/>
      </c>
      <c r="B995" t="inlineStr">
        <is>
          <t>TETRA TECH INC</t>
        </is>
      </c>
      <c r="C995" t="inlineStr">
        <is>
          <t>Nasdaq</t>
        </is>
      </c>
      <c r="D995" t="n">
        <v>831641</v>
      </c>
      <c r="E995" t="inlineStr">
        <is>
          <t>SEC</t>
        </is>
      </c>
    </row>
    <row r="996">
      <c r="A996" s="5">
        <f>HYPERLINK("https://finance.yahoo.com/quote/DLAKY","DLAKY")</f>
        <v/>
      </c>
      <c r="B996" t="inlineStr">
        <is>
          <t>DEUTSCHE LUFTHANSA A G /FI</t>
        </is>
      </c>
      <c r="C996" t="inlineStr">
        <is>
          <t>OTC</t>
        </is>
      </c>
      <c r="D996" t="n">
        <v>1049724</v>
      </c>
      <c r="E996" t="inlineStr">
        <is>
          <t>SEC</t>
        </is>
      </c>
    </row>
    <row r="997">
      <c r="A997" s="5">
        <f>HYPERLINK("https://finance.yahoo.com/quote/MSGS","MSGS")</f>
        <v/>
      </c>
      <c r="B997" t="inlineStr">
        <is>
          <t>Madison Square Garden Sports Corp.</t>
        </is>
      </c>
      <c r="C997" t="inlineStr">
        <is>
          <t>NYSE</t>
        </is>
      </c>
      <c r="D997" t="n">
        <v>1636519</v>
      </c>
      <c r="E997" t="inlineStr">
        <is>
          <t>SEC</t>
        </is>
      </c>
    </row>
    <row r="998">
      <c r="A998" s="5">
        <f>HYPERLINK("https://finance.yahoo.com/quote/ORI","ORI")</f>
        <v/>
      </c>
      <c r="B998" t="inlineStr">
        <is>
          <t>OLD REPUBLIC INTERNATIONAL CORP</t>
        </is>
      </c>
      <c r="C998" t="inlineStr">
        <is>
          <t>NYSE</t>
        </is>
      </c>
      <c r="D998" t="n">
        <v>74260</v>
      </c>
      <c r="E998" t="inlineStr">
        <is>
          <t>SEC</t>
        </is>
      </c>
    </row>
    <row r="999">
      <c r="A999" s="5">
        <f>HYPERLINK("https://finance.yahoo.com/quote/CGNX","CGNX")</f>
        <v/>
      </c>
      <c r="B999" t="inlineStr">
        <is>
          <t>COGNEX CORP</t>
        </is>
      </c>
      <c r="C999" t="inlineStr">
        <is>
          <t>Nasdaq</t>
        </is>
      </c>
      <c r="D999" t="n">
        <v>851205</v>
      </c>
      <c r="E999" t="inlineStr">
        <is>
          <t>SEC</t>
        </is>
      </c>
    </row>
    <row r="1000">
      <c r="A1000" s="5">
        <f>HYPERLINK("https://finance.yahoo.com/quote/HL","HL")</f>
        <v/>
      </c>
      <c r="B1000" t="inlineStr">
        <is>
          <t>HECLA MINING CO/DE/</t>
        </is>
      </c>
      <c r="C1000" t="inlineStr">
        <is>
          <t>NYSE</t>
        </is>
      </c>
      <c r="D1000" t="n">
        <v>719413</v>
      </c>
      <c r="E1000" t="inlineStr">
        <is>
          <t>SEC</t>
        </is>
      </c>
    </row>
    <row r="1001">
      <c r="A1001" s="5">
        <f>HYPERLINK("https://finance.yahoo.com/quote/IAG","IAG")</f>
        <v/>
      </c>
      <c r="B1001" t="inlineStr">
        <is>
          <t>IAMGOLD CORP</t>
        </is>
      </c>
      <c r="C1001" t="inlineStr">
        <is>
          <t>NYSE</t>
        </is>
      </c>
      <c r="D1001" t="n">
        <v>1203464</v>
      </c>
      <c r="E1001" t="inlineStr">
        <is>
          <t>SEC</t>
        </is>
      </c>
    </row>
    <row r="1002">
      <c r="A1002" s="5">
        <f>HYPERLINK("https://finance.yahoo.com/quote/CORT","CORT")</f>
        <v/>
      </c>
      <c r="B1002" t="inlineStr">
        <is>
          <t>CORCEPT THERAPEUTICS INC</t>
        </is>
      </c>
      <c r="C1002" t="inlineStr">
        <is>
          <t>Nasdaq</t>
        </is>
      </c>
      <c r="D1002" t="n">
        <v>1088856</v>
      </c>
      <c r="E1002" t="inlineStr">
        <is>
          <t>SEC</t>
        </is>
      </c>
    </row>
    <row r="1003">
      <c r="A1003" s="5">
        <f>HYPERLINK("https://finance.yahoo.com/quote/LKNCY","LKNCY")</f>
        <v/>
      </c>
      <c r="B1003" t="inlineStr">
        <is>
          <t>Luckin Coffee Inc.</t>
        </is>
      </c>
      <c r="C1003" t="inlineStr">
        <is>
          <t>OTC</t>
        </is>
      </c>
      <c r="D1003" t="n">
        <v>1767582</v>
      </c>
      <c r="E1003" t="inlineStr">
        <is>
          <t>SEC</t>
        </is>
      </c>
    </row>
    <row r="1004">
      <c r="A1004" s="5">
        <f>HYPERLINK("https://finance.yahoo.com/quote/LTH","LTH")</f>
        <v/>
      </c>
      <c r="B1004" t="inlineStr">
        <is>
          <t>Life Time Group Holdings, Inc.</t>
        </is>
      </c>
      <c r="C1004" t="inlineStr">
        <is>
          <t>NYSE</t>
        </is>
      </c>
      <c r="D1004" t="n">
        <v>1869198</v>
      </c>
      <c r="E1004" t="inlineStr">
        <is>
          <t>SEC</t>
        </is>
      </c>
    </row>
    <row r="1005">
      <c r="A1005" s="5">
        <f>HYPERLINK("https://finance.yahoo.com/quote/BAH","BAH")</f>
        <v/>
      </c>
      <c r="B1005" t="inlineStr">
        <is>
          <t>Booz Allen Hamilton Holding Corp</t>
        </is>
      </c>
      <c r="C1005" t="inlineStr">
        <is>
          <t>NYSE</t>
        </is>
      </c>
      <c r="D1005" t="n">
        <v>1443646</v>
      </c>
      <c r="E1005" t="inlineStr">
        <is>
          <t>SEC</t>
        </is>
      </c>
    </row>
    <row r="1006">
      <c r="A1006" s="5">
        <f>HYPERLINK("https://finance.yahoo.com/quote/SIRI","SIRI")</f>
        <v/>
      </c>
      <c r="B1006" t="inlineStr">
        <is>
          <t>SIRIUS XM HOLDINGS INC.</t>
        </is>
      </c>
      <c r="C1006" t="inlineStr">
        <is>
          <t>Nasdaq</t>
        </is>
      </c>
      <c r="D1006" t="n">
        <v>908937</v>
      </c>
      <c r="E1006" t="inlineStr">
        <is>
          <t>SEC</t>
        </is>
      </c>
    </row>
    <row r="1007">
      <c r="A1007" s="5">
        <f>HYPERLINK("https://finance.yahoo.com/quote/TFII","TFII")</f>
        <v/>
      </c>
      <c r="B1007" t="inlineStr">
        <is>
          <t>TFI International Inc.</t>
        </is>
      </c>
      <c r="C1007" t="inlineStr">
        <is>
          <t>NYSE</t>
        </is>
      </c>
      <c r="D1007" t="n">
        <v>1588823</v>
      </c>
      <c r="E1007" t="inlineStr">
        <is>
          <t>SEC</t>
        </is>
      </c>
    </row>
    <row r="1008">
      <c r="A1008" s="5">
        <f>HYPERLINK("https://finance.yahoo.com/quote/TXG","TXG")</f>
        <v/>
      </c>
      <c r="B1008" t="inlineStr">
        <is>
          <t>10x Genomics, Inc.</t>
        </is>
      </c>
      <c r="C1008" t="inlineStr">
        <is>
          <t>Nasdaq</t>
        </is>
      </c>
      <c r="D1008" t="n">
        <v>1770787</v>
      </c>
      <c r="E1008" t="inlineStr">
        <is>
          <t>SEC</t>
        </is>
      </c>
    </row>
    <row r="1009">
      <c r="A1009" s="5">
        <f>HYPERLINK("https://finance.yahoo.com/quote/KRYS","KRYS")</f>
        <v/>
      </c>
      <c r="B1009" t="inlineStr">
        <is>
          <t>Krystal Biotech, Inc.</t>
        </is>
      </c>
      <c r="C1009" t="inlineStr">
        <is>
          <t>Nasdaq</t>
        </is>
      </c>
      <c r="D1009" t="n">
        <v>1711279</v>
      </c>
      <c r="E1009" t="inlineStr">
        <is>
          <t>SEC</t>
        </is>
      </c>
    </row>
    <row r="1010">
      <c r="A1010" s="5">
        <f>HYPERLINK("https://finance.yahoo.com/quote/PCTY","PCTY")</f>
        <v/>
      </c>
      <c r="B1010" t="inlineStr">
        <is>
          <t>Paylocity Holding Corp</t>
        </is>
      </c>
      <c r="C1010" t="inlineStr">
        <is>
          <t>Nasdaq</t>
        </is>
      </c>
      <c r="D1010" t="n">
        <v>1591698</v>
      </c>
      <c r="E1010" t="inlineStr">
        <is>
          <t>SEC</t>
        </is>
      </c>
    </row>
    <row r="1011">
      <c r="A1011" s="5">
        <f>HYPERLINK("https://finance.yahoo.com/quote/PNDRY","PNDRY")</f>
        <v/>
      </c>
      <c r="B1011" t="inlineStr">
        <is>
          <t>Pandora A/S / ADR</t>
        </is>
      </c>
      <c r="C1011" t="inlineStr">
        <is>
          <t>OTC</t>
        </is>
      </c>
      <c r="D1011" t="n">
        <v>1505880</v>
      </c>
      <c r="E1011" t="inlineStr">
        <is>
          <t>SEC</t>
        </is>
      </c>
    </row>
    <row r="1012">
      <c r="A1012" s="5">
        <f>HYPERLINK("https://finance.yahoo.com/quote/DRS","DRS")</f>
        <v/>
      </c>
      <c r="B1012" t="inlineStr">
        <is>
          <t>Leonardo DRS, Inc.</t>
        </is>
      </c>
      <c r="C1012" t="inlineStr">
        <is>
          <t>Nasdaq</t>
        </is>
      </c>
      <c r="D1012" t="n">
        <v>1833756</v>
      </c>
      <c r="E1012" t="inlineStr">
        <is>
          <t>SEC</t>
        </is>
      </c>
    </row>
    <row r="1013">
      <c r="A1013" s="5">
        <f>HYPERLINK("https://finance.yahoo.com/quote/TWST","TWST")</f>
        <v/>
      </c>
      <c r="B1013" t="inlineStr">
        <is>
          <t>Twist Bioscience Corp</t>
        </is>
      </c>
      <c r="C1013" t="inlineStr">
        <is>
          <t>Nasdaq</t>
        </is>
      </c>
      <c r="D1013" t="n">
        <v>1581280</v>
      </c>
      <c r="E1013" t="inlineStr">
        <is>
          <t>SEC</t>
        </is>
      </c>
    </row>
    <row r="1014">
      <c r="A1014" s="5">
        <f>HYPERLINK("https://finance.yahoo.com/quote/AZBLY","AZBLY")</f>
        <v/>
      </c>
      <c r="B1014" t="inlineStr">
        <is>
          <t>Azbil Corporation/ADR</t>
        </is>
      </c>
      <c r="C1014" t="inlineStr">
        <is>
          <t>OTC</t>
        </is>
      </c>
      <c r="D1014" t="n">
        <v>2108185</v>
      </c>
      <c r="E1014" t="inlineStr">
        <is>
          <t>SEC</t>
        </is>
      </c>
    </row>
    <row r="1015">
      <c r="A1015" s="5">
        <f>HYPERLINK("https://finance.yahoo.com/quote/HLI","HLI")</f>
        <v/>
      </c>
      <c r="B1015" t="inlineStr">
        <is>
          <t>HOULIHAN LOKEY, INC.</t>
        </is>
      </c>
      <c r="C1015" t="inlineStr">
        <is>
          <t>NYSE</t>
        </is>
      </c>
      <c r="D1015" t="n">
        <v>1302215</v>
      </c>
      <c r="E1015" t="inlineStr">
        <is>
          <t>SEC</t>
        </is>
      </c>
    </row>
    <row r="1016">
      <c r="A1016" s="5">
        <f>HYPERLINK("https://finance.yahoo.com/quote/IESC","IESC")</f>
        <v/>
      </c>
      <c r="B1016" t="inlineStr">
        <is>
          <t>IES Holdings, Inc.</t>
        </is>
      </c>
      <c r="C1016" t="inlineStr">
        <is>
          <t>Nasdaq</t>
        </is>
      </c>
      <c r="D1016" t="n">
        <v>1048268</v>
      </c>
      <c r="E1016" t="inlineStr">
        <is>
          <t>SEC</t>
        </is>
      </c>
    </row>
    <row r="1017">
      <c r="A1017" s="5">
        <f>HYPERLINK("https://finance.yahoo.com/quote/KYMR","KYMR")</f>
        <v/>
      </c>
      <c r="B1017" t="inlineStr">
        <is>
          <t>Kymera Therapeutics, Inc.</t>
        </is>
      </c>
      <c r="C1017" t="inlineStr">
        <is>
          <t>Nasdaq</t>
        </is>
      </c>
      <c r="D1017" t="n">
        <v>1815442</v>
      </c>
      <c r="E1017" t="inlineStr">
        <is>
          <t>SEC</t>
        </is>
      </c>
    </row>
    <row r="1018">
      <c r="A1018" s="5">
        <f>HYPERLINK("https://finance.yahoo.com/quote/TIMB","TIMB")</f>
        <v/>
      </c>
      <c r="B1018" t="inlineStr">
        <is>
          <t>TIM S.A.</t>
        </is>
      </c>
      <c r="C1018" t="inlineStr">
        <is>
          <t>NYSE</t>
        </is>
      </c>
      <c r="D1018" t="n">
        <v>1826168</v>
      </c>
      <c r="E1018" t="inlineStr">
        <is>
          <t>SEC</t>
        </is>
      </c>
    </row>
    <row r="1019">
      <c r="A1019" s="5">
        <f>HYPERLINK("https://finance.yahoo.com/quote/OC","OC")</f>
        <v/>
      </c>
      <c r="B1019" t="inlineStr">
        <is>
          <t>Owens Corning</t>
        </is>
      </c>
      <c r="C1019" t="inlineStr">
        <is>
          <t>NYSE</t>
        </is>
      </c>
      <c r="D1019" t="n">
        <v>1370946</v>
      </c>
      <c r="E1019" t="inlineStr">
        <is>
          <t>SEC</t>
        </is>
      </c>
    </row>
    <row r="1020">
      <c r="A1020" s="5">
        <f>HYPERLINK("https://finance.yahoo.com/quote/EDU","EDU")</f>
        <v/>
      </c>
      <c r="B1020" t="inlineStr">
        <is>
          <t>New Oriental Education &amp; Technology Group Inc.</t>
        </is>
      </c>
      <c r="C1020" t="inlineStr">
        <is>
          <t>NYSE</t>
        </is>
      </c>
      <c r="D1020" t="n">
        <v>1372920</v>
      </c>
      <c r="E1020" t="inlineStr">
        <is>
          <t>SEC</t>
        </is>
      </c>
    </row>
    <row r="1021">
      <c r="A1021" s="5">
        <f>HYPERLINK("https://finance.yahoo.com/quote/CUBE","CUBE")</f>
        <v/>
      </c>
      <c r="B1021" t="inlineStr">
        <is>
          <t>CubeSmart</t>
        </is>
      </c>
      <c r="C1021" t="inlineStr">
        <is>
          <t>NYSE</t>
        </is>
      </c>
      <c r="D1021" t="n">
        <v>1298675</v>
      </c>
      <c r="E1021" t="inlineStr">
        <is>
          <t>SEC</t>
        </is>
      </c>
    </row>
    <row r="1022">
      <c r="A1022" s="5">
        <f>HYPERLINK("https://finance.yahoo.com/quote/PBF","PBF")</f>
        <v/>
      </c>
      <c r="B1022" t="inlineStr">
        <is>
          <t>PBF Energy Inc.</t>
        </is>
      </c>
      <c r="C1022" t="inlineStr">
        <is>
          <t>NYSE</t>
        </is>
      </c>
      <c r="D1022" t="n">
        <v>1534504</v>
      </c>
      <c r="E1022" t="inlineStr">
        <is>
          <t>SEC</t>
        </is>
      </c>
    </row>
    <row r="1023">
      <c r="A1023" s="5">
        <f>HYPERLINK("https://finance.yahoo.com/quote/CAI","CAI")</f>
        <v/>
      </c>
      <c r="B1023" t="inlineStr">
        <is>
          <t>Caris Life Sciences, Inc.</t>
        </is>
      </c>
      <c r="C1023" t="inlineStr">
        <is>
          <t>Nasdaq</t>
        </is>
      </c>
      <c r="D1023" t="n">
        <v>2019410</v>
      </c>
      <c r="E1023" t="inlineStr">
        <is>
          <t>SEC</t>
        </is>
      </c>
    </row>
    <row r="1024">
      <c r="A1024" s="5">
        <f>HYPERLINK("https://finance.yahoo.com/quote/RHP","RHP")</f>
        <v/>
      </c>
      <c r="B1024" t="inlineStr">
        <is>
          <t>Ryman Hospitality Properties, Inc.</t>
        </is>
      </c>
      <c r="C1024" t="inlineStr">
        <is>
          <t>NYSE</t>
        </is>
      </c>
      <c r="D1024" t="n">
        <v>1040829</v>
      </c>
      <c r="E1024" t="inlineStr">
        <is>
          <t>SEC</t>
        </is>
      </c>
    </row>
    <row r="1025">
      <c r="A1025" s="5">
        <f>HYPERLINK("https://finance.yahoo.com/quote/LFUS","LFUS")</f>
        <v/>
      </c>
      <c r="B1025" t="inlineStr">
        <is>
          <t>LITTELFUSE INC /DE</t>
        </is>
      </c>
      <c r="C1025" t="inlineStr">
        <is>
          <t>Nasdaq</t>
        </is>
      </c>
      <c r="D1025" t="n">
        <v>889331</v>
      </c>
      <c r="E1025" t="inlineStr">
        <is>
          <t>SEC</t>
        </is>
      </c>
    </row>
    <row r="1026">
      <c r="A1026" s="5">
        <f>HYPERLINK("https://finance.yahoo.com/quote/HNGE","HNGE")</f>
        <v/>
      </c>
      <c r="B1026" t="inlineStr">
        <is>
          <t>Hinge Health, Inc.</t>
        </is>
      </c>
      <c r="C1026" t="inlineStr">
        <is>
          <t>NYSE</t>
        </is>
      </c>
      <c r="D1026" t="n">
        <v>1673743</v>
      </c>
      <c r="E1026" t="inlineStr">
        <is>
          <t>SEC</t>
        </is>
      </c>
    </row>
    <row r="1027">
      <c r="A1027" s="5">
        <f>HYPERLINK("https://finance.yahoo.com/quote/PTGX","PTGX")</f>
        <v/>
      </c>
      <c r="B1027" t="inlineStr">
        <is>
          <t>Protagonist Therapeutics, Inc</t>
        </is>
      </c>
      <c r="C1027" t="inlineStr">
        <is>
          <t>Nasdaq</t>
        </is>
      </c>
      <c r="D1027" t="n">
        <v>1377121</v>
      </c>
      <c r="E1027" t="inlineStr">
        <is>
          <t>SEC</t>
        </is>
      </c>
    </row>
    <row r="1028">
      <c r="A1028" s="5">
        <f>HYPERLINK("https://finance.yahoo.com/quote/DAR","DAR")</f>
        <v/>
      </c>
      <c r="B1028" t="inlineStr">
        <is>
          <t>DARLING INGREDIENTS INC.</t>
        </is>
      </c>
      <c r="C1028" t="inlineStr">
        <is>
          <t>NYSE</t>
        </is>
      </c>
      <c r="D1028" t="n">
        <v>916540</v>
      </c>
      <c r="E1028" t="inlineStr">
        <is>
          <t>SEC</t>
        </is>
      </c>
    </row>
    <row r="1029">
      <c r="A1029" s="5">
        <f>HYPERLINK("https://finance.yahoo.com/quote/LLYVA","LLYVA")</f>
        <v/>
      </c>
      <c r="B1029" t="inlineStr">
        <is>
          <t>Liberty Live Holdings, Inc.</t>
        </is>
      </c>
      <c r="C1029" t="inlineStr">
        <is>
          <t>Nasdaq</t>
        </is>
      </c>
      <c r="D1029" t="n">
        <v>2078416</v>
      </c>
      <c r="E1029" t="inlineStr">
        <is>
          <t>SEC</t>
        </is>
      </c>
    </row>
    <row r="1030">
      <c r="A1030" s="5">
        <f>HYPERLINK("https://finance.yahoo.com/quote/APTV","APTV")</f>
        <v/>
      </c>
      <c r="B1030" t="inlineStr">
        <is>
          <t>Aptiv PLC</t>
        </is>
      </c>
      <c r="C1030" t="inlineStr">
        <is>
          <t>NYSE</t>
        </is>
      </c>
      <c r="D1030" t="n">
        <v>1521332</v>
      </c>
      <c r="E1030" t="inlineStr">
        <is>
          <t>SEC</t>
        </is>
      </c>
    </row>
    <row r="1031">
      <c r="A1031" s="5">
        <f>HYPERLINK("https://finance.yahoo.com/quote/XPEV","XPEV")</f>
        <v/>
      </c>
      <c r="B1031" t="inlineStr">
        <is>
          <t>XPENG INC.</t>
        </is>
      </c>
      <c r="C1031" t="inlineStr">
        <is>
          <t>NYSE</t>
        </is>
      </c>
      <c r="D1031" t="n">
        <v>1810997</v>
      </c>
      <c r="E1031" t="inlineStr">
        <is>
          <t>SEC</t>
        </is>
      </c>
    </row>
    <row r="1032">
      <c r="A1032" s="5">
        <f>HYPERLINK("https://finance.yahoo.com/quote/SAIA","SAIA")</f>
        <v/>
      </c>
      <c r="B1032" t="inlineStr">
        <is>
          <t>SAIA INC</t>
        </is>
      </c>
      <c r="C1032" t="inlineStr">
        <is>
          <t>Nasdaq</t>
        </is>
      </c>
      <c r="D1032" t="n">
        <v>1177702</v>
      </c>
      <c r="E1032" t="inlineStr">
        <is>
          <t>SEC</t>
        </is>
      </c>
    </row>
    <row r="1033">
      <c r="A1033" s="5">
        <f>HYPERLINK("https://finance.yahoo.com/quote/PNR","PNR")</f>
        <v/>
      </c>
      <c r="B1033" t="inlineStr">
        <is>
          <t>PENTAIR plc</t>
        </is>
      </c>
      <c r="C1033" t="inlineStr">
        <is>
          <t>NYSE</t>
        </is>
      </c>
      <c r="D1033" t="n">
        <v>77360</v>
      </c>
      <c r="E1033" t="inlineStr">
        <is>
          <t>SEC</t>
        </is>
      </c>
    </row>
    <row r="1034">
      <c r="A1034" s="5">
        <f>HYPERLINK("https://finance.yahoo.com/quote/ALSN","ALSN")</f>
        <v/>
      </c>
      <c r="B1034" t="inlineStr">
        <is>
          <t>Allison Transmission Holdings Inc</t>
        </is>
      </c>
      <c r="C1034" t="inlineStr">
        <is>
          <t>NYSE</t>
        </is>
      </c>
      <c r="D1034" t="n">
        <v>1411207</v>
      </c>
      <c r="E1034" t="inlineStr">
        <is>
          <t>SEC</t>
        </is>
      </c>
    </row>
    <row r="1035">
      <c r="A1035" s="5">
        <f>HYPERLINK("https://finance.yahoo.com/quote/LINE","LINE")</f>
        <v/>
      </c>
      <c r="B1035" t="inlineStr">
        <is>
          <t>Lineage, Inc.</t>
        </is>
      </c>
      <c r="C1035" t="inlineStr">
        <is>
          <t>Nasdaq</t>
        </is>
      </c>
      <c r="D1035" t="n">
        <v>1868159</v>
      </c>
      <c r="E1035" t="inlineStr">
        <is>
          <t>SEC</t>
        </is>
      </c>
    </row>
    <row r="1036">
      <c r="A1036" s="5">
        <f>HYPERLINK("https://finance.yahoo.com/quote/JXN","JXN")</f>
        <v/>
      </c>
      <c r="B1036" t="inlineStr">
        <is>
          <t>Jackson Financial Inc.</t>
        </is>
      </c>
      <c r="C1036" t="inlineStr">
        <is>
          <t>NYSE</t>
        </is>
      </c>
      <c r="D1036" t="n">
        <v>1822993</v>
      </c>
      <c r="E1036" t="inlineStr">
        <is>
          <t>SEC</t>
        </is>
      </c>
    </row>
    <row r="1037">
      <c r="A1037" s="5">
        <f>HYPERLINK("https://finance.yahoo.com/quote/REXR","REXR")</f>
        <v/>
      </c>
      <c r="B1037" t="inlineStr">
        <is>
          <t>Rexford Industrial Realty, Inc.</t>
        </is>
      </c>
      <c r="C1037" t="inlineStr">
        <is>
          <t>NYSE</t>
        </is>
      </c>
      <c r="D1037" t="n">
        <v>1571283</v>
      </c>
      <c r="E1037" t="inlineStr">
        <is>
          <t>SEC</t>
        </is>
      </c>
    </row>
    <row r="1038">
      <c r="A1038" s="5">
        <f>HYPERLINK("https://finance.yahoo.com/quote/WEGRY","WEGRY")</f>
        <v/>
      </c>
      <c r="B1038" t="inlineStr">
        <is>
          <t>Weir Group PLC/ADR</t>
        </is>
      </c>
      <c r="C1038" t="inlineStr">
        <is>
          <t>OTC</t>
        </is>
      </c>
      <c r="D1038" t="n">
        <v>1540042</v>
      </c>
      <c r="E1038" t="inlineStr">
        <is>
          <t>SEC</t>
        </is>
      </c>
    </row>
    <row r="1039">
      <c r="A1039" s="5">
        <f>HYPERLINK("https://finance.yahoo.com/quote/COLB","COLB")</f>
        <v/>
      </c>
      <c r="B1039" t="inlineStr">
        <is>
          <t>COLUMBIA BANKING SYSTEM, INC.</t>
        </is>
      </c>
      <c r="C1039" t="inlineStr">
        <is>
          <t>Nasdaq</t>
        </is>
      </c>
      <c r="D1039" t="n">
        <v>887343</v>
      </c>
      <c r="E1039" t="inlineStr">
        <is>
          <t>SEC</t>
        </is>
      </c>
    </row>
    <row r="1040">
      <c r="A1040" s="5">
        <f>HYPERLINK("https://finance.yahoo.com/quote/AEIS","AEIS")</f>
        <v/>
      </c>
      <c r="B1040" t="inlineStr">
        <is>
          <t>ADVANCED ENERGY INDUSTRIES INC</t>
        </is>
      </c>
      <c r="C1040" t="inlineStr">
        <is>
          <t>Nasdaq</t>
        </is>
      </c>
      <c r="D1040" t="n">
        <v>927003</v>
      </c>
      <c r="E1040" t="inlineStr">
        <is>
          <t>SEC</t>
        </is>
      </c>
    </row>
    <row r="1041">
      <c r="A1041" s="5">
        <f>HYPERLINK("https://finance.yahoo.com/quote/IBRX","IBRX")</f>
        <v/>
      </c>
      <c r="B1041" t="inlineStr">
        <is>
          <t>ImmunityBio, Inc.</t>
        </is>
      </c>
      <c r="C1041" t="inlineStr">
        <is>
          <t>Nasdaq</t>
        </is>
      </c>
      <c r="D1041" t="n">
        <v>1326110</v>
      </c>
      <c r="E1041" t="inlineStr">
        <is>
          <t>SEC</t>
        </is>
      </c>
    </row>
    <row r="1042">
      <c r="A1042" s="5">
        <f>HYPERLINK("https://finance.yahoo.com/quote/CHWY","CHWY")</f>
        <v/>
      </c>
      <c r="B1042" t="inlineStr">
        <is>
          <t>Chewy, Inc.</t>
        </is>
      </c>
      <c r="C1042" t="inlineStr">
        <is>
          <t>NYSE</t>
        </is>
      </c>
      <c r="D1042" t="n">
        <v>1766502</v>
      </c>
      <c r="E1042" t="inlineStr">
        <is>
          <t>SEC</t>
        </is>
      </c>
    </row>
    <row r="1043">
      <c r="A1043" s="5">
        <f>HYPERLINK("https://finance.yahoo.com/quote/GLXY","GLXY")</f>
        <v/>
      </c>
      <c r="B1043" t="inlineStr">
        <is>
          <t>Galaxy Digital Inc.</t>
        </is>
      </c>
      <c r="C1043" t="inlineStr">
        <is>
          <t>Nasdaq</t>
        </is>
      </c>
      <c r="D1043" t="n">
        <v>1859392</v>
      </c>
      <c r="E1043" t="inlineStr">
        <is>
          <t>SEC</t>
        </is>
      </c>
    </row>
    <row r="1044">
      <c r="A1044" s="5">
        <f>HYPERLINK("https://finance.yahoo.com/quote/JAN","JAN")</f>
        <v/>
      </c>
      <c r="B1044" t="inlineStr">
        <is>
          <t>Janus Living, Inc.</t>
        </is>
      </c>
      <c r="C1044" t="inlineStr">
        <is>
          <t>NYSE</t>
        </is>
      </c>
      <c r="D1044" t="n">
        <v>2100805</v>
      </c>
      <c r="E1044" t="inlineStr">
        <is>
          <t>SEC</t>
        </is>
      </c>
    </row>
    <row r="1045">
      <c r="A1045" s="5">
        <f>HYPERLINK("https://finance.yahoo.com/quote/BRKR","BRKR")</f>
        <v/>
      </c>
      <c r="B1045" t="inlineStr">
        <is>
          <t>BRUKER CORP</t>
        </is>
      </c>
      <c r="C1045" t="inlineStr">
        <is>
          <t>Nasdaq</t>
        </is>
      </c>
      <c r="D1045" t="n">
        <v>1109354</v>
      </c>
      <c r="E1045" t="inlineStr">
        <is>
          <t>SEC</t>
        </is>
      </c>
    </row>
    <row r="1046">
      <c r="A1046" s="5">
        <f>HYPERLINK("https://finance.yahoo.com/quote/FLS","FLS")</f>
        <v/>
      </c>
      <c r="B1046" t="inlineStr">
        <is>
          <t>FLOWSERVE CORP</t>
        </is>
      </c>
      <c r="C1046" t="inlineStr">
        <is>
          <t>NYSE</t>
        </is>
      </c>
      <c r="D1046" t="n">
        <v>30625</v>
      </c>
      <c r="E1046" t="inlineStr">
        <is>
          <t>SEC</t>
        </is>
      </c>
    </row>
    <row r="1047">
      <c r="A1047" s="5">
        <f>HYPERLINK("https://finance.yahoo.com/quote/VOYA","VOYA")</f>
        <v/>
      </c>
      <c r="B1047" t="inlineStr">
        <is>
          <t>Voya Financial, Inc.</t>
        </is>
      </c>
      <c r="C1047" t="inlineStr">
        <is>
          <t>NYSE</t>
        </is>
      </c>
      <c r="D1047" t="n">
        <v>1535929</v>
      </c>
      <c r="E1047" t="inlineStr">
        <is>
          <t>SEC</t>
        </is>
      </c>
    </row>
    <row r="1048">
      <c r="A1048" s="5">
        <f>HYPERLINK("https://finance.yahoo.com/quote/YMM","YMM")</f>
        <v/>
      </c>
      <c r="B1048" t="inlineStr">
        <is>
          <t>Full Truck Alliance Co. Ltd.</t>
        </is>
      </c>
      <c r="C1048" t="inlineStr">
        <is>
          <t>NYSE</t>
        </is>
      </c>
      <c r="D1048" t="n">
        <v>1838413</v>
      </c>
      <c r="E1048" t="inlineStr">
        <is>
          <t>SEC</t>
        </is>
      </c>
    </row>
    <row r="1049">
      <c r="A1049" s="5">
        <f>HYPERLINK("https://finance.yahoo.com/quote/CHRD","CHRD")</f>
        <v/>
      </c>
      <c r="B1049" t="inlineStr">
        <is>
          <t>Chord Energy Corp</t>
        </is>
      </c>
      <c r="C1049" t="inlineStr">
        <is>
          <t>Nasdaq</t>
        </is>
      </c>
      <c r="D1049" t="n">
        <v>1486159</v>
      </c>
      <c r="E1049" t="inlineStr">
        <is>
          <t>SEC</t>
        </is>
      </c>
    </row>
    <row r="1050">
      <c r="A1050" s="5">
        <f>HYPERLINK("https://finance.yahoo.com/quote/KERCY","KERCY")</f>
        <v/>
      </c>
      <c r="B1050" t="inlineStr">
        <is>
          <t>Keisei Electric Railway Co. Ltd/ADR</t>
        </is>
      </c>
      <c r="C1050" t="inlineStr">
        <is>
          <t>OTC</t>
        </is>
      </c>
      <c r="D1050" t="n">
        <v>2107989</v>
      </c>
      <c r="E1050" t="inlineStr">
        <is>
          <t>SEC</t>
        </is>
      </c>
    </row>
    <row r="1051">
      <c r="A1051" s="5">
        <f>HYPERLINK("https://finance.yahoo.com/quote/CTRE","CTRE")</f>
        <v/>
      </c>
      <c r="B1051" t="inlineStr">
        <is>
          <t>CareTrust REIT, Inc.</t>
        </is>
      </c>
      <c r="C1051" t="inlineStr">
        <is>
          <t>NYSE</t>
        </is>
      </c>
      <c r="D1051" t="n">
        <v>1590717</v>
      </c>
      <c r="E1051" t="inlineStr">
        <is>
          <t>SEC</t>
        </is>
      </c>
    </row>
    <row r="1052">
      <c r="A1052" s="5">
        <f>HYPERLINK("https://finance.yahoo.com/quote/BRX","BRX")</f>
        <v/>
      </c>
      <c r="B1052" t="inlineStr">
        <is>
          <t>Brixmor Property Group Inc.</t>
        </is>
      </c>
      <c r="C1052" t="inlineStr">
        <is>
          <t>NYSE</t>
        </is>
      </c>
      <c r="D1052" t="n">
        <v>1581068</v>
      </c>
      <c r="E1052" t="inlineStr">
        <is>
          <t>SEC</t>
        </is>
      </c>
    </row>
    <row r="1053">
      <c r="A1053" s="5">
        <f>HYPERLINK("https://finance.yahoo.com/quote/VBREY","VBREY")</f>
        <v/>
      </c>
      <c r="B1053" t="inlineStr">
        <is>
          <t>Vibra Energia S.A./ADR</t>
        </is>
      </c>
      <c r="C1053" t="inlineStr">
        <is>
          <t>OTC</t>
        </is>
      </c>
      <c r="D1053" t="n">
        <v>1000377</v>
      </c>
      <c r="E1053" t="inlineStr">
        <is>
          <t>SEC</t>
        </is>
      </c>
    </row>
    <row r="1054">
      <c r="A1054" s="5">
        <f>HYPERLINK("https://finance.yahoo.com/quote/HQY","HQY")</f>
        <v/>
      </c>
      <c r="B1054" t="inlineStr">
        <is>
          <t>HEALTHEQUITY, INC.</t>
        </is>
      </c>
      <c r="C1054" t="inlineStr">
        <is>
          <t>Nasdaq</t>
        </is>
      </c>
      <c r="D1054" t="n">
        <v>1428336</v>
      </c>
      <c r="E1054" t="inlineStr">
        <is>
          <t>SEC</t>
        </is>
      </c>
    </row>
    <row r="1055">
      <c r="A1055" s="5">
        <f>HYPERLINK("https://finance.yahoo.com/quote/CYTK","CYTK")</f>
        <v/>
      </c>
      <c r="B1055" t="inlineStr">
        <is>
          <t>CYTOKINETICS INC</t>
        </is>
      </c>
      <c r="C1055" t="inlineStr">
        <is>
          <t>Nasdaq</t>
        </is>
      </c>
      <c r="D1055" t="n">
        <v>1061983</v>
      </c>
      <c r="E1055" t="inlineStr">
        <is>
          <t>SEC</t>
        </is>
      </c>
    </row>
    <row r="1056">
      <c r="A1056" s="5">
        <f>HYPERLINK("https://finance.yahoo.com/quote/PRI","PRI")</f>
        <v/>
      </c>
      <c r="B1056" t="inlineStr">
        <is>
          <t>Primerica, Inc.</t>
        </is>
      </c>
      <c r="C1056" t="inlineStr">
        <is>
          <t>NYSE</t>
        </is>
      </c>
      <c r="D1056" t="n">
        <v>1475922</v>
      </c>
      <c r="E1056" t="inlineStr">
        <is>
          <t>SEC</t>
        </is>
      </c>
    </row>
    <row r="1057">
      <c r="A1057" s="5">
        <f>HYPERLINK("https://finance.yahoo.com/quote/IDCC","IDCC")</f>
        <v/>
      </c>
      <c r="B1057" t="inlineStr">
        <is>
          <t>InterDigital, Inc.</t>
        </is>
      </c>
      <c r="C1057" t="inlineStr">
        <is>
          <t>Nasdaq</t>
        </is>
      </c>
      <c r="D1057" t="n">
        <v>1405495</v>
      </c>
      <c r="E1057" t="inlineStr">
        <is>
          <t>SEC</t>
        </is>
      </c>
    </row>
    <row r="1058">
      <c r="A1058" s="5">
        <f>HYPERLINK("https://finance.yahoo.com/quote/TTMI","TTMI")</f>
        <v/>
      </c>
      <c r="B1058" t="inlineStr">
        <is>
          <t>TTM TECHNOLOGIES INC</t>
        </is>
      </c>
      <c r="C1058" t="inlineStr">
        <is>
          <t>Nasdaq</t>
        </is>
      </c>
      <c r="D1058" t="n">
        <v>1116942</v>
      </c>
      <c r="E1058" t="inlineStr">
        <is>
          <t>SEC</t>
        </is>
      </c>
    </row>
    <row r="1059">
      <c r="A1059" s="5">
        <f>HYPERLINK("https://finance.yahoo.com/quote/VMI","VMI")</f>
        <v/>
      </c>
      <c r="B1059" t="inlineStr">
        <is>
          <t>VALMONT INDUSTRIES INC</t>
        </is>
      </c>
      <c r="C1059" t="inlineStr">
        <is>
          <t>NYSE</t>
        </is>
      </c>
      <c r="D1059" t="n">
        <v>102729</v>
      </c>
      <c r="E1059" t="inlineStr">
        <is>
          <t>SEC</t>
        </is>
      </c>
    </row>
    <row r="1060">
      <c r="A1060" s="5">
        <f>HYPERLINK("https://finance.yahoo.com/quote/VSAT","VSAT")</f>
        <v/>
      </c>
      <c r="B1060" t="inlineStr">
        <is>
          <t>VIASAT INC</t>
        </is>
      </c>
      <c r="C1060" t="inlineStr">
        <is>
          <t>Nasdaq</t>
        </is>
      </c>
      <c r="D1060" t="n">
        <v>797721</v>
      </c>
      <c r="E1060" t="inlineStr">
        <is>
          <t>SEC</t>
        </is>
      </c>
    </row>
    <row r="1061">
      <c r="A1061" s="5">
        <f>HYPERLINK("https://finance.yahoo.com/quote/ZETA","ZETA")</f>
        <v/>
      </c>
      <c r="B1061" t="inlineStr">
        <is>
          <t>Zeta Global Holdings Corp.</t>
        </is>
      </c>
      <c r="C1061" t="inlineStr">
        <is>
          <t>NYSE</t>
        </is>
      </c>
      <c r="D1061" t="n">
        <v>1851003</v>
      </c>
      <c r="E1061" t="inlineStr">
        <is>
          <t>SEC</t>
        </is>
      </c>
    </row>
    <row r="1062">
      <c r="A1062" s="5">
        <f>HYPERLINK("https://finance.yahoo.com/quote/NEXHY","NEXHY")</f>
        <v/>
      </c>
      <c r="B1062" t="inlineStr">
        <is>
          <t>Nippon Express Holdings, Inc./ADR</t>
        </is>
      </c>
      <c r="C1062" t="inlineStr">
        <is>
          <t>OTC</t>
        </is>
      </c>
      <c r="D1062" t="n">
        <v>1985406</v>
      </c>
      <c r="E1062" t="inlineStr">
        <is>
          <t>SEC</t>
        </is>
      </c>
    </row>
    <row r="1063">
      <c r="A1063" s="5">
        <f>HYPERLINK("https://finance.yahoo.com/quote/MHK","MHK")</f>
        <v/>
      </c>
      <c r="B1063" t="inlineStr">
        <is>
          <t>MOHAWK INDUSTRIES INC</t>
        </is>
      </c>
      <c r="C1063" t="inlineStr">
        <is>
          <t>NYSE</t>
        </is>
      </c>
      <c r="D1063" t="n">
        <v>851968</v>
      </c>
      <c r="E1063" t="inlineStr">
        <is>
          <t>SEC</t>
        </is>
      </c>
    </row>
    <row r="1064">
      <c r="A1064" s="5">
        <f>HYPERLINK("https://finance.yahoo.com/quote/SYRE","SYRE")</f>
        <v/>
      </c>
      <c r="B1064" t="inlineStr">
        <is>
          <t>Spyre Therapeutics, Inc.</t>
        </is>
      </c>
      <c r="C1064" t="inlineStr">
        <is>
          <t>Nasdaq</t>
        </is>
      </c>
      <c r="D1064" t="n">
        <v>1636282</v>
      </c>
      <c r="E1064" t="inlineStr">
        <is>
          <t>SEC</t>
        </is>
      </c>
    </row>
    <row r="1065">
      <c r="A1065" s="5">
        <f>HYPERLINK("https://finance.yahoo.com/quote/SANM","SANM")</f>
        <v/>
      </c>
      <c r="B1065" t="inlineStr">
        <is>
          <t>SANMINA CORP</t>
        </is>
      </c>
      <c r="C1065" t="inlineStr">
        <is>
          <t>Nasdaq</t>
        </is>
      </c>
      <c r="D1065" t="n">
        <v>897723</v>
      </c>
      <c r="E1065" t="inlineStr">
        <is>
          <t>SEC</t>
        </is>
      </c>
    </row>
    <row r="1066">
      <c r="A1066" s="5">
        <f>HYPERLINK("https://finance.yahoo.com/quote/MORN","MORN")</f>
        <v/>
      </c>
      <c r="B1066" t="inlineStr">
        <is>
          <t>Morningstar, Inc.</t>
        </is>
      </c>
      <c r="C1066" t="inlineStr">
        <is>
          <t>Nasdaq</t>
        </is>
      </c>
      <c r="D1066" t="n">
        <v>1289419</v>
      </c>
      <c r="E1066" t="inlineStr">
        <is>
          <t>SEC</t>
        </is>
      </c>
    </row>
    <row r="1067">
      <c r="A1067" s="5">
        <f>HYPERLINK("https://finance.yahoo.com/quote/ALV","ALV")</f>
        <v/>
      </c>
      <c r="B1067" t="inlineStr">
        <is>
          <t>AUTOLIV INC</t>
        </is>
      </c>
      <c r="C1067" t="inlineStr">
        <is>
          <t>NYSE</t>
        </is>
      </c>
      <c r="D1067" t="n">
        <v>1034670</v>
      </c>
      <c r="E1067" t="inlineStr">
        <is>
          <t>SEC</t>
        </is>
      </c>
    </row>
    <row r="1068">
      <c r="A1068" s="5">
        <f>HYPERLINK("https://finance.yahoo.com/quote/AOS","AOS")</f>
        <v/>
      </c>
      <c r="B1068" t="inlineStr">
        <is>
          <t>SMITH A O CORP</t>
        </is>
      </c>
      <c r="C1068" t="inlineStr">
        <is>
          <t>NYSE</t>
        </is>
      </c>
      <c r="D1068" t="n">
        <v>91142</v>
      </c>
      <c r="E1068" t="inlineStr">
        <is>
          <t>SEC</t>
        </is>
      </c>
    </row>
    <row r="1069">
      <c r="A1069" s="5">
        <f>HYPERLINK("https://finance.yahoo.com/quote/TTAN","TTAN")</f>
        <v/>
      </c>
      <c r="B1069" t="inlineStr">
        <is>
          <t>ServiceTitan, Inc.</t>
        </is>
      </c>
      <c r="C1069" t="inlineStr">
        <is>
          <t>Nasdaq</t>
        </is>
      </c>
      <c r="D1069" t="n">
        <v>1638826</v>
      </c>
      <c r="E1069" t="inlineStr">
        <is>
          <t>SEC</t>
        </is>
      </c>
    </row>
    <row r="1070">
      <c r="A1070" s="5">
        <f>HYPERLINK("https://finance.yahoo.com/quote/PB","PB")</f>
        <v/>
      </c>
      <c r="B1070" t="inlineStr">
        <is>
          <t>PROSPERITY BANCSHARES INC</t>
        </is>
      </c>
      <c r="C1070" t="inlineStr">
        <is>
          <t>NYSE</t>
        </is>
      </c>
      <c r="D1070" t="n">
        <v>1068851</v>
      </c>
      <c r="E1070" t="inlineStr">
        <is>
          <t>SEC</t>
        </is>
      </c>
    </row>
    <row r="1071">
      <c r="A1071" s="5">
        <f>HYPERLINK("https://finance.yahoo.com/quote/EGO","EGO")</f>
        <v/>
      </c>
      <c r="B1071" t="inlineStr">
        <is>
          <t>ELDORADO GOLD CORP /FI</t>
        </is>
      </c>
      <c r="C1071" t="inlineStr">
        <is>
          <t>NYSE</t>
        </is>
      </c>
      <c r="D1071" t="n">
        <v>918608</v>
      </c>
      <c r="E1071" t="inlineStr">
        <is>
          <t>SEC</t>
        </is>
      </c>
    </row>
    <row r="1072">
      <c r="A1072" s="5">
        <f>HYPERLINK("https://finance.yahoo.com/quote/WAL","WAL")</f>
        <v/>
      </c>
      <c r="B1072" t="inlineStr">
        <is>
          <t>WESTERN ALLIANCE BANCORPORATION</t>
        </is>
      </c>
      <c r="C1072" t="inlineStr">
        <is>
          <t>NYSE</t>
        </is>
      </c>
      <c r="D1072" t="n">
        <v>1212545</v>
      </c>
      <c r="E1072" t="inlineStr">
        <is>
          <t>SEC</t>
        </is>
      </c>
    </row>
    <row r="1073">
      <c r="A1073" s="5">
        <f>HYPERLINK("https://finance.yahoo.com/quote/TGTX","TGTX")</f>
        <v/>
      </c>
      <c r="B1073" t="inlineStr">
        <is>
          <t>TG THERAPEUTICS, INC.</t>
        </is>
      </c>
      <c r="C1073" t="inlineStr">
        <is>
          <t>Nasdaq</t>
        </is>
      </c>
      <c r="D1073" t="n">
        <v>1001316</v>
      </c>
      <c r="E1073" t="inlineStr">
        <is>
          <t>SEC</t>
        </is>
      </c>
    </row>
    <row r="1074">
      <c r="A1074" s="5">
        <f>HYPERLINK("https://finance.yahoo.com/quote/CBC","CBC")</f>
        <v/>
      </c>
      <c r="B1074" t="inlineStr">
        <is>
          <t>Central Bancompany, Inc.</t>
        </is>
      </c>
      <c r="C1074" t="inlineStr">
        <is>
          <t>Nasdaq</t>
        </is>
      </c>
      <c r="D1074" t="n">
        <v>2065601</v>
      </c>
      <c r="E1074" t="inlineStr">
        <is>
          <t>SEC</t>
        </is>
      </c>
    </row>
    <row r="1075">
      <c r="A1075" s="5">
        <f>HYPERLINK("https://finance.yahoo.com/quote/CTVA","CTVA")</f>
        <v/>
      </c>
      <c r="B1075" t="inlineStr">
        <is>
          <t>Corteva, Inc.</t>
        </is>
      </c>
      <c r="C1075" t="inlineStr">
        <is>
          <t>NYSE</t>
        </is>
      </c>
      <c r="D1075" t="n">
        <v>1755672</v>
      </c>
      <c r="E1075" t="inlineStr">
        <is>
          <t>SEC</t>
        </is>
      </c>
    </row>
    <row r="1076">
      <c r="A1076" s="5">
        <f>HYPERLINK("https://finance.yahoo.com/quote/S","S")</f>
        <v/>
      </c>
      <c r="B1076" t="inlineStr">
        <is>
          <t>SentinelOne, Inc.</t>
        </is>
      </c>
      <c r="C1076" t="inlineStr">
        <is>
          <t>NYSE</t>
        </is>
      </c>
      <c r="D1076" t="n">
        <v>1583708</v>
      </c>
      <c r="E1076" t="inlineStr">
        <is>
          <t>SEC</t>
        </is>
      </c>
    </row>
    <row r="1077">
      <c r="A1077" s="5">
        <f>HYPERLINK("https://finance.yahoo.com/quote/KNSL","KNSL")</f>
        <v/>
      </c>
      <c r="B1077" t="inlineStr">
        <is>
          <t>Kinsale Capital Group, Inc.</t>
        </is>
      </c>
      <c r="C1077" t="inlineStr">
        <is>
          <t>NYSE</t>
        </is>
      </c>
      <c r="D1077" t="n">
        <v>1669162</v>
      </c>
      <c r="E1077" t="inlineStr">
        <is>
          <t>SEC</t>
        </is>
      </c>
    </row>
    <row r="1078">
      <c r="A1078" s="5">
        <f>HYPERLINK("https://finance.yahoo.com/quote/NIO","NIO")</f>
        <v/>
      </c>
      <c r="B1078" t="inlineStr">
        <is>
          <t>NIO Inc.</t>
        </is>
      </c>
      <c r="C1078" t="inlineStr">
        <is>
          <t>NYSE</t>
        </is>
      </c>
      <c r="D1078" t="n">
        <v>1736541</v>
      </c>
      <c r="E1078" t="inlineStr">
        <is>
          <t>SEC</t>
        </is>
      </c>
    </row>
    <row r="1079">
      <c r="A1079" s="5">
        <f>HYPERLINK("https://finance.yahoo.com/quote/UGI","UGI")</f>
        <v/>
      </c>
      <c r="B1079" t="inlineStr">
        <is>
          <t>UGI CORP /PA/</t>
        </is>
      </c>
      <c r="C1079" t="inlineStr">
        <is>
          <t>NYSE</t>
        </is>
      </c>
      <c r="D1079" t="n">
        <v>884614</v>
      </c>
      <c r="E1079" t="inlineStr">
        <is>
          <t>SEC</t>
        </is>
      </c>
    </row>
    <row r="1080">
      <c r="A1080" s="5">
        <f>HYPERLINK("https://finance.yahoo.com/quote/ADC","ADC")</f>
        <v/>
      </c>
      <c r="B1080" t="inlineStr">
        <is>
          <t>AGREE REALTY CORP</t>
        </is>
      </c>
      <c r="C1080" t="inlineStr">
        <is>
          <t>NYSE</t>
        </is>
      </c>
      <c r="D1080" t="n">
        <v>917251</v>
      </c>
      <c r="E1080" t="inlineStr">
        <is>
          <t>SEC</t>
        </is>
      </c>
    </row>
    <row r="1081">
      <c r="A1081" s="5">
        <f>HYPERLINK("https://finance.yahoo.com/quote/VIST","VIST")</f>
        <v/>
      </c>
      <c r="B1081" t="inlineStr">
        <is>
          <t>Vista Energy, S.A.B. de C.V.</t>
        </is>
      </c>
      <c r="C1081" t="inlineStr">
        <is>
          <t>NYSE</t>
        </is>
      </c>
      <c r="D1081" t="n">
        <v>1762506</v>
      </c>
      <c r="E1081" t="inlineStr">
        <is>
          <t>SEC</t>
        </is>
      </c>
    </row>
    <row r="1082">
      <c r="A1082" s="5">
        <f>HYPERLINK("https://finance.yahoo.com/quote/THG","THG")</f>
        <v/>
      </c>
      <c r="B1082" t="inlineStr">
        <is>
          <t>HANOVER INSURANCE GROUP, INC.</t>
        </is>
      </c>
      <c r="C1082" t="inlineStr">
        <is>
          <t>NYSE</t>
        </is>
      </c>
      <c r="D1082" t="n">
        <v>944695</v>
      </c>
      <c r="E1082" t="inlineStr">
        <is>
          <t>SEC</t>
        </is>
      </c>
    </row>
    <row r="1083">
      <c r="A1083" s="5">
        <f>HYPERLINK("https://finance.yahoo.com/quote/WLK","WLK")</f>
        <v/>
      </c>
      <c r="B1083" t="inlineStr">
        <is>
          <t>WESTLAKE CORP</t>
        </is>
      </c>
      <c r="C1083" t="inlineStr">
        <is>
          <t>NYSE</t>
        </is>
      </c>
      <c r="D1083" t="n">
        <v>1262823</v>
      </c>
      <c r="E1083" t="inlineStr">
        <is>
          <t>SEC</t>
        </is>
      </c>
    </row>
    <row r="1084">
      <c r="A1084" s="5">
        <f>HYPERLINK("https://finance.yahoo.com/quote/VICR","VICR")</f>
        <v/>
      </c>
      <c r="B1084" t="inlineStr">
        <is>
          <t>VICOR CORP</t>
        </is>
      </c>
      <c r="C1084" t="inlineStr">
        <is>
          <t>Nasdaq</t>
        </is>
      </c>
      <c r="D1084" t="n">
        <v>751978</v>
      </c>
      <c r="E1084" t="inlineStr">
        <is>
          <t>SEC</t>
        </is>
      </c>
    </row>
    <row r="1085">
      <c r="A1085" s="5">
        <f>HYPERLINK("https://finance.yahoo.com/quote/DBX","DBX")</f>
        <v/>
      </c>
      <c r="B1085" t="inlineStr">
        <is>
          <t>DROPBOX, INC.</t>
        </is>
      </c>
      <c r="C1085" t="inlineStr">
        <is>
          <t>Nasdaq</t>
        </is>
      </c>
      <c r="D1085" t="n">
        <v>1467623</v>
      </c>
      <c r="E1085" t="inlineStr">
        <is>
          <t>SEC</t>
        </is>
      </c>
    </row>
    <row r="1086">
      <c r="A1086" s="5">
        <f>HYPERLINK("https://finance.yahoo.com/quote/ARWR","ARWR")</f>
        <v/>
      </c>
      <c r="B1086" t="inlineStr">
        <is>
          <t>ARROWHEAD PHARMACEUTICALS, INC.</t>
        </is>
      </c>
      <c r="C1086" t="inlineStr">
        <is>
          <t>Nasdaq</t>
        </is>
      </c>
      <c r="D1086" t="n">
        <v>879407</v>
      </c>
      <c r="E1086" t="inlineStr">
        <is>
          <t>SEC</t>
        </is>
      </c>
    </row>
    <row r="1087">
      <c r="A1087" s="5">
        <f>HYPERLINK("https://finance.yahoo.com/quote/UGP","UGP")</f>
        <v/>
      </c>
      <c r="B1087" t="inlineStr">
        <is>
          <t>ULTRAPAR HOLDINGS INC</t>
        </is>
      </c>
      <c r="C1087" t="inlineStr">
        <is>
          <t>NYSE</t>
        </is>
      </c>
      <c r="D1087" t="n">
        <v>1094972</v>
      </c>
      <c r="E1087" t="inlineStr">
        <is>
          <t>SEC</t>
        </is>
      </c>
    </row>
    <row r="1088">
      <c r="A1088" s="5">
        <f>HYPERLINK("https://finance.yahoo.com/quote/OSK","OSK")</f>
        <v/>
      </c>
      <c r="B1088" t="inlineStr">
        <is>
          <t>OSHKOSH CORP</t>
        </is>
      </c>
      <c r="C1088" t="inlineStr">
        <is>
          <t>NYSE</t>
        </is>
      </c>
      <c r="D1088" t="n">
        <v>775158</v>
      </c>
      <c r="E1088" t="inlineStr">
        <is>
          <t>SEC</t>
        </is>
      </c>
    </row>
    <row r="1089">
      <c r="A1089" s="5">
        <f>HYPERLINK("https://finance.yahoo.com/quote/KT","KT")</f>
        <v/>
      </c>
      <c r="B1089" t="inlineStr">
        <is>
          <t>KT CORP</t>
        </is>
      </c>
      <c r="C1089" t="inlineStr">
        <is>
          <t>NYSE</t>
        </is>
      </c>
      <c r="D1089" t="n">
        <v>892450</v>
      </c>
      <c r="E1089" t="inlineStr">
        <is>
          <t>SEC</t>
        </is>
      </c>
    </row>
    <row r="1090">
      <c r="A1090" s="5">
        <f>HYPERLINK("https://finance.yahoo.com/quote/IDA","IDA")</f>
        <v/>
      </c>
      <c r="B1090" t="inlineStr">
        <is>
          <t>IDACORP INC</t>
        </is>
      </c>
      <c r="C1090" t="inlineStr">
        <is>
          <t>NYSE</t>
        </is>
      </c>
      <c r="D1090" t="n">
        <v>1057877</v>
      </c>
      <c r="E1090" t="inlineStr">
        <is>
          <t>SEC</t>
        </is>
      </c>
    </row>
    <row r="1091">
      <c r="A1091" s="5">
        <f>HYPERLINK("https://finance.yahoo.com/quote/ESI","ESI")</f>
        <v/>
      </c>
      <c r="B1091" t="inlineStr">
        <is>
          <t>Element Solutions Inc</t>
        </is>
      </c>
      <c r="C1091" t="inlineStr">
        <is>
          <t>NYSE</t>
        </is>
      </c>
      <c r="D1091" t="n">
        <v>1590714</v>
      </c>
      <c r="E1091" t="inlineStr">
        <is>
          <t>SEC</t>
        </is>
      </c>
    </row>
    <row r="1092">
      <c r="A1092" s="5">
        <f>HYPERLINK("https://finance.yahoo.com/quote/ETSY","ETSY")</f>
        <v/>
      </c>
      <c r="B1092" t="inlineStr">
        <is>
          <t>ETSY INC</t>
        </is>
      </c>
      <c r="C1092" t="inlineStr">
        <is>
          <t>NYSE</t>
        </is>
      </c>
      <c r="D1092" t="n">
        <v>1370637</v>
      </c>
      <c r="E1092" t="inlineStr">
        <is>
          <t>SEC</t>
        </is>
      </c>
    </row>
    <row r="1093">
      <c r="A1093" s="5">
        <f>HYPERLINK("https://finance.yahoo.com/quote/LEVI","LEVI")</f>
        <v/>
      </c>
      <c r="B1093" t="inlineStr">
        <is>
          <t>LEVI STRAUSS &amp; CO</t>
        </is>
      </c>
      <c r="C1093" t="inlineStr">
        <is>
          <t>NYSE</t>
        </is>
      </c>
      <c r="D1093" t="n">
        <v>94845</v>
      </c>
      <c r="E1093" t="inlineStr">
        <is>
          <t>SEC</t>
        </is>
      </c>
    </row>
    <row r="1094">
      <c r="A1094" s="5">
        <f>HYPERLINK("https://finance.yahoo.com/quote/ATR","ATR")</f>
        <v/>
      </c>
      <c r="B1094" t="inlineStr">
        <is>
          <t>APTARGROUP, INC.</t>
        </is>
      </c>
      <c r="C1094" t="inlineStr">
        <is>
          <t>NYSE</t>
        </is>
      </c>
      <c r="D1094" t="n">
        <v>896622</v>
      </c>
      <c r="E1094" t="inlineStr">
        <is>
          <t>SEC</t>
        </is>
      </c>
    </row>
    <row r="1095">
      <c r="A1095" s="5">
        <f>HYPERLINK("https://finance.yahoo.com/quote/ZWS","ZWS")</f>
        <v/>
      </c>
      <c r="B1095" t="inlineStr">
        <is>
          <t>Zurn Elkay Water Solutions Corp</t>
        </is>
      </c>
      <c r="C1095" t="inlineStr">
        <is>
          <t>NYSE</t>
        </is>
      </c>
      <c r="D1095" t="n">
        <v>1439288</v>
      </c>
      <c r="E1095" t="inlineStr">
        <is>
          <t>SEC</t>
        </is>
      </c>
    </row>
    <row r="1096">
      <c r="A1096" s="5">
        <f>HYPERLINK("https://finance.yahoo.com/quote/CBSH","CBSH")</f>
        <v/>
      </c>
      <c r="B1096" t="inlineStr">
        <is>
          <t>COMMERCE BANCSHARES INC /MO/</t>
        </is>
      </c>
      <c r="C1096" t="inlineStr">
        <is>
          <t>Nasdaq</t>
        </is>
      </c>
      <c r="D1096" t="n">
        <v>22356</v>
      </c>
      <c r="E1096" t="inlineStr">
        <is>
          <t>SEC</t>
        </is>
      </c>
    </row>
    <row r="1097">
      <c r="A1097" s="5">
        <f>HYPERLINK("https://finance.yahoo.com/quote/CAE","CAE")</f>
        <v/>
      </c>
      <c r="B1097" t="inlineStr">
        <is>
          <t>CAE INC</t>
        </is>
      </c>
      <c r="C1097" t="inlineStr">
        <is>
          <t>Nasdaq</t>
        </is>
      </c>
      <c r="D1097" t="n">
        <v>1173382</v>
      </c>
      <c r="E1097" t="inlineStr">
        <is>
          <t>SEC</t>
        </is>
      </c>
    </row>
    <row r="1098">
      <c r="A1098" s="5">
        <f>HYPERLINK("https://finance.yahoo.com/quote/MINBY","MINBY")</f>
        <v/>
      </c>
      <c r="B1098" t="inlineStr">
        <is>
          <t>MINEBEA MITSUMI Inc.</t>
        </is>
      </c>
      <c r="C1098" t="inlineStr">
        <is>
          <t>OTC</t>
        </is>
      </c>
      <c r="D1098" t="n">
        <v>1034983</v>
      </c>
      <c r="E1098" t="inlineStr">
        <is>
          <t>SEC</t>
        </is>
      </c>
    </row>
    <row r="1099">
      <c r="A1099" s="5">
        <f>HYPERLINK("https://finance.yahoo.com/quote/DSGX","DSGX")</f>
        <v/>
      </c>
      <c r="B1099" t="inlineStr">
        <is>
          <t>DESCARTES SYSTEMS GROUP INC</t>
        </is>
      </c>
      <c r="C1099" t="inlineStr">
        <is>
          <t>Nasdaq</t>
        </is>
      </c>
      <c r="D1099" t="n">
        <v>1050140</v>
      </c>
      <c r="E1099" t="inlineStr">
        <is>
          <t>SEC</t>
        </is>
      </c>
    </row>
    <row r="1100">
      <c r="A1100" s="5">
        <f>HYPERLINK("https://finance.yahoo.com/quote/NEU","NEU")</f>
        <v/>
      </c>
      <c r="B1100" t="inlineStr">
        <is>
          <t>NEWMARKET CORP</t>
        </is>
      </c>
      <c r="C1100" t="inlineStr">
        <is>
          <t>NYSE</t>
        </is>
      </c>
      <c r="D1100" t="n">
        <v>1282637</v>
      </c>
      <c r="E1100" t="inlineStr">
        <is>
          <t>SEC</t>
        </is>
      </c>
    </row>
    <row r="1101">
      <c r="A1101" s="5">
        <f>HYPERLINK("https://finance.yahoo.com/quote/CLF","CLF")</f>
        <v/>
      </c>
      <c r="B1101" t="inlineStr">
        <is>
          <t>CLEVELAND-CLIFFS INC.</t>
        </is>
      </c>
      <c r="C1101" t="inlineStr">
        <is>
          <t>NYSE</t>
        </is>
      </c>
      <c r="D1101" t="n">
        <v>764065</v>
      </c>
      <c r="E1101" t="inlineStr">
        <is>
          <t>SEC</t>
        </is>
      </c>
    </row>
    <row r="1102">
      <c r="A1102" s="5">
        <f>HYPERLINK("https://finance.yahoo.com/quote/STN","STN")</f>
        <v/>
      </c>
      <c r="B1102" t="inlineStr">
        <is>
          <t>STANTEC INC</t>
        </is>
      </c>
      <c r="C1102" t="inlineStr">
        <is>
          <t>NYSE</t>
        </is>
      </c>
      <c r="D1102" t="n">
        <v>1131383</v>
      </c>
      <c r="E1102" t="inlineStr">
        <is>
          <t>SEC</t>
        </is>
      </c>
    </row>
    <row r="1103">
      <c r="A1103" s="5">
        <f>HYPERLINK("https://finance.yahoo.com/quote/SPXC","SPXC")</f>
        <v/>
      </c>
      <c r="B1103" t="inlineStr">
        <is>
          <t>SPX Technologies, Inc.</t>
        </is>
      </c>
      <c r="C1103" t="inlineStr">
        <is>
          <t>NYSE</t>
        </is>
      </c>
      <c r="D1103" t="n">
        <v>88205</v>
      </c>
      <c r="E1103" t="inlineStr">
        <is>
          <t>SEC</t>
        </is>
      </c>
    </row>
    <row r="1104">
      <c r="A1104" s="5">
        <f>HYPERLINK("https://finance.yahoo.com/quote/GWKSY","GWKSY")</f>
        <v/>
      </c>
      <c r="B1104" t="inlineStr">
        <is>
          <t>GAMES WORKSHOP GROUP PLC/ADR</t>
        </is>
      </c>
      <c r="C1104" t="inlineStr">
        <is>
          <t>OTC</t>
        </is>
      </c>
      <c r="D1104" t="n">
        <v>2062522</v>
      </c>
      <c r="E1104" t="inlineStr">
        <is>
          <t>SEC</t>
        </is>
      </c>
    </row>
    <row r="1105">
      <c r="A1105" s="5">
        <f>HYPERLINK("https://finance.yahoo.com/quote/AAL","AAL")</f>
        <v/>
      </c>
      <c r="B1105" t="inlineStr">
        <is>
          <t>American Airlines Group Inc.</t>
        </is>
      </c>
      <c r="C1105" t="inlineStr">
        <is>
          <t>Nasdaq</t>
        </is>
      </c>
      <c r="D1105" t="n">
        <v>6201</v>
      </c>
      <c r="E1105" t="inlineStr">
        <is>
          <t>SEC</t>
        </is>
      </c>
    </row>
    <row r="1106">
      <c r="A1106" s="5">
        <f>HYPERLINK("https://finance.yahoo.com/quote/FPS","FPS")</f>
        <v/>
      </c>
      <c r="B1106" t="inlineStr">
        <is>
          <t>Forgent Power Solutions, Inc.</t>
        </is>
      </c>
      <c r="C1106" t="inlineStr">
        <is>
          <t>NYSE</t>
        </is>
      </c>
      <c r="D1106" t="n">
        <v>2080126</v>
      </c>
      <c r="E1106" t="inlineStr">
        <is>
          <t>SEC</t>
        </is>
      </c>
    </row>
    <row r="1107">
      <c r="A1107" s="5">
        <f>HYPERLINK("https://finance.yahoo.com/quote/NNN","NNN")</f>
        <v/>
      </c>
      <c r="B1107" t="inlineStr">
        <is>
          <t>NNN REIT, INC.</t>
        </is>
      </c>
      <c r="C1107" t="inlineStr">
        <is>
          <t>NYSE</t>
        </is>
      </c>
      <c r="D1107" t="n">
        <v>751364</v>
      </c>
      <c r="E1107" t="inlineStr">
        <is>
          <t>SEC</t>
        </is>
      </c>
    </row>
    <row r="1108">
      <c r="A1108" s="5">
        <f>HYPERLINK("https://finance.yahoo.com/quote/GAP","GAP")</f>
        <v/>
      </c>
      <c r="B1108" t="inlineStr">
        <is>
          <t>GAP INC</t>
        </is>
      </c>
      <c r="C1108" t="inlineStr">
        <is>
          <t>NYSE</t>
        </is>
      </c>
      <c r="D1108" t="n">
        <v>39911</v>
      </c>
      <c r="E1108" t="inlineStr">
        <is>
          <t>SEC</t>
        </is>
      </c>
    </row>
    <row r="1109">
      <c r="A1109" s="5">
        <f>HYPERLINK("https://finance.yahoo.com/quote/BOKF","BOKF")</f>
        <v/>
      </c>
      <c r="B1109" t="inlineStr">
        <is>
          <t>BOK FINANCIAL CORP</t>
        </is>
      </c>
      <c r="C1109" t="inlineStr">
        <is>
          <t>Nasdaq</t>
        </is>
      </c>
      <c r="D1109" t="n">
        <v>875357</v>
      </c>
      <c r="E1109" t="inlineStr">
        <is>
          <t>SEC</t>
        </is>
      </c>
    </row>
    <row r="1110">
      <c r="A1110" s="5">
        <f>HYPERLINK("https://finance.yahoo.com/quote/VLY","VLY")</f>
        <v/>
      </c>
      <c r="B1110" t="inlineStr">
        <is>
          <t>VALLEY NATIONAL BANCORP</t>
        </is>
      </c>
      <c r="C1110" t="inlineStr">
        <is>
          <t>Nasdaq</t>
        </is>
      </c>
      <c r="D1110" t="n">
        <v>714310</v>
      </c>
      <c r="E1110" t="inlineStr">
        <is>
          <t>SEC</t>
        </is>
      </c>
    </row>
    <row r="1111">
      <c r="A1111" s="5">
        <f>HYPERLINK("https://finance.yahoo.com/quote/ACM","ACM")</f>
        <v/>
      </c>
      <c r="B1111" t="inlineStr">
        <is>
          <t>AECOM</t>
        </is>
      </c>
      <c r="C1111" t="inlineStr">
        <is>
          <t>NYSE</t>
        </is>
      </c>
      <c r="D1111" t="n">
        <v>868857</v>
      </c>
      <c r="E1111" t="inlineStr">
        <is>
          <t>SEC</t>
        </is>
      </c>
    </row>
    <row r="1112">
      <c r="A1112" s="5">
        <f>HYPERLINK("https://finance.yahoo.com/quote/FORM","FORM")</f>
        <v/>
      </c>
      <c r="B1112" t="inlineStr">
        <is>
          <t>FORMFACTOR INC</t>
        </is>
      </c>
      <c r="C1112" t="inlineStr">
        <is>
          <t>Nasdaq</t>
        </is>
      </c>
      <c r="D1112" t="n">
        <v>1039399</v>
      </c>
      <c r="E1112" t="inlineStr">
        <is>
          <t>SEC</t>
        </is>
      </c>
    </row>
    <row r="1113">
      <c r="A1113" s="5">
        <f>HYPERLINK("https://finance.yahoo.com/quote/CNM","CNM")</f>
        <v/>
      </c>
      <c r="B1113" t="inlineStr">
        <is>
          <t>Core &amp; Main, Inc.</t>
        </is>
      </c>
      <c r="C1113" t="inlineStr">
        <is>
          <t>NYSE</t>
        </is>
      </c>
      <c r="D1113" t="n">
        <v>1856525</v>
      </c>
      <c r="E1113" t="inlineStr">
        <is>
          <t>SEC</t>
        </is>
      </c>
    </row>
    <row r="1114">
      <c r="A1114" s="5">
        <f>HYPERLINK("https://finance.yahoo.com/quote/CWEN","CWEN")</f>
        <v/>
      </c>
      <c r="B1114" t="inlineStr">
        <is>
          <t>Clearway Energy, Inc.</t>
        </is>
      </c>
      <c r="C1114" t="inlineStr">
        <is>
          <t>NYSE</t>
        </is>
      </c>
      <c r="D1114" t="n">
        <v>1567683</v>
      </c>
      <c r="E1114" t="inlineStr">
        <is>
          <t>SEC</t>
        </is>
      </c>
    </row>
    <row r="1115">
      <c r="A1115" s="5">
        <f>HYPERLINK("https://finance.yahoo.com/quote/PACS","PACS")</f>
        <v/>
      </c>
      <c r="B1115" t="inlineStr">
        <is>
          <t>PACS Group, Inc.</t>
        </is>
      </c>
      <c r="C1115" t="inlineStr">
        <is>
          <t>NYSE</t>
        </is>
      </c>
      <c r="D1115" t="n">
        <v>2001184</v>
      </c>
      <c r="E1115" t="inlineStr">
        <is>
          <t>SEC</t>
        </is>
      </c>
    </row>
    <row r="1116">
      <c r="A1116" s="5">
        <f>HYPERLINK("https://finance.yahoo.com/quote/ZG","ZG")</f>
        <v/>
      </c>
      <c r="B1116" t="inlineStr">
        <is>
          <t>ZILLOW GROUP, INC.</t>
        </is>
      </c>
      <c r="C1116" t="inlineStr">
        <is>
          <t>Nasdaq</t>
        </is>
      </c>
      <c r="D1116" t="n">
        <v>1617640</v>
      </c>
      <c r="E1116" t="inlineStr">
        <is>
          <t>SEC</t>
        </is>
      </c>
    </row>
    <row r="1117">
      <c r="A1117" s="5">
        <f>HYPERLINK("https://finance.yahoo.com/quote/EAT","EAT")</f>
        <v/>
      </c>
      <c r="B1117" t="inlineStr">
        <is>
          <t>BRINKER INTERNATIONAL, INC</t>
        </is>
      </c>
      <c r="C1117" t="inlineStr">
        <is>
          <t>NYSE</t>
        </is>
      </c>
      <c r="D1117" t="n">
        <v>703351</v>
      </c>
      <c r="E1117" t="inlineStr">
        <is>
          <t>SEC</t>
        </is>
      </c>
    </row>
    <row r="1118">
      <c r="A1118" s="5">
        <f>HYPERLINK("https://finance.yahoo.com/quote/HUT","HUT")</f>
        <v/>
      </c>
      <c r="B1118" t="inlineStr">
        <is>
          <t>Hut 8 Corp.</t>
        </is>
      </c>
      <c r="C1118" t="inlineStr">
        <is>
          <t>Nasdaq</t>
        </is>
      </c>
      <c r="D1118" t="n">
        <v>1964789</v>
      </c>
      <c r="E1118" t="inlineStr">
        <is>
          <t>SEC</t>
        </is>
      </c>
    </row>
    <row r="1119">
      <c r="A1119" s="5">
        <f>HYPERLINK("https://finance.yahoo.com/quote/BCHMY","BCHMY")</f>
        <v/>
      </c>
      <c r="B1119" t="inlineStr">
        <is>
          <t>Bachem Holding AG/ADR</t>
        </is>
      </c>
      <c r="C1119" t="inlineStr">
        <is>
          <t>OTC</t>
        </is>
      </c>
      <c r="D1119" t="n">
        <v>1968378</v>
      </c>
      <c r="E1119" t="inlineStr">
        <is>
          <t>SEC</t>
        </is>
      </c>
    </row>
    <row r="1120">
      <c r="A1120" s="5">
        <f>HYPERLINK("https://finance.yahoo.com/quote/SHMXY","SHMXY")</f>
        <v/>
      </c>
      <c r="B1120" t="inlineStr">
        <is>
          <t>Shimadzu Corporation/ADR</t>
        </is>
      </c>
      <c r="C1120" t="inlineStr">
        <is>
          <t>OTC</t>
        </is>
      </c>
      <c r="D1120" t="n">
        <v>1648512</v>
      </c>
      <c r="E1120" t="inlineStr">
        <is>
          <t>SEC</t>
        </is>
      </c>
    </row>
    <row r="1121">
      <c r="A1121" s="5">
        <f>HYPERLINK("https://finance.yahoo.com/quote/TAP","TAP")</f>
        <v/>
      </c>
      <c r="B1121" t="inlineStr">
        <is>
          <t>MOLSON COORS BEVERAGE CO</t>
        </is>
      </c>
      <c r="C1121" t="inlineStr">
        <is>
          <t>NYSE</t>
        </is>
      </c>
      <c r="D1121" t="n">
        <v>24545</v>
      </c>
      <c r="E1121" t="inlineStr">
        <is>
          <t>SEC</t>
        </is>
      </c>
    </row>
    <row r="1122">
      <c r="A1122" s="5">
        <f>HYPERLINK("https://finance.yahoo.com/quote/NFG","NFG")</f>
        <v/>
      </c>
      <c r="B1122" t="inlineStr">
        <is>
          <t>NATIONAL FUEL GAS CO</t>
        </is>
      </c>
      <c r="C1122" t="inlineStr">
        <is>
          <t>NYSE</t>
        </is>
      </c>
      <c r="D1122" t="n">
        <v>70145</v>
      </c>
      <c r="E1122" t="inlineStr">
        <is>
          <t>SEC</t>
        </is>
      </c>
    </row>
    <row r="1123">
      <c r="A1123" s="5">
        <f>HYPERLINK("https://finance.yahoo.com/quote/SPIIY","SPIIY")</f>
        <v/>
      </c>
      <c r="B1123" t="inlineStr">
        <is>
          <t>SPIE SA/ADR</t>
        </is>
      </c>
      <c r="C1123" t="inlineStr">
        <is>
          <t>OTC</t>
        </is>
      </c>
      <c r="D1123" t="n">
        <v>2083221</v>
      </c>
      <c r="E1123" t="inlineStr">
        <is>
          <t>SEC</t>
        </is>
      </c>
    </row>
    <row r="1124">
      <c r="A1124" s="5">
        <f>HYPERLINK("https://finance.yahoo.com/quote/NE","NE")</f>
        <v/>
      </c>
      <c r="B1124" t="inlineStr">
        <is>
          <t>Noble Corp plc</t>
        </is>
      </c>
      <c r="C1124" t="inlineStr">
        <is>
          <t>NYSE</t>
        </is>
      </c>
      <c r="D1124" t="n">
        <v>1895262</v>
      </c>
      <c r="E1124" t="inlineStr">
        <is>
          <t>SEC</t>
        </is>
      </c>
    </row>
    <row r="1125">
      <c r="A1125" s="5">
        <f>HYPERLINK("https://finance.yahoo.com/quote/VIAV","VIAV")</f>
        <v/>
      </c>
      <c r="B1125" t="inlineStr">
        <is>
          <t>VIAVI SOLUTIONS INC.</t>
        </is>
      </c>
      <c r="C1125" t="inlineStr">
        <is>
          <t>Nasdaq</t>
        </is>
      </c>
      <c r="D1125" t="n">
        <v>912093</v>
      </c>
      <c r="E1125" t="inlineStr">
        <is>
          <t>SEC</t>
        </is>
      </c>
    </row>
    <row r="1126">
      <c r="A1126" s="5">
        <f>HYPERLINK("https://finance.yahoo.com/quote/ABVX","ABVX")</f>
        <v/>
      </c>
      <c r="B1126" t="inlineStr">
        <is>
          <t>Abivax S.A.</t>
        </is>
      </c>
      <c r="C1126" t="inlineStr">
        <is>
          <t>Nasdaq</t>
        </is>
      </c>
      <c r="D1126" t="n">
        <v>1956827</v>
      </c>
      <c r="E1126" t="inlineStr">
        <is>
          <t>SEC</t>
        </is>
      </c>
    </row>
    <row r="1127">
      <c r="A1127" s="5">
        <f>HYPERLINK("https://finance.yahoo.com/quote/AXSM","AXSM")</f>
        <v/>
      </c>
      <c r="B1127" t="inlineStr">
        <is>
          <t>Axsome Therapeutics, Inc.</t>
        </is>
      </c>
      <c r="C1127" t="inlineStr">
        <is>
          <t>Nasdaq</t>
        </is>
      </c>
      <c r="D1127" t="n">
        <v>1579428</v>
      </c>
      <c r="E1127" t="inlineStr">
        <is>
          <t>SEC</t>
        </is>
      </c>
    </row>
    <row r="1128">
      <c r="A1128" s="5">
        <f>HYPERLINK("https://finance.yahoo.com/quote/SSD","SSD")</f>
        <v/>
      </c>
      <c r="B1128" t="inlineStr">
        <is>
          <t>Simpson Manufacturing Co., Inc.</t>
        </is>
      </c>
      <c r="C1128" t="inlineStr">
        <is>
          <t>NYSE</t>
        </is>
      </c>
      <c r="D1128" t="n">
        <v>920371</v>
      </c>
      <c r="E1128" t="inlineStr">
        <is>
          <t>SEC</t>
        </is>
      </c>
    </row>
    <row r="1129">
      <c r="A1129" s="5">
        <f>HYPERLINK("https://finance.yahoo.com/quote/FCFS","FCFS")</f>
        <v/>
      </c>
      <c r="B1129" t="inlineStr">
        <is>
          <t>FirstCash Holdings, Inc.</t>
        </is>
      </c>
      <c r="C1129" t="inlineStr">
        <is>
          <t>Nasdaq</t>
        </is>
      </c>
      <c r="D1129" t="n">
        <v>840489</v>
      </c>
      <c r="E1129" t="inlineStr">
        <is>
          <t>SEC</t>
        </is>
      </c>
    </row>
    <row r="1130">
      <c r="A1130" s="5">
        <f>HYPERLINK("https://finance.yahoo.com/quote/TKR","TKR")</f>
        <v/>
      </c>
      <c r="B1130" t="inlineStr">
        <is>
          <t>TIMKEN CO</t>
        </is>
      </c>
      <c r="C1130" t="inlineStr">
        <is>
          <t>NYSE</t>
        </is>
      </c>
      <c r="D1130" t="n">
        <v>98362</v>
      </c>
      <c r="E1130" t="inlineStr">
        <is>
          <t>SEC</t>
        </is>
      </c>
    </row>
    <row r="1131">
      <c r="A1131" s="5">
        <f>HYPERLINK("https://finance.yahoo.com/quote/LNC","LNC")</f>
        <v/>
      </c>
      <c r="B1131" t="inlineStr">
        <is>
          <t>LINCOLN NATIONAL CORP</t>
        </is>
      </c>
      <c r="C1131" t="inlineStr">
        <is>
          <t>NYSE</t>
        </is>
      </c>
      <c r="D1131" t="n">
        <v>59558</v>
      </c>
      <c r="E1131" t="inlineStr">
        <is>
          <t>SEC</t>
        </is>
      </c>
    </row>
    <row r="1132">
      <c r="A1132" s="5">
        <f>HYPERLINK("https://finance.yahoo.com/quote/APPF","APPF")</f>
        <v/>
      </c>
      <c r="B1132" t="inlineStr">
        <is>
          <t>APPFOLIO INC</t>
        </is>
      </c>
      <c r="C1132" t="inlineStr">
        <is>
          <t>Nasdaq</t>
        </is>
      </c>
      <c r="D1132" t="n">
        <v>1433195</v>
      </c>
      <c r="E1132" t="inlineStr">
        <is>
          <t>SEC</t>
        </is>
      </c>
    </row>
    <row r="1133">
      <c r="A1133" s="5">
        <f>HYPERLINK("https://finance.yahoo.com/quote/QLYS","QLYS")</f>
        <v/>
      </c>
      <c r="B1133" t="inlineStr">
        <is>
          <t>QUALYS, INC.</t>
        </is>
      </c>
      <c r="C1133" t="inlineStr">
        <is>
          <t>Nasdaq</t>
        </is>
      </c>
      <c r="D1133" t="n">
        <v>1107843</v>
      </c>
      <c r="E1133" t="inlineStr">
        <is>
          <t>SEC</t>
        </is>
      </c>
    </row>
    <row r="1134">
      <c r="A1134" s="5">
        <f>HYPERLINK("https://finance.yahoo.com/quote/AXS","AXS")</f>
        <v/>
      </c>
      <c r="B1134" t="inlineStr">
        <is>
          <t>AXIS CAPITAL HOLDINGS LTD</t>
        </is>
      </c>
      <c r="C1134" t="inlineStr">
        <is>
          <t>NYSE</t>
        </is>
      </c>
      <c r="D1134" t="n">
        <v>1214816</v>
      </c>
      <c r="E1134" t="inlineStr">
        <is>
          <t>SEC</t>
        </is>
      </c>
    </row>
    <row r="1135">
      <c r="A1135" s="5">
        <f>HYPERLINK("https://finance.yahoo.com/quote/COMP","COMP")</f>
        <v/>
      </c>
      <c r="B1135" t="inlineStr">
        <is>
          <t>Compass, Inc.</t>
        </is>
      </c>
      <c r="C1135" t="inlineStr">
        <is>
          <t>NYSE</t>
        </is>
      </c>
      <c r="D1135" t="n">
        <v>1563190</v>
      </c>
      <c r="E1135" t="inlineStr">
        <is>
          <t>SEC</t>
        </is>
      </c>
    </row>
    <row r="1136">
      <c r="A1136" s="5">
        <f>HYPERLINK("https://finance.yahoo.com/quote/WYNN","WYNN")</f>
        <v/>
      </c>
      <c r="B1136" t="inlineStr">
        <is>
          <t>WYNN RESORTS LTD</t>
        </is>
      </c>
      <c r="C1136" t="inlineStr">
        <is>
          <t>Nasdaq</t>
        </is>
      </c>
      <c r="D1136" t="n">
        <v>1174922</v>
      </c>
      <c r="E1136" t="inlineStr">
        <is>
          <t>SEC</t>
        </is>
      </c>
    </row>
    <row r="1137">
      <c r="A1137" s="5">
        <f>HYPERLINK("https://finance.yahoo.com/quote/GIL","GIL")</f>
        <v/>
      </c>
      <c r="B1137" t="inlineStr">
        <is>
          <t>Gildan Activewear Inc.</t>
        </is>
      </c>
      <c r="C1137" t="inlineStr">
        <is>
          <t>NYSE</t>
        </is>
      </c>
      <c r="D1137" t="n">
        <v>1061894</v>
      </c>
      <c r="E1137" t="inlineStr">
        <is>
          <t>SEC</t>
        </is>
      </c>
    </row>
    <row r="1138">
      <c r="A1138" s="5">
        <f>HYPERLINK("https://finance.yahoo.com/quote/FR","FR")</f>
        <v/>
      </c>
      <c r="B1138" t="inlineStr">
        <is>
          <t>FIRST INDUSTRIAL REALTY TRUST INC</t>
        </is>
      </c>
      <c r="C1138" t="inlineStr">
        <is>
          <t>NYSE</t>
        </is>
      </c>
      <c r="D1138" t="n">
        <v>921825</v>
      </c>
      <c r="E1138" t="inlineStr">
        <is>
          <t>SEC</t>
        </is>
      </c>
    </row>
    <row r="1139">
      <c r="A1139" s="5">
        <f>HYPERLINK("https://finance.yahoo.com/quote/LW","LW")</f>
        <v/>
      </c>
      <c r="B1139" t="inlineStr">
        <is>
          <t>Lamb Weston Holdings, Inc.</t>
        </is>
      </c>
      <c r="C1139" t="inlineStr">
        <is>
          <t>NYSE</t>
        </is>
      </c>
      <c r="D1139" t="n">
        <v>1679273</v>
      </c>
      <c r="E1139" t="inlineStr">
        <is>
          <t>SEC</t>
        </is>
      </c>
    </row>
    <row r="1140">
      <c r="A1140" s="5">
        <f>HYPERLINK("https://finance.yahoo.com/quote/MTDR","MTDR")</f>
        <v/>
      </c>
      <c r="B1140" t="inlineStr">
        <is>
          <t>Matador Resources Co</t>
        </is>
      </c>
      <c r="C1140" t="inlineStr">
        <is>
          <t>NYSE</t>
        </is>
      </c>
      <c r="D1140" t="n">
        <v>1520006</v>
      </c>
      <c r="E1140" t="inlineStr">
        <is>
          <t>SEC</t>
        </is>
      </c>
    </row>
    <row r="1141">
      <c r="A1141" s="5">
        <f>HYPERLINK("https://finance.yahoo.com/quote/EMN","EMN")</f>
        <v/>
      </c>
      <c r="B1141" t="inlineStr">
        <is>
          <t>EASTMAN CHEMICAL CO</t>
        </is>
      </c>
      <c r="C1141" t="inlineStr">
        <is>
          <t>NYSE</t>
        </is>
      </c>
      <c r="D1141" t="n">
        <v>915389</v>
      </c>
      <c r="E1141" t="inlineStr">
        <is>
          <t>SEC</t>
        </is>
      </c>
    </row>
    <row r="1142">
      <c r="A1142" s="5">
        <f>HYPERLINK("https://finance.yahoo.com/quote/AGCO","AGCO")</f>
        <v/>
      </c>
      <c r="B1142" t="inlineStr">
        <is>
          <t>AGCO CORP /DE</t>
        </is>
      </c>
      <c r="C1142" t="inlineStr">
        <is>
          <t>NYSE</t>
        </is>
      </c>
      <c r="D1142" t="n">
        <v>880266</v>
      </c>
      <c r="E1142" t="inlineStr">
        <is>
          <t>SEC</t>
        </is>
      </c>
    </row>
    <row r="1143">
      <c r="A1143" s="5">
        <f>HYPERLINK("https://finance.yahoo.com/quote/URBN","URBN")</f>
        <v/>
      </c>
      <c r="B1143" t="inlineStr">
        <is>
          <t>URBAN OUTFITTERS INC</t>
        </is>
      </c>
      <c r="C1143" t="inlineStr">
        <is>
          <t>Nasdaq</t>
        </is>
      </c>
      <c r="D1143" t="n">
        <v>912615</v>
      </c>
      <c r="E1143" t="inlineStr">
        <is>
          <t>SEC</t>
        </is>
      </c>
    </row>
    <row r="1144">
      <c r="A1144" s="5">
        <f>HYPERLINK("https://finance.yahoo.com/quote/ARE","ARE")</f>
        <v/>
      </c>
      <c r="B1144" t="inlineStr">
        <is>
          <t>ALEXANDRIA REAL ESTATE EQUITIES, INC.</t>
        </is>
      </c>
      <c r="C1144" t="inlineStr">
        <is>
          <t>NYSE</t>
        </is>
      </c>
      <c r="D1144" t="n">
        <v>1035443</v>
      </c>
      <c r="E1144" t="inlineStr">
        <is>
          <t>SEC</t>
        </is>
      </c>
    </row>
    <row r="1145">
      <c r="A1145" s="5">
        <f>HYPERLINK("https://finance.yahoo.com/quote/SLAB","SLAB")</f>
        <v/>
      </c>
      <c r="B1145" t="inlineStr">
        <is>
          <t>SILICON LABORATORIES INC.</t>
        </is>
      </c>
      <c r="C1145" t="inlineStr">
        <is>
          <t>Nasdaq</t>
        </is>
      </c>
      <c r="D1145" t="n">
        <v>1038074</v>
      </c>
      <c r="E1145" t="inlineStr">
        <is>
          <t>SEC</t>
        </is>
      </c>
    </row>
    <row r="1146">
      <c r="A1146" s="5">
        <f>HYPERLINK("https://finance.yahoo.com/quote/AXTA","AXTA")</f>
        <v/>
      </c>
      <c r="B1146" t="inlineStr">
        <is>
          <t>Axalta Coating Systems Ltd.</t>
        </is>
      </c>
      <c r="C1146" t="inlineStr">
        <is>
          <t>NYSE</t>
        </is>
      </c>
      <c r="D1146" t="n">
        <v>1616862</v>
      </c>
      <c r="E1146" t="inlineStr">
        <is>
          <t>SEC</t>
        </is>
      </c>
    </row>
    <row r="1147">
      <c r="A1147" s="5">
        <f>HYPERLINK("https://finance.yahoo.com/quote/AG","AG")</f>
        <v/>
      </c>
      <c r="B1147" t="inlineStr">
        <is>
          <t>FIRST MAJESTIC SILVER CORP</t>
        </is>
      </c>
      <c r="C1147" t="inlineStr">
        <is>
          <t>NYSE</t>
        </is>
      </c>
      <c r="D1147" t="n">
        <v>1308648</v>
      </c>
      <c r="E1147" t="inlineStr">
        <is>
          <t>SEC</t>
        </is>
      </c>
    </row>
    <row r="1148">
      <c r="A1148" s="5">
        <f>HYPERLINK("https://finance.yahoo.com/quote/RAL","RAL")</f>
        <v/>
      </c>
      <c r="B1148" t="inlineStr">
        <is>
          <t>Ralliant Corp</t>
        </is>
      </c>
      <c r="C1148" t="inlineStr">
        <is>
          <t>NYSE</t>
        </is>
      </c>
      <c r="D1148" t="n">
        <v>2041385</v>
      </c>
      <c r="E1148" t="inlineStr">
        <is>
          <t>SEC</t>
        </is>
      </c>
    </row>
    <row r="1149">
      <c r="A1149" s="5">
        <f>HYPERLINK("https://finance.yahoo.com/quote/SOBO","SOBO")</f>
        <v/>
      </c>
      <c r="B1149" t="inlineStr">
        <is>
          <t>South Bow Corp</t>
        </is>
      </c>
      <c r="C1149" t="inlineStr">
        <is>
          <t>NYSE</t>
        </is>
      </c>
      <c r="D1149" t="n">
        <v>2019061</v>
      </c>
      <c r="E1149" t="inlineStr">
        <is>
          <t>SEC</t>
        </is>
      </c>
    </row>
    <row r="1150">
      <c r="A1150" s="5">
        <f>HYPERLINK("https://finance.yahoo.com/quote/PATH","PATH")</f>
        <v/>
      </c>
      <c r="B1150" t="inlineStr">
        <is>
          <t>UiPath, Inc.</t>
        </is>
      </c>
      <c r="C1150" t="inlineStr">
        <is>
          <t>NYSE</t>
        </is>
      </c>
      <c r="D1150" t="n">
        <v>1734722</v>
      </c>
      <c r="E1150" t="inlineStr">
        <is>
          <t>SEC</t>
        </is>
      </c>
    </row>
    <row r="1151">
      <c r="A1151" s="5">
        <f>HYPERLINK("https://finance.yahoo.com/quote/ALKS","ALKS")</f>
        <v/>
      </c>
      <c r="B1151" t="inlineStr">
        <is>
          <t>Alkermes plc.</t>
        </is>
      </c>
      <c r="C1151" t="inlineStr">
        <is>
          <t>Nasdaq</t>
        </is>
      </c>
      <c r="D1151" t="n">
        <v>1520262</v>
      </c>
      <c r="E1151" t="inlineStr">
        <is>
          <t>SEC</t>
        </is>
      </c>
    </row>
    <row r="1152">
      <c r="A1152" s="5">
        <f>HYPERLINK("https://finance.yahoo.com/quote/SFD","SFD")</f>
        <v/>
      </c>
      <c r="B1152" t="inlineStr">
        <is>
          <t>SMITHFIELD FOODS INC</t>
        </is>
      </c>
      <c r="C1152" t="inlineStr">
        <is>
          <t>Nasdaq</t>
        </is>
      </c>
      <c r="D1152" t="n">
        <v>91388</v>
      </c>
      <c r="E1152" t="inlineStr">
        <is>
          <t>SEC</t>
        </is>
      </c>
    </row>
    <row r="1153">
      <c r="A1153" s="5">
        <f>HYPERLINK("https://finance.yahoo.com/quote/KTOS","KTOS")</f>
        <v/>
      </c>
      <c r="B1153" t="inlineStr">
        <is>
          <t>KRATOS DEFENSE &amp; SECURITY SOLUTIONS, INC.</t>
        </is>
      </c>
      <c r="C1153" t="inlineStr">
        <is>
          <t>Nasdaq</t>
        </is>
      </c>
      <c r="D1153" t="n">
        <v>1069258</v>
      </c>
      <c r="E1153" t="inlineStr">
        <is>
          <t>SEC</t>
        </is>
      </c>
    </row>
    <row r="1154">
      <c r="A1154" s="5">
        <f>HYPERLINK("https://finance.yahoo.com/quote/AVT","AVT")</f>
        <v/>
      </c>
      <c r="B1154" t="inlineStr">
        <is>
          <t>AVNET INC</t>
        </is>
      </c>
      <c r="C1154" t="inlineStr">
        <is>
          <t>Nasdaq</t>
        </is>
      </c>
      <c r="D1154" t="n">
        <v>8858</v>
      </c>
      <c r="E1154" t="inlineStr">
        <is>
          <t>SEC</t>
        </is>
      </c>
    </row>
    <row r="1155">
      <c r="A1155" s="5">
        <f>HYPERLINK("https://finance.yahoo.com/quote/BROS","BROS")</f>
        <v/>
      </c>
      <c r="B1155" t="inlineStr">
        <is>
          <t>Dutch Bros Inc.</t>
        </is>
      </c>
      <c r="C1155" t="inlineStr">
        <is>
          <t>NYSE</t>
        </is>
      </c>
      <c r="D1155" t="n">
        <v>1866581</v>
      </c>
      <c r="E1155" t="inlineStr">
        <is>
          <t>SEC</t>
        </is>
      </c>
    </row>
    <row r="1156">
      <c r="A1156" s="5">
        <f>HYPERLINK("https://finance.yahoo.com/quote/KMX","KMX")</f>
        <v/>
      </c>
      <c r="B1156" t="inlineStr">
        <is>
          <t>CARMAX INC</t>
        </is>
      </c>
      <c r="C1156" t="inlineStr">
        <is>
          <t>NYSE</t>
        </is>
      </c>
      <c r="D1156" t="n">
        <v>1170010</v>
      </c>
      <c r="E1156" t="inlineStr">
        <is>
          <t>SEC</t>
        </is>
      </c>
    </row>
    <row r="1157">
      <c r="A1157" s="5">
        <f>HYPERLINK("https://finance.yahoo.com/quote/RIG","RIG")</f>
        <v/>
      </c>
      <c r="B1157" t="inlineStr">
        <is>
          <t>Transocean Ltd.</t>
        </is>
      </c>
      <c r="C1157" t="inlineStr">
        <is>
          <t>NYSE</t>
        </is>
      </c>
      <c r="D1157" t="n">
        <v>1451505</v>
      </c>
      <c r="E1157" t="inlineStr">
        <is>
          <t>SEC</t>
        </is>
      </c>
    </row>
    <row r="1158">
      <c r="A1158" s="5">
        <f>HYPERLINK("https://finance.yahoo.com/quote/BZ","BZ")</f>
        <v/>
      </c>
      <c r="B1158" t="inlineStr">
        <is>
          <t>Kanzhun Ltd</t>
        </is>
      </c>
      <c r="C1158" t="inlineStr">
        <is>
          <t>Nasdaq</t>
        </is>
      </c>
      <c r="D1158" t="n">
        <v>1842827</v>
      </c>
      <c r="E1158" t="inlineStr">
        <is>
          <t>SEC</t>
        </is>
      </c>
    </row>
    <row r="1159">
      <c r="A1159" s="5">
        <f>HYPERLINK("https://finance.yahoo.com/quote/MOD","MOD")</f>
        <v/>
      </c>
      <c r="B1159" t="inlineStr">
        <is>
          <t>MODINE MANUFACTURING CO</t>
        </is>
      </c>
      <c r="C1159" t="inlineStr">
        <is>
          <t>NYSE</t>
        </is>
      </c>
      <c r="D1159" t="n">
        <v>67347</v>
      </c>
      <c r="E1159" t="inlineStr">
        <is>
          <t>SEC</t>
        </is>
      </c>
    </row>
    <row r="1160">
      <c r="A1160" s="5">
        <f>HYPERLINK("https://finance.yahoo.com/quote/VSXY","VSXY")</f>
        <v/>
      </c>
      <c r="B1160" t="inlineStr">
        <is>
          <t>Victoria's Secret &amp; Co.</t>
        </is>
      </c>
      <c r="C1160" t="inlineStr">
        <is>
          <t>NYSE</t>
        </is>
      </c>
      <c r="D1160" t="n">
        <v>1856437</v>
      </c>
      <c r="E1160" t="inlineStr">
        <is>
          <t>SEC</t>
        </is>
      </c>
    </row>
    <row r="1161">
      <c r="A1161" s="5">
        <f>HYPERLINK("https://finance.yahoo.com/quote/CELH","CELH")</f>
        <v/>
      </c>
      <c r="B1161" t="inlineStr">
        <is>
          <t>Celsius Holdings, Inc.</t>
        </is>
      </c>
      <c r="C1161" t="inlineStr">
        <is>
          <t>Nasdaq</t>
        </is>
      </c>
      <c r="D1161" t="n">
        <v>1341766</v>
      </c>
      <c r="E1161" t="inlineStr">
        <is>
          <t>SEC</t>
        </is>
      </c>
    </row>
    <row r="1162">
      <c r="A1162" s="5">
        <f>HYPERLINK("https://finance.yahoo.com/quote/MGY","MGY")</f>
        <v/>
      </c>
      <c r="B1162" t="inlineStr">
        <is>
          <t>Magnolia Oil &amp; Gas Corp</t>
        </is>
      </c>
      <c r="C1162" t="inlineStr">
        <is>
          <t>NYSE</t>
        </is>
      </c>
      <c r="D1162" t="n">
        <v>1698990</v>
      </c>
      <c r="E1162" t="inlineStr">
        <is>
          <t>SEC</t>
        </is>
      </c>
    </row>
    <row r="1163">
      <c r="A1163" s="5">
        <f>HYPERLINK("https://finance.yahoo.com/quote/POOL","POOL")</f>
        <v/>
      </c>
      <c r="B1163" t="inlineStr">
        <is>
          <t>POOL CORP</t>
        </is>
      </c>
      <c r="C1163" t="inlineStr">
        <is>
          <t>Nasdaq</t>
        </is>
      </c>
      <c r="D1163" t="n">
        <v>945841</v>
      </c>
      <c r="E1163" t="inlineStr">
        <is>
          <t>SEC</t>
        </is>
      </c>
    </row>
    <row r="1164">
      <c r="A1164" s="5">
        <f>HYPERLINK("https://finance.yahoo.com/quote/STAG","STAG")</f>
        <v/>
      </c>
      <c r="B1164" t="inlineStr">
        <is>
          <t>STAG Industrial, Inc.</t>
        </is>
      </c>
      <c r="C1164" t="inlineStr">
        <is>
          <t>NYSE</t>
        </is>
      </c>
      <c r="D1164" t="n">
        <v>1479094</v>
      </c>
      <c r="E1164" t="inlineStr">
        <is>
          <t>SEC</t>
        </is>
      </c>
    </row>
    <row r="1165">
      <c r="A1165" s="5">
        <f>HYPERLINK("https://finance.yahoo.com/quote/VFS","VFS")</f>
        <v/>
      </c>
      <c r="B1165" t="inlineStr">
        <is>
          <t>VinFast Auto Ltd.</t>
        </is>
      </c>
      <c r="C1165" t="inlineStr">
        <is>
          <t>Nasdaq</t>
        </is>
      </c>
      <c r="D1165" t="n">
        <v>1913510</v>
      </c>
      <c r="E1165" t="inlineStr">
        <is>
          <t>SEC</t>
        </is>
      </c>
    </row>
    <row r="1166">
      <c r="A1166" s="5">
        <f>HYPERLINK("https://finance.yahoo.com/quote/SARO","SARO")</f>
        <v/>
      </c>
      <c r="B1166" t="inlineStr">
        <is>
          <t>StandardAero, Inc.</t>
        </is>
      </c>
      <c r="C1166" t="inlineStr">
        <is>
          <t>NYSE</t>
        </is>
      </c>
      <c r="D1166" t="n">
        <v>2025410</v>
      </c>
      <c r="E1166" t="inlineStr">
        <is>
          <t>SEC</t>
        </is>
      </c>
    </row>
    <row r="1167">
      <c r="A1167" s="5">
        <f>HYPERLINK("https://finance.yahoo.com/quote/NICE","NICE")</f>
        <v/>
      </c>
      <c r="B1167" t="inlineStr">
        <is>
          <t>NICE Ltd.</t>
        </is>
      </c>
      <c r="C1167" t="inlineStr">
        <is>
          <t>Nasdaq</t>
        </is>
      </c>
      <c r="D1167" t="n">
        <v>1003935</v>
      </c>
      <c r="E1167" t="inlineStr">
        <is>
          <t>SEC</t>
        </is>
      </c>
    </row>
    <row r="1168">
      <c r="A1168" s="5">
        <f>HYPERLINK("https://finance.yahoo.com/quote/PRMB","PRMB")</f>
        <v/>
      </c>
      <c r="B1168" t="inlineStr">
        <is>
          <t>Primo Brands Corp</t>
        </is>
      </c>
      <c r="C1168" t="inlineStr">
        <is>
          <t>NYSE</t>
        </is>
      </c>
      <c r="D1168" t="n">
        <v>2042694</v>
      </c>
      <c r="E1168" t="inlineStr">
        <is>
          <t>SEC</t>
        </is>
      </c>
    </row>
    <row r="1169">
      <c r="A1169" s="5">
        <f>HYPERLINK("https://finance.yahoo.com/quote/AWI","AWI")</f>
        <v/>
      </c>
      <c r="B1169" t="inlineStr">
        <is>
          <t>ARMSTRONG WORLD INDUSTRIES INC</t>
        </is>
      </c>
      <c r="C1169" t="inlineStr">
        <is>
          <t>NYSE</t>
        </is>
      </c>
      <c r="D1169" t="n">
        <v>7431</v>
      </c>
      <c r="E1169" t="inlineStr">
        <is>
          <t>SEC</t>
        </is>
      </c>
    </row>
    <row r="1170">
      <c r="A1170" s="5">
        <f>HYPERLINK("https://finance.yahoo.com/quote/IONS","IONS")</f>
        <v/>
      </c>
      <c r="B1170" t="inlineStr">
        <is>
          <t>IONIS PHARMACEUTICALS INC</t>
        </is>
      </c>
      <c r="C1170" t="inlineStr">
        <is>
          <t>Nasdaq</t>
        </is>
      </c>
      <c r="D1170" t="n">
        <v>874015</v>
      </c>
      <c r="E1170" t="inlineStr">
        <is>
          <t>SEC</t>
        </is>
      </c>
    </row>
    <row r="1171">
      <c r="A1171" s="5">
        <f>HYPERLINK("https://finance.yahoo.com/quote/MGM","MGM")</f>
        <v/>
      </c>
      <c r="B1171" t="inlineStr">
        <is>
          <t>MGM Resorts International</t>
        </is>
      </c>
      <c r="C1171" t="inlineStr">
        <is>
          <t>NYSE</t>
        </is>
      </c>
      <c r="D1171" t="n">
        <v>789570</v>
      </c>
      <c r="E1171" t="inlineStr">
        <is>
          <t>SEC</t>
        </is>
      </c>
    </row>
    <row r="1172">
      <c r="A1172" s="5">
        <f>HYPERLINK("https://finance.yahoo.com/quote/BJGPY","BJGPY")</f>
        <v/>
      </c>
      <c r="B1172" t="inlineStr">
        <is>
          <t>Beijing Geekplus Technology Co., Ltd./ADR</t>
        </is>
      </c>
      <c r="C1172" t="inlineStr">
        <is>
          <t>OTC</t>
        </is>
      </c>
      <c r="D1172" t="n">
        <v>2098425</v>
      </c>
      <c r="E1172" t="inlineStr">
        <is>
          <t>SEC</t>
        </is>
      </c>
    </row>
    <row r="1173">
      <c r="A1173" s="5">
        <f>HYPERLINK("https://finance.yahoo.com/quote/TRNO","TRNO")</f>
        <v/>
      </c>
      <c r="B1173" t="inlineStr">
        <is>
          <t>Terreno Realty Corp</t>
        </is>
      </c>
      <c r="C1173" t="inlineStr">
        <is>
          <t>NYSE</t>
        </is>
      </c>
      <c r="D1173" t="n">
        <v>1476150</v>
      </c>
      <c r="E1173" t="inlineStr">
        <is>
          <t>SEC</t>
        </is>
      </c>
    </row>
    <row r="1174">
      <c r="A1174" s="5">
        <f>HYPERLINK("https://finance.yahoo.com/quote/MAC","MAC")</f>
        <v/>
      </c>
      <c r="B1174" t="inlineStr">
        <is>
          <t>MACERICH CO</t>
        </is>
      </c>
      <c r="C1174" t="inlineStr">
        <is>
          <t>NYSE</t>
        </is>
      </c>
      <c r="D1174" t="n">
        <v>912242</v>
      </c>
      <c r="E1174" t="inlineStr">
        <is>
          <t>SEC</t>
        </is>
      </c>
    </row>
    <row r="1175">
      <c r="A1175" s="5">
        <f>HYPERLINK("https://finance.yahoo.com/quote/BVN","BVN")</f>
        <v/>
      </c>
      <c r="B1175" t="inlineStr">
        <is>
          <t>BUENAVENTURA MINING CO INC</t>
        </is>
      </c>
      <c r="C1175" t="inlineStr">
        <is>
          <t>NYSE</t>
        </is>
      </c>
      <c r="D1175" t="n">
        <v>1013131</v>
      </c>
      <c r="E1175" t="inlineStr">
        <is>
          <t>SEC</t>
        </is>
      </c>
    </row>
    <row r="1176">
      <c r="A1176" s="5">
        <f>HYPERLINK("https://finance.yahoo.com/quote/AMRX","AMRX")</f>
        <v/>
      </c>
      <c r="B1176" t="inlineStr">
        <is>
          <t>Amneal Pharmaceuticals, Inc.</t>
        </is>
      </c>
      <c r="C1176" t="inlineStr">
        <is>
          <t>Nasdaq</t>
        </is>
      </c>
      <c r="D1176" t="n">
        <v>1723128</v>
      </c>
      <c r="E1176" t="inlineStr">
        <is>
          <t>SEC</t>
        </is>
      </c>
    </row>
    <row r="1177">
      <c r="A1177" s="5">
        <f>HYPERLINK("https://finance.yahoo.com/quote/NOV","NOV")</f>
        <v/>
      </c>
      <c r="B1177" t="inlineStr">
        <is>
          <t>NOV Inc.</t>
        </is>
      </c>
      <c r="C1177" t="inlineStr">
        <is>
          <t>NYSE</t>
        </is>
      </c>
      <c r="D1177" t="n">
        <v>1021860</v>
      </c>
      <c r="E1177" t="inlineStr">
        <is>
          <t>SEC</t>
        </is>
      </c>
    </row>
    <row r="1178">
      <c r="A1178" s="5">
        <f>HYPERLINK("https://finance.yahoo.com/quote/CAG","CAG")</f>
        <v/>
      </c>
      <c r="B1178" t="inlineStr">
        <is>
          <t>CONAGRA BRANDS INC.</t>
        </is>
      </c>
      <c r="C1178" t="inlineStr">
        <is>
          <t>NYSE</t>
        </is>
      </c>
      <c r="D1178" t="n">
        <v>23217</v>
      </c>
      <c r="E1178" t="inlineStr">
        <is>
          <t>SEC</t>
        </is>
      </c>
    </row>
    <row r="1179">
      <c r="A1179" s="5">
        <f>HYPERLINK("https://finance.yahoo.com/quote/MSA","MSA")</f>
        <v/>
      </c>
      <c r="B1179" t="inlineStr">
        <is>
          <t>MSA Safety Inc</t>
        </is>
      </c>
      <c r="C1179" t="inlineStr">
        <is>
          <t>NYSE</t>
        </is>
      </c>
      <c r="D1179" t="n">
        <v>66570</v>
      </c>
      <c r="E1179" t="inlineStr">
        <is>
          <t>SEC</t>
        </is>
      </c>
    </row>
    <row r="1180">
      <c r="A1180" s="5">
        <f>HYPERLINK("https://finance.yahoo.com/quote/CVLT","CVLT")</f>
        <v/>
      </c>
      <c r="B1180" t="inlineStr">
        <is>
          <t>COMMVAULT SYSTEMS INC</t>
        </is>
      </c>
      <c r="C1180" t="inlineStr">
        <is>
          <t>Nasdaq</t>
        </is>
      </c>
      <c r="D1180" t="n">
        <v>1169561</v>
      </c>
      <c r="E1180" t="inlineStr">
        <is>
          <t>SEC</t>
        </is>
      </c>
    </row>
    <row r="1181">
      <c r="A1181" s="5">
        <f>HYPERLINK("https://finance.yahoo.com/quote/LU","LU")</f>
        <v/>
      </c>
      <c r="B1181" t="inlineStr">
        <is>
          <t>Lufax Holding Ltd</t>
        </is>
      </c>
      <c r="C1181" t="inlineStr">
        <is>
          <t>NYSE</t>
        </is>
      </c>
      <c r="D1181" t="n">
        <v>1816007</v>
      </c>
      <c r="E1181" t="inlineStr">
        <is>
          <t>SEC</t>
        </is>
      </c>
    </row>
    <row r="1182">
      <c r="A1182" s="5">
        <f>HYPERLINK("https://finance.yahoo.com/quote/TKOMY","TKOMY")</f>
        <v/>
      </c>
      <c r="B1182" t="inlineStr">
        <is>
          <t>TOKIO MARINE HOLDINGS, INC.</t>
        </is>
      </c>
      <c r="C1182" t="inlineStr">
        <is>
          <t>OTC</t>
        </is>
      </c>
      <c r="D1182" t="n">
        <v>1169486</v>
      </c>
      <c r="E1182" t="inlineStr">
        <is>
          <t>SEC</t>
        </is>
      </c>
    </row>
    <row r="1183">
      <c r="A1183" s="5">
        <f>HYPERLINK("https://finance.yahoo.com/quote/PRAX","PRAX")</f>
        <v/>
      </c>
      <c r="B1183" t="inlineStr">
        <is>
          <t>Praxis Precision Medicines, Inc.</t>
        </is>
      </c>
      <c r="C1183" t="inlineStr">
        <is>
          <t>Nasdaq</t>
        </is>
      </c>
      <c r="D1183" t="n">
        <v>1689548</v>
      </c>
      <c r="E1183" t="inlineStr">
        <is>
          <t>SEC</t>
        </is>
      </c>
    </row>
    <row r="1184">
      <c r="A1184" s="5">
        <f>HYPERLINK("https://finance.yahoo.com/quote/KEX","KEX")</f>
        <v/>
      </c>
      <c r="B1184" t="inlineStr">
        <is>
          <t>KIRBY CORP</t>
        </is>
      </c>
      <c r="C1184" t="inlineStr">
        <is>
          <t>NYSE</t>
        </is>
      </c>
      <c r="D1184" t="n">
        <v>56047</v>
      </c>
      <c r="E1184" t="inlineStr">
        <is>
          <t>SEC</t>
        </is>
      </c>
    </row>
    <row r="1185">
      <c r="A1185" s="5">
        <f>HYPERLINK("https://finance.yahoo.com/quote/TBBB","TBBB")</f>
        <v/>
      </c>
      <c r="B1185" t="inlineStr">
        <is>
          <t>BBB FOODS INC</t>
        </is>
      </c>
      <c r="C1185" t="inlineStr">
        <is>
          <t>NYSE</t>
        </is>
      </c>
      <c r="D1185" t="n">
        <v>1978954</v>
      </c>
      <c r="E1185" t="inlineStr">
        <is>
          <t>SEC</t>
        </is>
      </c>
    </row>
    <row r="1186">
      <c r="A1186" s="5">
        <f>HYPERLINK("https://finance.yahoo.com/quote/EPAM","EPAM")</f>
        <v/>
      </c>
      <c r="B1186" t="inlineStr">
        <is>
          <t>EPAM Systems, Inc.</t>
        </is>
      </c>
      <c r="C1186" t="inlineStr">
        <is>
          <t>NYSE</t>
        </is>
      </c>
      <c r="D1186" t="n">
        <v>1352010</v>
      </c>
      <c r="E1186" t="inlineStr">
        <is>
          <t>SEC</t>
        </is>
      </c>
    </row>
    <row r="1187">
      <c r="A1187" s="5">
        <f>HYPERLINK("https://finance.yahoo.com/quote/NAVN","NAVN")</f>
        <v/>
      </c>
      <c r="B1187" t="inlineStr">
        <is>
          <t>Navan, Inc.</t>
        </is>
      </c>
      <c r="C1187" t="inlineStr">
        <is>
          <t>Nasdaq</t>
        </is>
      </c>
      <c r="D1187" t="n">
        <v>1639723</v>
      </c>
      <c r="E1187" t="inlineStr">
        <is>
          <t>SEC</t>
        </is>
      </c>
    </row>
    <row r="1188">
      <c r="A1188" s="5">
        <f>HYPERLINK("https://finance.yahoo.com/quote/RNG","RNG")</f>
        <v/>
      </c>
      <c r="B1188" t="inlineStr">
        <is>
          <t>RingCentral, Inc.</t>
        </is>
      </c>
      <c r="C1188" t="inlineStr">
        <is>
          <t>NYSE</t>
        </is>
      </c>
      <c r="D1188" t="n">
        <v>1384905</v>
      </c>
      <c r="E1188" t="inlineStr">
        <is>
          <t>SEC</t>
        </is>
      </c>
    </row>
    <row r="1189">
      <c r="A1189" s="5">
        <f>HYPERLINK("https://finance.yahoo.com/quote/GLBE","GLBE")</f>
        <v/>
      </c>
      <c r="B1189" t="inlineStr">
        <is>
          <t>Global-E Online Ltd.</t>
        </is>
      </c>
      <c r="C1189" t="inlineStr">
        <is>
          <t>Nasdaq</t>
        </is>
      </c>
      <c r="D1189" t="n">
        <v>1835963</v>
      </c>
      <c r="E1189" t="inlineStr">
        <is>
          <t>SEC</t>
        </is>
      </c>
    </row>
    <row r="1190">
      <c r="A1190" s="5">
        <f>HYPERLINK("https://finance.yahoo.com/quote/FSS","FSS")</f>
        <v/>
      </c>
      <c r="B1190" t="inlineStr">
        <is>
          <t>FEDERAL SIGNAL CORP /DE/</t>
        </is>
      </c>
      <c r="C1190" t="inlineStr">
        <is>
          <t>NYSE</t>
        </is>
      </c>
      <c r="D1190" t="n">
        <v>277509</v>
      </c>
      <c r="E1190" t="inlineStr">
        <is>
          <t>SEC</t>
        </is>
      </c>
    </row>
    <row r="1191">
      <c r="A1191" s="5">
        <f>HYPERLINK("https://finance.yahoo.com/quote/MP","MP")</f>
        <v/>
      </c>
      <c r="B1191" t="inlineStr">
        <is>
          <t>MP Materials Corp. / DE</t>
        </is>
      </c>
      <c r="C1191" t="inlineStr">
        <is>
          <t>NYSE</t>
        </is>
      </c>
      <c r="D1191" t="n">
        <v>1801368</v>
      </c>
      <c r="E1191" t="inlineStr">
        <is>
          <t>SEC</t>
        </is>
      </c>
    </row>
    <row r="1192">
      <c r="A1192" s="5">
        <f>HYPERLINK("https://finance.yahoo.com/quote/VNO","VNO")</f>
        <v/>
      </c>
      <c r="B1192" t="inlineStr">
        <is>
          <t>VORNADO REALTY TRUST</t>
        </is>
      </c>
      <c r="C1192" t="inlineStr">
        <is>
          <t>NYSE</t>
        </is>
      </c>
      <c r="D1192" t="n">
        <v>899689</v>
      </c>
      <c r="E1192" t="inlineStr">
        <is>
          <t>SEC</t>
        </is>
      </c>
    </row>
    <row r="1193">
      <c r="A1193" s="5">
        <f>HYPERLINK("https://finance.yahoo.com/quote/SNEX","SNEX")</f>
        <v/>
      </c>
      <c r="B1193" t="inlineStr">
        <is>
          <t>StoneX Group Inc.</t>
        </is>
      </c>
      <c r="C1193" t="inlineStr">
        <is>
          <t>Nasdaq</t>
        </is>
      </c>
      <c r="D1193" t="n">
        <v>913760</v>
      </c>
      <c r="E1193" t="inlineStr">
        <is>
          <t>SEC</t>
        </is>
      </c>
    </row>
    <row r="1194">
      <c r="A1194" s="5">
        <f>HYPERLINK("https://finance.yahoo.com/quote/NCLH","NCLH")</f>
        <v/>
      </c>
      <c r="B1194" t="inlineStr">
        <is>
          <t>Norwegian Cruise Line Holdings Ltd.</t>
        </is>
      </c>
      <c r="C1194" t="inlineStr">
        <is>
          <t>NYSE</t>
        </is>
      </c>
      <c r="D1194" t="n">
        <v>1513761</v>
      </c>
      <c r="E1194" t="inlineStr">
        <is>
          <t>SEC</t>
        </is>
      </c>
    </row>
    <row r="1195">
      <c r="A1195" s="5">
        <f>HYPERLINK("https://finance.yahoo.com/quote/VAL","VAL")</f>
        <v/>
      </c>
      <c r="B1195" t="inlineStr">
        <is>
          <t>Valaris Ltd</t>
        </is>
      </c>
      <c r="C1195" t="inlineStr">
        <is>
          <t>NYSE</t>
        </is>
      </c>
      <c r="D1195" t="n">
        <v>314808</v>
      </c>
      <c r="E1195" t="inlineStr">
        <is>
          <t>SEC</t>
        </is>
      </c>
    </row>
    <row r="1196">
      <c r="A1196" s="5">
        <f>HYPERLINK("https://finance.yahoo.com/quote/G","G")</f>
        <v/>
      </c>
      <c r="B1196" t="inlineStr">
        <is>
          <t>Genpact LTD</t>
        </is>
      </c>
      <c r="C1196" t="inlineStr">
        <is>
          <t>NYSE</t>
        </is>
      </c>
      <c r="D1196" t="n">
        <v>1398659</v>
      </c>
      <c r="E1196" t="inlineStr">
        <is>
          <t>SEC</t>
        </is>
      </c>
    </row>
    <row r="1197">
      <c r="A1197" s="5">
        <f>HYPERLINK("https://finance.yahoo.com/quote/PDI","PDI")</f>
        <v/>
      </c>
      <c r="B1197" t="inlineStr">
        <is>
          <t>PIMCO Dynamic Income Fund</t>
        </is>
      </c>
      <c r="C1197" t="inlineStr">
        <is>
          <t>NYSE</t>
        </is>
      </c>
      <c r="D1197" t="n">
        <v>1510599</v>
      </c>
      <c r="E1197" t="inlineStr">
        <is>
          <t>SEC</t>
        </is>
      </c>
    </row>
    <row r="1198">
      <c r="A1198" s="5">
        <f>HYPERLINK("https://finance.yahoo.com/quote/DY","DY")</f>
        <v/>
      </c>
      <c r="B1198" t="inlineStr">
        <is>
          <t>DYCOM INDUSTRIES INC</t>
        </is>
      </c>
      <c r="C1198" t="inlineStr">
        <is>
          <t>NYSE</t>
        </is>
      </c>
      <c r="D1198" t="n">
        <v>67215</v>
      </c>
      <c r="E1198" t="inlineStr">
        <is>
          <t>SEC</t>
        </is>
      </c>
    </row>
    <row r="1199">
      <c r="A1199" s="5">
        <f>HYPERLINK("https://finance.yahoo.com/quote/MATX","MATX")</f>
        <v/>
      </c>
      <c r="B1199" t="inlineStr">
        <is>
          <t>Matson, Inc.</t>
        </is>
      </c>
      <c r="C1199" t="inlineStr">
        <is>
          <t>NYSE</t>
        </is>
      </c>
      <c r="D1199" t="n">
        <v>3453</v>
      </c>
      <c r="E1199" t="inlineStr">
        <is>
          <t>SEC</t>
        </is>
      </c>
    </row>
    <row r="1200">
      <c r="A1200" s="5">
        <f>HYPERLINK("https://finance.yahoo.com/quote/LPGCY","LPGCY")</f>
        <v/>
      </c>
      <c r="B1200" t="inlineStr">
        <is>
          <t>Laopu Gold Co. Ltd./ADR</t>
        </is>
      </c>
      <c r="C1200" t="inlineStr">
        <is>
          <t>OTC</t>
        </is>
      </c>
      <c r="D1200" t="n">
        <v>2068440</v>
      </c>
      <c r="E1200" t="inlineStr">
        <is>
          <t>SEC</t>
        </is>
      </c>
    </row>
    <row r="1201">
      <c r="A1201" s="5">
        <f>HYPERLINK("https://finance.yahoo.com/quote/OTEX","OTEX")</f>
        <v/>
      </c>
      <c r="B1201" t="inlineStr">
        <is>
          <t>OPEN TEXT CORP</t>
        </is>
      </c>
      <c r="C1201" t="inlineStr">
        <is>
          <t>Nasdaq</t>
        </is>
      </c>
      <c r="D1201" t="n">
        <v>1002638</v>
      </c>
      <c r="E1201" t="inlineStr">
        <is>
          <t>SEC</t>
        </is>
      </c>
    </row>
    <row r="1202">
      <c r="A1202" s="5">
        <f>HYPERLINK("https://finance.yahoo.com/quote/CEF","CEF")</f>
        <v/>
      </c>
      <c r="B1202" t="inlineStr">
        <is>
          <t>Sprott Physical Gold &amp; Silver Trust</t>
        </is>
      </c>
      <c r="C1202" t="inlineStr">
        <is>
          <t>NYSE</t>
        </is>
      </c>
      <c r="D1202" t="n">
        <v>1726122</v>
      </c>
      <c r="E1202" t="inlineStr">
        <is>
          <t>SEC</t>
        </is>
      </c>
    </row>
    <row r="1203">
      <c r="A1203" s="5">
        <f>HYPERLINK("https://finance.yahoo.com/quote/WEX","WEX")</f>
        <v/>
      </c>
      <c r="B1203" t="inlineStr">
        <is>
          <t>WEX Inc.</t>
        </is>
      </c>
      <c r="C1203" t="inlineStr">
        <is>
          <t>NYSE</t>
        </is>
      </c>
      <c r="D1203" t="n">
        <v>1309108</v>
      </c>
      <c r="E1203" t="inlineStr">
        <is>
          <t>SEC</t>
        </is>
      </c>
    </row>
    <row r="1204">
      <c r="A1204" s="5">
        <f>HYPERLINK("https://finance.yahoo.com/quote/ESYJY","ESYJY")</f>
        <v/>
      </c>
      <c r="B1204" t="inlineStr">
        <is>
          <t>easyJet plc</t>
        </is>
      </c>
      <c r="C1204" t="inlineStr">
        <is>
          <t>OTC</t>
        </is>
      </c>
      <c r="D1204" t="n">
        <v>1470419</v>
      </c>
      <c r="E1204" t="inlineStr">
        <is>
          <t>SEC</t>
        </is>
      </c>
    </row>
    <row r="1205">
      <c r="A1205" s="5">
        <f>HYPERLINK("https://finance.yahoo.com/quote/ELF","ELF")</f>
        <v/>
      </c>
      <c r="B1205" t="inlineStr">
        <is>
          <t>e.l.f. Beauty, Inc.</t>
        </is>
      </c>
      <c r="C1205" t="inlineStr">
        <is>
          <t>NYSE</t>
        </is>
      </c>
      <c r="D1205" t="n">
        <v>1600033</v>
      </c>
      <c r="E1205" t="inlineStr">
        <is>
          <t>SEC</t>
        </is>
      </c>
    </row>
    <row r="1206">
      <c r="A1206" s="5">
        <f>HYPERLINK("https://finance.yahoo.com/quote/VFC","VFC")</f>
        <v/>
      </c>
      <c r="B1206" t="inlineStr">
        <is>
          <t>V F CORP</t>
        </is>
      </c>
      <c r="C1206" t="inlineStr">
        <is>
          <t>NYSE</t>
        </is>
      </c>
      <c r="D1206" t="n">
        <v>103379</v>
      </c>
      <c r="E1206" t="inlineStr">
        <is>
          <t>SEC</t>
        </is>
      </c>
    </row>
    <row r="1207">
      <c r="A1207" s="5">
        <f>HYPERLINK("https://finance.yahoo.com/quote/DUOL","DUOL")</f>
        <v/>
      </c>
      <c r="B1207" t="inlineStr">
        <is>
          <t>Duolingo, Inc.</t>
        </is>
      </c>
      <c r="C1207" t="inlineStr">
        <is>
          <t>Nasdaq</t>
        </is>
      </c>
      <c r="D1207" t="n">
        <v>1562088</v>
      </c>
      <c r="E1207" t="inlineStr">
        <is>
          <t>SEC</t>
        </is>
      </c>
    </row>
    <row r="1208">
      <c r="A1208" s="5">
        <f>HYPERLINK("https://finance.yahoo.com/quote/CHE","CHE")</f>
        <v/>
      </c>
      <c r="B1208" t="inlineStr">
        <is>
          <t>CHEMED CORP</t>
        </is>
      </c>
      <c r="C1208" t="inlineStr">
        <is>
          <t>NYSE</t>
        </is>
      </c>
      <c r="D1208" t="n">
        <v>19584</v>
      </c>
      <c r="E1208" t="inlineStr">
        <is>
          <t>SEC</t>
        </is>
      </c>
    </row>
    <row r="1209">
      <c r="A1209" s="5">
        <f>HYPERLINK("https://finance.yahoo.com/quote/SBSW","SBSW")</f>
        <v/>
      </c>
      <c r="B1209" t="inlineStr">
        <is>
          <t>Sibanye Stillwater Ltd</t>
        </is>
      </c>
      <c r="C1209" t="inlineStr">
        <is>
          <t>NYSE</t>
        </is>
      </c>
      <c r="D1209" t="n">
        <v>1786909</v>
      </c>
      <c r="E1209" t="inlineStr">
        <is>
          <t>SEC</t>
        </is>
      </c>
    </row>
    <row r="1210">
      <c r="A1210" s="5">
        <f>HYPERLINK("https://finance.yahoo.com/quote/ACI","ACI")</f>
        <v/>
      </c>
      <c r="B1210" t="inlineStr">
        <is>
          <t>Albertsons Companies, Inc.</t>
        </is>
      </c>
      <c r="C1210" t="inlineStr">
        <is>
          <t>NYSE</t>
        </is>
      </c>
      <c r="D1210" t="n">
        <v>1646972</v>
      </c>
      <c r="E1210" t="inlineStr">
        <is>
          <t>SEC</t>
        </is>
      </c>
    </row>
    <row r="1211">
      <c r="A1211" s="5">
        <f>HYPERLINK("https://finance.yahoo.com/quote/PAGP","PAGP")</f>
        <v/>
      </c>
      <c r="B1211" t="inlineStr">
        <is>
          <t>PLAINS GP HOLDINGS LP</t>
        </is>
      </c>
      <c r="C1211" t="inlineStr">
        <is>
          <t>Nasdaq</t>
        </is>
      </c>
      <c r="D1211" t="n">
        <v>1581990</v>
      </c>
      <c r="E1211" t="inlineStr">
        <is>
          <t>SEC</t>
        </is>
      </c>
    </row>
    <row r="1212">
      <c r="A1212" s="5">
        <f>HYPERLINK("https://finance.yahoo.com/quote/UBSI","UBSI")</f>
        <v/>
      </c>
      <c r="B1212" t="inlineStr">
        <is>
          <t>UNITED BANKSHARES INC/WV</t>
        </is>
      </c>
      <c r="C1212" t="inlineStr">
        <is>
          <t>Nasdaq</t>
        </is>
      </c>
      <c r="D1212" t="n">
        <v>729986</v>
      </c>
      <c r="E1212" t="inlineStr">
        <is>
          <t>SEC</t>
        </is>
      </c>
    </row>
    <row r="1213">
      <c r="A1213" s="5">
        <f>HYPERLINK("https://finance.yahoo.com/quote/SWX","SWX")</f>
        <v/>
      </c>
      <c r="B1213" t="inlineStr">
        <is>
          <t>Southwest Gas Holdings, Inc.</t>
        </is>
      </c>
      <c r="C1213" t="inlineStr">
        <is>
          <t>NYSE</t>
        </is>
      </c>
      <c r="D1213" t="n">
        <v>1692115</v>
      </c>
      <c r="E1213" t="inlineStr">
        <is>
          <t>SEC</t>
        </is>
      </c>
    </row>
    <row r="1214">
      <c r="A1214" s="5">
        <f>HYPERLINK("https://finance.yahoo.com/quote/VCTR","VCTR")</f>
        <v/>
      </c>
      <c r="B1214" t="inlineStr">
        <is>
          <t>Victory Capital Holdings, Inc.</t>
        </is>
      </c>
      <c r="C1214" t="inlineStr">
        <is>
          <t>Nasdaq</t>
        </is>
      </c>
      <c r="D1214" t="n">
        <v>1570827</v>
      </c>
      <c r="E1214" t="inlineStr">
        <is>
          <t>SEC</t>
        </is>
      </c>
    </row>
    <row r="1215">
      <c r="A1215" s="5">
        <f>HYPERLINK("https://finance.yahoo.com/quote/FAF","FAF")</f>
        <v/>
      </c>
      <c r="B1215" t="inlineStr">
        <is>
          <t>First American Financial Corp</t>
        </is>
      </c>
      <c r="C1215" t="inlineStr">
        <is>
          <t>NYSE</t>
        </is>
      </c>
      <c r="D1215" t="n">
        <v>1472787</v>
      </c>
      <c r="E1215" t="inlineStr">
        <is>
          <t>SEC</t>
        </is>
      </c>
    </row>
    <row r="1216">
      <c r="A1216" s="5">
        <f>HYPERLINK("https://finance.yahoo.com/quote/RCWLY","RCWLY")</f>
        <v/>
      </c>
      <c r="B1216" t="inlineStr">
        <is>
          <t>Rockwool A/S/ADR</t>
        </is>
      </c>
      <c r="C1216" t="inlineStr">
        <is>
          <t>OTC</t>
        </is>
      </c>
      <c r="D1216" t="n">
        <v>1969729</v>
      </c>
      <c r="E1216" t="inlineStr">
        <is>
          <t>SEC</t>
        </is>
      </c>
    </row>
    <row r="1217">
      <c r="A1217" s="5">
        <f>HYPERLINK("https://finance.yahoo.com/quote/ANF","ANF")</f>
        <v/>
      </c>
      <c r="B1217" t="inlineStr">
        <is>
          <t>ABERCROMBIE &amp; FITCH CO /DE/</t>
        </is>
      </c>
      <c r="C1217" t="inlineStr">
        <is>
          <t>NYSE</t>
        </is>
      </c>
      <c r="D1217" t="n">
        <v>1018840</v>
      </c>
      <c r="E1217" t="inlineStr">
        <is>
          <t>SEC</t>
        </is>
      </c>
    </row>
    <row r="1218">
      <c r="A1218" s="5">
        <f>HYPERLINK("https://finance.yahoo.com/quote/AUGO","AUGO")</f>
        <v/>
      </c>
      <c r="B1218" t="inlineStr">
        <is>
          <t>Aura Minerals Inc.</t>
        </is>
      </c>
      <c r="C1218" t="inlineStr">
        <is>
          <t>Nasdaq</t>
        </is>
      </c>
      <c r="D1218" t="n">
        <v>1468642</v>
      </c>
      <c r="E1218" t="inlineStr">
        <is>
          <t>SEC</t>
        </is>
      </c>
    </row>
    <row r="1219">
      <c r="A1219" s="5">
        <f>HYPERLINK("https://finance.yahoo.com/quote/ACT","ACT")</f>
        <v/>
      </c>
      <c r="B1219" t="inlineStr">
        <is>
          <t>Enact Holdings, Inc.</t>
        </is>
      </c>
      <c r="C1219" t="inlineStr">
        <is>
          <t>Nasdaq</t>
        </is>
      </c>
      <c r="D1219" t="n">
        <v>1823529</v>
      </c>
      <c r="E1219" t="inlineStr">
        <is>
          <t>SEC</t>
        </is>
      </c>
    </row>
    <row r="1220">
      <c r="A1220" s="5">
        <f>HYPERLINK("https://finance.yahoo.com/quote/PPC","PPC")</f>
        <v/>
      </c>
      <c r="B1220" t="inlineStr">
        <is>
          <t>PILGRIMS PRIDE CORP</t>
        </is>
      </c>
      <c r="C1220" t="inlineStr">
        <is>
          <t>Nasdaq</t>
        </is>
      </c>
      <c r="D1220" t="n">
        <v>802481</v>
      </c>
      <c r="E1220" t="inlineStr">
        <is>
          <t>SEC</t>
        </is>
      </c>
    </row>
    <row r="1221">
      <c r="A1221" s="5">
        <f>HYPERLINK("https://finance.yahoo.com/quote/DOX","DOX")</f>
        <v/>
      </c>
      <c r="B1221" t="inlineStr">
        <is>
          <t>AMDOCS LTD</t>
        </is>
      </c>
      <c r="C1221" t="inlineStr">
        <is>
          <t>Nasdaq</t>
        </is>
      </c>
      <c r="D1221" t="n">
        <v>1062579</v>
      </c>
      <c r="E1221" t="inlineStr">
        <is>
          <t>SEC</t>
        </is>
      </c>
    </row>
    <row r="1222">
      <c r="A1222" s="5">
        <f>HYPERLINK("https://finance.yahoo.com/quote/CIG","CIG")</f>
        <v/>
      </c>
      <c r="B1222" t="inlineStr">
        <is>
          <t>ENERGY CO OF MINAS GERAIS</t>
        </is>
      </c>
      <c r="C1222" t="inlineStr">
        <is>
          <t>NYSE</t>
        </is>
      </c>
      <c r="D1222" t="n">
        <v>1157557</v>
      </c>
      <c r="E1222" t="inlineStr">
        <is>
          <t>SEC</t>
        </is>
      </c>
    </row>
    <row r="1223">
      <c r="A1223" s="5">
        <f>HYPERLINK("https://finance.yahoo.com/quote/LOTMY","LOTMY")</f>
        <v/>
      </c>
      <c r="B1223" t="inlineStr">
        <is>
          <t>Lottomatica Group S.p.A./ADR</t>
        </is>
      </c>
      <c r="C1223" t="inlineStr">
        <is>
          <t>OTC</t>
        </is>
      </c>
      <c r="D1223" t="n">
        <v>2041918</v>
      </c>
      <c r="E1223" t="inlineStr">
        <is>
          <t>SEC</t>
        </is>
      </c>
    </row>
    <row r="1224">
      <c r="A1224" s="5">
        <f>HYPERLINK("https://finance.yahoo.com/quote/ARSTY","ARSTY")</f>
        <v/>
      </c>
      <c r="B1224" t="inlineStr">
        <is>
          <t>Ariston Holding N.V./ADR</t>
        </is>
      </c>
      <c r="C1224" t="inlineStr">
        <is>
          <t>OTC</t>
        </is>
      </c>
      <c r="D1224" t="n">
        <v>2044984</v>
      </c>
      <c r="E1224" t="inlineStr">
        <is>
          <t>SEC</t>
        </is>
      </c>
    </row>
    <row r="1225">
      <c r="A1225" s="5">
        <f>HYPERLINK("https://finance.yahoo.com/quote/HIMS","HIMS")</f>
        <v/>
      </c>
      <c r="B1225" t="inlineStr">
        <is>
          <t>Hims &amp; Hers Health, Inc.</t>
        </is>
      </c>
      <c r="C1225" t="inlineStr">
        <is>
          <t>NYSE</t>
        </is>
      </c>
      <c r="D1225" t="n">
        <v>1773751</v>
      </c>
      <c r="E1225" t="inlineStr">
        <is>
          <t>SEC</t>
        </is>
      </c>
    </row>
    <row r="1226">
      <c r="A1226" s="5">
        <f>HYPERLINK("https://finance.yahoo.com/quote/LNTH","LNTH")</f>
        <v/>
      </c>
      <c r="B1226" t="inlineStr">
        <is>
          <t>Lantheus Holdings, Inc.</t>
        </is>
      </c>
      <c r="C1226" t="inlineStr">
        <is>
          <t>Nasdaq</t>
        </is>
      </c>
      <c r="D1226" t="n">
        <v>1521036</v>
      </c>
      <c r="E1226" t="inlineStr">
        <is>
          <t>SEC</t>
        </is>
      </c>
    </row>
    <row r="1227">
      <c r="A1227" s="5">
        <f>HYPERLINK("https://finance.yahoo.com/quote/LAD","LAD")</f>
        <v/>
      </c>
      <c r="B1227" t="inlineStr">
        <is>
          <t>LITHIA MOTORS INC</t>
        </is>
      </c>
      <c r="C1227" t="inlineStr">
        <is>
          <t>NYSE</t>
        </is>
      </c>
      <c r="D1227" t="n">
        <v>1023128</v>
      </c>
      <c r="E1227" t="inlineStr">
        <is>
          <t>SEC</t>
        </is>
      </c>
    </row>
    <row r="1228">
      <c r="A1228" s="5">
        <f>HYPERLINK("https://finance.yahoo.com/quote/SIMO","SIMO")</f>
        <v/>
      </c>
      <c r="B1228" t="inlineStr">
        <is>
          <t>Silicon Motion Technology CORP</t>
        </is>
      </c>
      <c r="C1228" t="inlineStr">
        <is>
          <t>Nasdaq</t>
        </is>
      </c>
      <c r="D1228" t="n">
        <v>1329394</v>
      </c>
      <c r="E1228" t="inlineStr">
        <is>
          <t>SEC</t>
        </is>
      </c>
    </row>
    <row r="1229">
      <c r="A1229" s="5">
        <f>HYPERLINK("https://finance.yahoo.com/quote/BTG","BTG")</f>
        <v/>
      </c>
      <c r="B1229" t="inlineStr">
        <is>
          <t>B2GOLD CORP</t>
        </is>
      </c>
      <c r="C1229" t="inlineStr">
        <is>
          <t>NYSE</t>
        </is>
      </c>
      <c r="D1229" t="n">
        <v>1429937</v>
      </c>
      <c r="E1229" t="inlineStr">
        <is>
          <t>SEC</t>
        </is>
      </c>
    </row>
    <row r="1230">
      <c r="A1230" s="5">
        <f>HYPERLINK("https://finance.yahoo.com/quote/FNB","FNB")</f>
        <v/>
      </c>
      <c r="B1230" t="inlineStr">
        <is>
          <t>FNB CORP/PA/</t>
        </is>
      </c>
      <c r="C1230" t="inlineStr">
        <is>
          <t>NYSE</t>
        </is>
      </c>
      <c r="D1230" t="n">
        <v>37808</v>
      </c>
      <c r="E1230" t="inlineStr">
        <is>
          <t>SEC</t>
        </is>
      </c>
    </row>
    <row r="1231">
      <c r="A1231" s="5">
        <f>HYPERLINK("https://finance.yahoo.com/quote/TXNM","TXNM")</f>
        <v/>
      </c>
      <c r="B1231" t="inlineStr">
        <is>
          <t>TXNM ENERGY INC</t>
        </is>
      </c>
      <c r="C1231" t="inlineStr">
        <is>
          <t>NYSE</t>
        </is>
      </c>
      <c r="D1231" t="n">
        <v>1108426</v>
      </c>
      <c r="E1231" t="inlineStr">
        <is>
          <t>SEC</t>
        </is>
      </c>
    </row>
    <row r="1232">
      <c r="A1232" s="5">
        <f>HYPERLINK("https://finance.yahoo.com/quote/LYFT","LYFT")</f>
        <v/>
      </c>
      <c r="B1232" t="inlineStr">
        <is>
          <t>Lyft, Inc.</t>
        </is>
      </c>
      <c r="C1232" t="inlineStr">
        <is>
          <t>Nasdaq</t>
        </is>
      </c>
      <c r="D1232" t="n">
        <v>1759509</v>
      </c>
      <c r="E1232" t="inlineStr">
        <is>
          <t>SEC</t>
        </is>
      </c>
    </row>
    <row r="1233">
      <c r="A1233" s="5">
        <f>HYPERLINK("https://finance.yahoo.com/quote/EXLS","EXLS")</f>
        <v/>
      </c>
      <c r="B1233" t="inlineStr">
        <is>
          <t>ExlService Holdings, Inc.</t>
        </is>
      </c>
      <c r="C1233" t="inlineStr">
        <is>
          <t>Nasdaq</t>
        </is>
      </c>
      <c r="D1233" t="n">
        <v>1297989</v>
      </c>
      <c r="E1233" t="inlineStr">
        <is>
          <t>SEC</t>
        </is>
      </c>
    </row>
    <row r="1234">
      <c r="A1234" s="5">
        <f>HYPERLINK("https://finance.yahoo.com/quote/OMF","OMF")</f>
        <v/>
      </c>
      <c r="B1234" t="inlineStr">
        <is>
          <t>OneMain Holdings, Inc.</t>
        </is>
      </c>
      <c r="C1234" t="inlineStr">
        <is>
          <t>NYSE</t>
        </is>
      </c>
      <c r="D1234" t="n">
        <v>1584207</v>
      </c>
      <c r="E1234" t="inlineStr">
        <is>
          <t>SEC</t>
        </is>
      </c>
    </row>
    <row r="1235">
      <c r="A1235" s="5">
        <f>HYPERLINK("https://finance.yahoo.com/quote/GTES","GTES")</f>
        <v/>
      </c>
      <c r="B1235" t="inlineStr">
        <is>
          <t>Gates Industrial Corp Ltd.</t>
        </is>
      </c>
      <c r="C1235" t="inlineStr">
        <is>
          <t>NYSE</t>
        </is>
      </c>
      <c r="D1235" t="n">
        <v>1718512</v>
      </c>
      <c r="E1235" t="inlineStr">
        <is>
          <t>SEC</t>
        </is>
      </c>
    </row>
    <row r="1236">
      <c r="A1236" s="5">
        <f>HYPERLINK("https://finance.yahoo.com/quote/INGM","INGM")</f>
        <v/>
      </c>
      <c r="B1236" t="inlineStr">
        <is>
          <t>Ingram Micro Holding Corp</t>
        </is>
      </c>
      <c r="C1236" t="inlineStr">
        <is>
          <t>NYSE</t>
        </is>
      </c>
      <c r="D1236" t="n">
        <v>1897762</v>
      </c>
      <c r="E1236" t="inlineStr">
        <is>
          <t>SEC</t>
        </is>
      </c>
    </row>
    <row r="1237">
      <c r="A1237" s="5">
        <f>HYPERLINK("https://finance.yahoo.com/quote/IOVA","IOVA")</f>
        <v/>
      </c>
      <c r="B1237" t="inlineStr">
        <is>
          <t>IOVANCE BIOTHERAPEUTICS, INC.</t>
        </is>
      </c>
      <c r="C1237" t="inlineStr">
        <is>
          <t>Nasdaq</t>
        </is>
      </c>
      <c r="D1237" t="n">
        <v>1425205</v>
      </c>
      <c r="E1237" t="inlineStr">
        <is>
          <t>SEC</t>
        </is>
      </c>
    </row>
    <row r="1238">
      <c r="A1238" s="5">
        <f>HYPERLINK("https://finance.yahoo.com/quote/MUR","MUR")</f>
        <v/>
      </c>
      <c r="B1238" t="inlineStr">
        <is>
          <t>MURPHY OIL CORP</t>
        </is>
      </c>
      <c r="C1238" t="inlineStr">
        <is>
          <t>NYSE</t>
        </is>
      </c>
      <c r="D1238" t="n">
        <v>717423</v>
      </c>
      <c r="E1238" t="inlineStr">
        <is>
          <t>SEC</t>
        </is>
      </c>
    </row>
    <row r="1239">
      <c r="A1239" s="5">
        <f>HYPERLINK("https://finance.yahoo.com/quote/GGAL","GGAL")</f>
        <v/>
      </c>
      <c r="B1239" t="inlineStr">
        <is>
          <t>GRUPO FINANCIERO GALICIA SA</t>
        </is>
      </c>
      <c r="C1239" t="inlineStr">
        <is>
          <t>Nasdaq</t>
        </is>
      </c>
      <c r="D1239" t="n">
        <v>1114700</v>
      </c>
      <c r="E1239" t="inlineStr">
        <is>
          <t>SEC</t>
        </is>
      </c>
    </row>
    <row r="1240">
      <c r="A1240" s="5">
        <f>HYPERLINK("https://finance.yahoo.com/quote/HESM","HESM")</f>
        <v/>
      </c>
      <c r="B1240" t="inlineStr">
        <is>
          <t>Hess Midstream LP</t>
        </is>
      </c>
      <c r="C1240" t="inlineStr">
        <is>
          <t>NYSE</t>
        </is>
      </c>
      <c r="D1240" t="n">
        <v>1789832</v>
      </c>
      <c r="E1240" t="inlineStr">
        <is>
          <t>SEC</t>
        </is>
      </c>
    </row>
    <row r="1241">
      <c r="A1241" s="5">
        <f>HYPERLINK("https://finance.yahoo.com/quote/MBSHY","MBSHY")</f>
        <v/>
      </c>
      <c r="B1241" t="inlineStr">
        <is>
          <t>Mitsubishi Gas Chemical Company, Inc./ADR</t>
        </is>
      </c>
      <c r="C1241" t="inlineStr">
        <is>
          <t>OTC</t>
        </is>
      </c>
      <c r="D1241" t="n">
        <v>2079706</v>
      </c>
      <c r="E1241" t="inlineStr">
        <is>
          <t>SEC</t>
        </is>
      </c>
    </row>
    <row r="1242">
      <c r="A1242" s="5">
        <f>HYPERLINK("https://finance.yahoo.com/quote/GBCI","GBCI")</f>
        <v/>
      </c>
      <c r="B1242" t="inlineStr">
        <is>
          <t>GLACIER BANCORP, INC.</t>
        </is>
      </c>
      <c r="C1242" t="inlineStr">
        <is>
          <t>NYSE</t>
        </is>
      </c>
      <c r="D1242" t="n">
        <v>868671</v>
      </c>
      <c r="E1242" t="inlineStr">
        <is>
          <t>SEC</t>
        </is>
      </c>
    </row>
    <row r="1243">
      <c r="A1243" s="5">
        <f>HYPERLINK("https://finance.yahoo.com/quote/M","M")</f>
        <v/>
      </c>
      <c r="B1243" t="inlineStr">
        <is>
          <t>Macy's, Inc.</t>
        </is>
      </c>
      <c r="C1243" t="inlineStr">
        <is>
          <t>NYSE</t>
        </is>
      </c>
      <c r="D1243" t="n">
        <v>794367</v>
      </c>
      <c r="E1243" t="inlineStr">
        <is>
          <t>SEC</t>
        </is>
      </c>
    </row>
    <row r="1244">
      <c r="A1244" s="5">
        <f>HYPERLINK("https://finance.yahoo.com/quote/KVYO","KVYO")</f>
        <v/>
      </c>
      <c r="B1244" t="inlineStr">
        <is>
          <t>Klaviyo, Inc.</t>
        </is>
      </c>
      <c r="C1244" t="inlineStr">
        <is>
          <t>NYSE</t>
        </is>
      </c>
      <c r="D1244" t="n">
        <v>1835830</v>
      </c>
      <c r="E1244" t="inlineStr">
        <is>
          <t>SEC</t>
        </is>
      </c>
    </row>
    <row r="1245">
      <c r="A1245" s="5">
        <f>HYPERLINK("https://finance.yahoo.com/quote/CAVA","CAVA")</f>
        <v/>
      </c>
      <c r="B1245" t="inlineStr">
        <is>
          <t>CAVA GROUP, INC.</t>
        </is>
      </c>
      <c r="C1245" t="inlineStr">
        <is>
          <t>NYSE</t>
        </is>
      </c>
      <c r="D1245" t="n">
        <v>1639438</v>
      </c>
      <c r="E1245" t="inlineStr">
        <is>
          <t>SEC</t>
        </is>
      </c>
    </row>
    <row r="1246">
      <c r="A1246" s="5">
        <f>HYPERLINK("https://finance.yahoo.com/quote/WFRD","WFRD")</f>
        <v/>
      </c>
      <c r="B1246" t="inlineStr">
        <is>
          <t>Weatherford International plc</t>
        </is>
      </c>
      <c r="C1246" t="inlineStr">
        <is>
          <t>Nasdaq</t>
        </is>
      </c>
      <c r="D1246" t="n">
        <v>1603923</v>
      </c>
      <c r="E1246" t="inlineStr">
        <is>
          <t>SEC</t>
        </is>
      </c>
    </row>
    <row r="1247">
      <c r="A1247" s="5">
        <f>HYPERLINK("https://finance.yahoo.com/quote/FSV","FSV")</f>
        <v/>
      </c>
      <c r="B1247" t="inlineStr">
        <is>
          <t>FirstService Corp</t>
        </is>
      </c>
      <c r="C1247" t="inlineStr">
        <is>
          <t>Nasdaq</t>
        </is>
      </c>
      <c r="D1247" t="n">
        <v>1637810</v>
      </c>
      <c r="E1247" t="inlineStr">
        <is>
          <t>SEC</t>
        </is>
      </c>
    </row>
    <row r="1248">
      <c r="A1248" s="5">
        <f>HYPERLINK("https://finance.yahoo.com/quote/AVAV","AVAV")</f>
        <v/>
      </c>
      <c r="B1248" t="inlineStr">
        <is>
          <t>AeroVironment Inc</t>
        </is>
      </c>
      <c r="C1248" t="inlineStr">
        <is>
          <t>Nasdaq</t>
        </is>
      </c>
      <c r="D1248" t="n">
        <v>1368622</v>
      </c>
      <c r="E1248" t="inlineStr">
        <is>
          <t>SEC</t>
        </is>
      </c>
    </row>
    <row r="1249">
      <c r="A1249" s="5">
        <f>HYPERLINK("https://finance.yahoo.com/quote/OR","OR")</f>
        <v/>
      </c>
      <c r="B1249" t="inlineStr">
        <is>
          <t>OR Royalties Inc.</t>
        </is>
      </c>
      <c r="C1249" t="inlineStr">
        <is>
          <t>NYSE</t>
        </is>
      </c>
      <c r="D1249" t="n">
        <v>1627272</v>
      </c>
      <c r="E1249" t="inlineStr">
        <is>
          <t>SEC</t>
        </is>
      </c>
    </row>
    <row r="1250">
      <c r="A1250" s="5">
        <f>HYPERLINK("https://finance.yahoo.com/quote/BLCO","BLCO")</f>
        <v/>
      </c>
      <c r="B1250" t="inlineStr">
        <is>
          <t>Bausch &amp; Lomb Corp</t>
        </is>
      </c>
      <c r="C1250" t="inlineStr">
        <is>
          <t>NYSE</t>
        </is>
      </c>
      <c r="D1250" t="n">
        <v>1860742</v>
      </c>
      <c r="E1250" t="inlineStr">
        <is>
          <t>SEC</t>
        </is>
      </c>
    </row>
    <row r="1251">
      <c r="A1251" s="5">
        <f>HYPERLINK("https://finance.yahoo.com/quote/LB","LB")</f>
        <v/>
      </c>
      <c r="B1251" t="inlineStr">
        <is>
          <t>LandBridge Corp</t>
        </is>
      </c>
      <c r="C1251" t="inlineStr">
        <is>
          <t>NYSE</t>
        </is>
      </c>
      <c r="D1251" t="n">
        <v>1995807</v>
      </c>
      <c r="E1251" t="inlineStr">
        <is>
          <t>SEC</t>
        </is>
      </c>
    </row>
    <row r="1252">
      <c r="A1252" s="5">
        <f>HYPERLINK("https://finance.yahoo.com/quote/CWST","CWST")</f>
        <v/>
      </c>
      <c r="B1252" t="inlineStr">
        <is>
          <t>CASELLA WASTE SYSTEMS INC</t>
        </is>
      </c>
      <c r="C1252" t="inlineStr">
        <is>
          <t>Nasdaq</t>
        </is>
      </c>
      <c r="D1252" t="n">
        <v>911177</v>
      </c>
      <c r="E1252" t="inlineStr">
        <is>
          <t>SEC</t>
        </is>
      </c>
    </row>
    <row r="1253">
      <c r="A1253" s="5">
        <f>HYPERLINK("https://finance.yahoo.com/quote/HR","HR")</f>
        <v/>
      </c>
      <c r="B1253" t="inlineStr">
        <is>
          <t>Healthcare Realty Trust Inc</t>
        </is>
      </c>
      <c r="C1253" t="inlineStr">
        <is>
          <t>NYSE</t>
        </is>
      </c>
      <c r="D1253" t="n">
        <v>1360604</v>
      </c>
      <c r="E1253" t="inlineStr">
        <is>
          <t>SEC</t>
        </is>
      </c>
    </row>
    <row r="1254">
      <c r="A1254" s="5">
        <f>HYPERLINK("https://finance.yahoo.com/quote/TTD","TTD")</f>
        <v/>
      </c>
      <c r="B1254" t="inlineStr">
        <is>
          <t>Trade Desk, Inc.</t>
        </is>
      </c>
      <c r="C1254" t="inlineStr">
        <is>
          <t>Nasdaq</t>
        </is>
      </c>
      <c r="D1254" t="n">
        <v>1671933</v>
      </c>
      <c r="E1254" t="inlineStr">
        <is>
          <t>SEC</t>
        </is>
      </c>
    </row>
    <row r="1255">
      <c r="A1255" s="5">
        <f>HYPERLINK("https://finance.yahoo.com/quote/CPB","CPB")</f>
        <v/>
      </c>
      <c r="B1255" t="inlineStr">
        <is>
          <t>CAMPBELL'S Co</t>
        </is>
      </c>
      <c r="C1255" t="inlineStr">
        <is>
          <t>Nasdaq</t>
        </is>
      </c>
      <c r="D1255" t="n">
        <v>16732</v>
      </c>
      <c r="E1255" t="inlineStr">
        <is>
          <t>SEC</t>
        </is>
      </c>
    </row>
    <row r="1256">
      <c r="A1256" s="5">
        <f>HYPERLINK("https://finance.yahoo.com/quote/SFM","SFM")</f>
        <v/>
      </c>
      <c r="B1256" t="inlineStr">
        <is>
          <t>Sprouts Farmers Market, Inc.</t>
        </is>
      </c>
      <c r="C1256" t="inlineStr">
        <is>
          <t>Nasdaq</t>
        </is>
      </c>
      <c r="D1256" t="n">
        <v>1575515</v>
      </c>
      <c r="E1256" t="inlineStr">
        <is>
          <t>SEC</t>
        </is>
      </c>
    </row>
    <row r="1257">
      <c r="A1257" s="5">
        <f>HYPERLINK("https://finance.yahoo.com/quote/RYTM","RYTM")</f>
        <v/>
      </c>
      <c r="B1257" t="inlineStr">
        <is>
          <t>RHYTHM PHARMACEUTICALS, INC.</t>
        </is>
      </c>
      <c r="C1257" t="inlineStr">
        <is>
          <t>Nasdaq</t>
        </is>
      </c>
      <c r="D1257" t="n">
        <v>1649904</v>
      </c>
      <c r="E1257" t="inlineStr">
        <is>
          <t>SEC</t>
        </is>
      </c>
    </row>
    <row r="1258">
      <c r="A1258" s="5">
        <f>HYPERLINK("https://finance.yahoo.com/quote/SAIC","SAIC")</f>
        <v/>
      </c>
      <c r="B1258" t="inlineStr">
        <is>
          <t>Science Applications International Corp</t>
        </is>
      </c>
      <c r="C1258" t="inlineStr">
        <is>
          <t>Nasdaq</t>
        </is>
      </c>
      <c r="D1258" t="n">
        <v>1571123</v>
      </c>
      <c r="E1258" t="inlineStr">
        <is>
          <t>SEC</t>
        </is>
      </c>
    </row>
    <row r="1259">
      <c r="A1259" s="5">
        <f>HYPERLINK("https://finance.yahoo.com/quote/BLDR","BLDR")</f>
        <v/>
      </c>
      <c r="B1259" t="inlineStr">
        <is>
          <t>Builders FirstSource, Inc.</t>
        </is>
      </c>
      <c r="C1259" t="inlineStr">
        <is>
          <t>NYSE</t>
        </is>
      </c>
      <c r="D1259" t="n">
        <v>1316835</v>
      </c>
      <c r="E1259" t="inlineStr">
        <is>
          <t>SEC</t>
        </is>
      </c>
    </row>
    <row r="1260">
      <c r="A1260" s="5">
        <f>HYPERLINK("https://finance.yahoo.com/quote/HRB","HRB")</f>
        <v/>
      </c>
      <c r="B1260" t="inlineStr">
        <is>
          <t>H&amp;R BLOCK INC</t>
        </is>
      </c>
      <c r="C1260" t="inlineStr">
        <is>
          <t>NYSE</t>
        </is>
      </c>
      <c r="D1260" t="n">
        <v>12659</v>
      </c>
      <c r="E1260" t="inlineStr">
        <is>
          <t>SEC</t>
        </is>
      </c>
    </row>
    <row r="1261">
      <c r="A1261" s="5">
        <f>HYPERLINK("https://finance.yahoo.com/quote/LGND","LGND")</f>
        <v/>
      </c>
      <c r="B1261" t="inlineStr">
        <is>
          <t>LIGAND PHARMACEUTICALS INC</t>
        </is>
      </c>
      <c r="C1261" t="inlineStr">
        <is>
          <t>Nasdaq</t>
        </is>
      </c>
      <c r="D1261" t="n">
        <v>886163</v>
      </c>
      <c r="E1261" t="inlineStr">
        <is>
          <t>SEC</t>
        </is>
      </c>
    </row>
    <row r="1262">
      <c r="A1262" s="5">
        <f>HYPERLINK("https://finance.yahoo.com/quote/SFGYY","SFGYY")</f>
        <v/>
      </c>
      <c r="B1262" t="inlineStr">
        <is>
          <t>Sony Financial Group Inc./ADR</t>
        </is>
      </c>
      <c r="C1262" t="inlineStr">
        <is>
          <t>OTC</t>
        </is>
      </c>
      <c r="D1262" t="n">
        <v>2084022</v>
      </c>
      <c r="E1262" t="inlineStr">
        <is>
          <t>SEC</t>
        </is>
      </c>
    </row>
    <row r="1263">
      <c r="A1263" s="5">
        <f>HYPERLINK("https://finance.yahoo.com/quote/INGR","INGR")</f>
        <v/>
      </c>
      <c r="B1263" t="inlineStr">
        <is>
          <t>Ingredion Inc</t>
        </is>
      </c>
      <c r="C1263" t="inlineStr">
        <is>
          <t>NYSE</t>
        </is>
      </c>
      <c r="D1263" t="n">
        <v>1046257</v>
      </c>
      <c r="E1263" t="inlineStr">
        <is>
          <t>SEC</t>
        </is>
      </c>
    </row>
    <row r="1264">
      <c r="A1264" s="5">
        <f>HYPERLINK("https://finance.yahoo.com/quote/HOMB","HOMB")</f>
        <v/>
      </c>
      <c r="B1264" t="inlineStr">
        <is>
          <t>HOME BANCSHARES INC</t>
        </is>
      </c>
      <c r="C1264" t="inlineStr">
        <is>
          <t>NYSE</t>
        </is>
      </c>
      <c r="D1264" t="n">
        <v>1331520</v>
      </c>
      <c r="E1264" t="inlineStr">
        <is>
          <t>SEC</t>
        </is>
      </c>
    </row>
    <row r="1265">
      <c r="A1265" s="5">
        <f>HYPERLINK("https://finance.yahoo.com/quote/BKH","BKH")</f>
        <v/>
      </c>
      <c r="B1265" t="inlineStr">
        <is>
          <t>BLACK HILLS CORP /SD/</t>
        </is>
      </c>
      <c r="C1265" t="inlineStr">
        <is>
          <t>NYSE</t>
        </is>
      </c>
      <c r="D1265" t="n">
        <v>1130464</v>
      </c>
      <c r="E1265" t="inlineStr">
        <is>
          <t>SEC</t>
        </is>
      </c>
    </row>
    <row r="1266">
      <c r="A1266" s="5">
        <f>HYPERLINK("https://finance.yahoo.com/quote/KNSA","KNSA")</f>
        <v/>
      </c>
      <c r="B1266" t="inlineStr">
        <is>
          <t>Kiniksa Pharmaceuticals International, plc</t>
        </is>
      </c>
      <c r="C1266" t="inlineStr">
        <is>
          <t>Nasdaq</t>
        </is>
      </c>
      <c r="D1266" t="n">
        <v>1730430</v>
      </c>
      <c r="E1266" t="inlineStr">
        <is>
          <t>SEC</t>
        </is>
      </c>
    </row>
    <row r="1267">
      <c r="A1267" s="5">
        <f>HYPERLINK("https://finance.yahoo.com/quote/HXL","HXL")</f>
        <v/>
      </c>
      <c r="B1267" t="inlineStr">
        <is>
          <t>HEXCEL CORP /DE/</t>
        </is>
      </c>
      <c r="C1267" t="inlineStr">
        <is>
          <t>NYSE</t>
        </is>
      </c>
      <c r="D1267" t="n">
        <v>717605</v>
      </c>
      <c r="E1267" t="inlineStr">
        <is>
          <t>SEC</t>
        </is>
      </c>
    </row>
    <row r="1268">
      <c r="A1268" s="5">
        <f>HYPERLINK("https://finance.yahoo.com/quote/ESE","ESE")</f>
        <v/>
      </c>
      <c r="B1268" t="inlineStr">
        <is>
          <t>ESCO TECHNOLOGIES INC</t>
        </is>
      </c>
      <c r="C1268" t="inlineStr">
        <is>
          <t>NYSE</t>
        </is>
      </c>
      <c r="D1268" t="n">
        <v>866706</v>
      </c>
      <c r="E1268" t="inlineStr">
        <is>
          <t>SEC</t>
        </is>
      </c>
    </row>
    <row r="1269">
      <c r="A1269" s="5">
        <f>HYPERLINK("https://finance.yahoo.com/quote/ENS","ENS")</f>
        <v/>
      </c>
      <c r="B1269" t="inlineStr">
        <is>
          <t>EnerSys</t>
        </is>
      </c>
      <c r="C1269" t="inlineStr">
        <is>
          <t>NYSE</t>
        </is>
      </c>
      <c r="D1269" t="n">
        <v>1289308</v>
      </c>
      <c r="E1269" t="inlineStr">
        <is>
          <t>SEC</t>
        </is>
      </c>
    </row>
    <row r="1270">
      <c r="A1270" s="5">
        <f>HYPERLINK("https://finance.yahoo.com/quote/RLI","RLI")</f>
        <v/>
      </c>
      <c r="B1270" t="inlineStr">
        <is>
          <t>RLI CORP</t>
        </is>
      </c>
      <c r="C1270" t="inlineStr">
        <is>
          <t>NYSE</t>
        </is>
      </c>
      <c r="D1270" t="n">
        <v>84246</v>
      </c>
      <c r="E1270" t="inlineStr">
        <is>
          <t>SEC</t>
        </is>
      </c>
    </row>
    <row r="1271">
      <c r="A1271" s="5">
        <f>HYPERLINK("https://finance.yahoo.com/quote/ESNT","ESNT")</f>
        <v/>
      </c>
      <c r="B1271" t="inlineStr">
        <is>
          <t>Essent Group Ltd.</t>
        </is>
      </c>
      <c r="C1271" t="inlineStr">
        <is>
          <t>NYSE</t>
        </is>
      </c>
      <c r="D1271" t="n">
        <v>1448893</v>
      </c>
      <c r="E1271" t="inlineStr">
        <is>
          <t>SEC</t>
        </is>
      </c>
    </row>
    <row r="1272">
      <c r="A1272" s="5">
        <f>HYPERLINK("https://finance.yahoo.com/quote/ENIC","ENIC")</f>
        <v/>
      </c>
      <c r="B1272" t="inlineStr">
        <is>
          <t>Enel Chile S.A.</t>
        </is>
      </c>
      <c r="C1272" t="inlineStr">
        <is>
          <t>NYSE</t>
        </is>
      </c>
      <c r="D1272" t="n">
        <v>1659939</v>
      </c>
      <c r="E1272" t="inlineStr">
        <is>
          <t>SEC</t>
        </is>
      </c>
    </row>
    <row r="1273">
      <c r="A1273" s="5">
        <f>HYPERLINK("https://finance.yahoo.com/quote/VIPS","VIPS")</f>
        <v/>
      </c>
      <c r="B1273" t="inlineStr">
        <is>
          <t>Vipshop Holdings Ltd</t>
        </is>
      </c>
      <c r="C1273" t="inlineStr">
        <is>
          <t>NYSE</t>
        </is>
      </c>
      <c r="D1273" t="n">
        <v>1529192</v>
      </c>
      <c r="E1273" t="inlineStr">
        <is>
          <t>SEC</t>
        </is>
      </c>
    </row>
    <row r="1274">
      <c r="A1274" s="5">
        <f>HYPERLINK("https://finance.yahoo.com/quote/MBGL","MBGL")</f>
        <v/>
      </c>
      <c r="B1274" t="inlineStr">
        <is>
          <t>Mobility Global Inc.</t>
        </is>
      </c>
      <c r="C1274" t="inlineStr">
        <is>
          <t>NYSE</t>
        </is>
      </c>
      <c r="D1274" t="n">
        <v>2090312</v>
      </c>
      <c r="E1274" t="inlineStr">
        <is>
          <t>SEC</t>
        </is>
      </c>
    </row>
    <row r="1275">
      <c r="A1275" s="5">
        <f>HYPERLINK("https://finance.yahoo.com/quote/TFPM","TFPM")</f>
        <v/>
      </c>
      <c r="B1275" t="inlineStr">
        <is>
          <t>Triple Flag Precious Metals Corp.</t>
        </is>
      </c>
      <c r="C1275" t="inlineStr">
        <is>
          <t>NYSE</t>
        </is>
      </c>
      <c r="D1275" t="n">
        <v>1829726</v>
      </c>
      <c r="E1275" t="inlineStr">
        <is>
          <t>SEC</t>
        </is>
      </c>
    </row>
    <row r="1276">
      <c r="A1276" s="5">
        <f>HYPERLINK("https://finance.yahoo.com/quote/PJT","PJT")</f>
        <v/>
      </c>
      <c r="B1276" t="inlineStr">
        <is>
          <t>PJT Partners Inc.</t>
        </is>
      </c>
      <c r="C1276" t="inlineStr">
        <is>
          <t>NYSE</t>
        </is>
      </c>
      <c r="D1276" t="n">
        <v>1626115</v>
      </c>
      <c r="E1276" t="inlineStr">
        <is>
          <t>SEC</t>
        </is>
      </c>
    </row>
    <row r="1277">
      <c r="A1277" s="5">
        <f>HYPERLINK("https://finance.yahoo.com/quote/LGN","LGN")</f>
        <v/>
      </c>
      <c r="B1277" t="inlineStr">
        <is>
          <t>Legence Corp.</t>
        </is>
      </c>
      <c r="C1277" t="inlineStr">
        <is>
          <t>Nasdaq</t>
        </is>
      </c>
      <c r="D1277" t="n">
        <v>2052568</v>
      </c>
      <c r="E1277" t="inlineStr">
        <is>
          <t>SEC</t>
        </is>
      </c>
    </row>
    <row r="1278">
      <c r="A1278" s="5">
        <f>HYPERLINK("https://finance.yahoo.com/quote/DOCS","DOCS")</f>
        <v/>
      </c>
      <c r="B1278" t="inlineStr">
        <is>
          <t>Doximity, Inc.</t>
        </is>
      </c>
      <c r="C1278" t="inlineStr">
        <is>
          <t>NYSE</t>
        </is>
      </c>
      <c r="D1278" t="n">
        <v>1516513</v>
      </c>
      <c r="E1278" t="inlineStr">
        <is>
          <t>SEC</t>
        </is>
      </c>
    </row>
    <row r="1279">
      <c r="A1279" s="5">
        <f>HYPERLINK("https://finance.yahoo.com/quote/ST","ST")</f>
        <v/>
      </c>
      <c r="B1279" t="inlineStr">
        <is>
          <t>Sensata Technologies Holding plc</t>
        </is>
      </c>
      <c r="C1279" t="inlineStr">
        <is>
          <t>NYSE</t>
        </is>
      </c>
      <c r="D1279" t="n">
        <v>1477294</v>
      </c>
      <c r="E1279" t="inlineStr">
        <is>
          <t>SEC</t>
        </is>
      </c>
    </row>
    <row r="1280">
      <c r="A1280" s="5">
        <f>HYPERLINK("https://finance.yahoo.com/quote/GRAL","GRAL")</f>
        <v/>
      </c>
      <c r="B1280" t="inlineStr">
        <is>
          <t>GRAIL, Inc.</t>
        </is>
      </c>
      <c r="C1280" t="inlineStr">
        <is>
          <t>Nasdaq</t>
        </is>
      </c>
      <c r="D1280" t="n">
        <v>1699031</v>
      </c>
      <c r="E1280" t="inlineStr">
        <is>
          <t>SEC</t>
        </is>
      </c>
    </row>
    <row r="1281">
      <c r="A1281" s="5">
        <f>HYPERLINK("https://finance.yahoo.com/quote/NIQ","NIQ")</f>
        <v/>
      </c>
      <c r="B1281" t="inlineStr">
        <is>
          <t>NIQ Global Intelligence plc</t>
        </is>
      </c>
      <c r="C1281" t="inlineStr">
        <is>
          <t>NYSE</t>
        </is>
      </c>
      <c r="D1281" t="n">
        <v>2054696</v>
      </c>
      <c r="E1281" t="inlineStr">
        <is>
          <t>SEC</t>
        </is>
      </c>
    </row>
    <row r="1282">
      <c r="A1282" s="5">
        <f>HYPERLINK("https://finance.yahoo.com/quote/FLR","FLR")</f>
        <v/>
      </c>
      <c r="B1282" t="inlineStr">
        <is>
          <t>FLUOR CORP</t>
        </is>
      </c>
      <c r="C1282" t="inlineStr">
        <is>
          <t>NYSE</t>
        </is>
      </c>
      <c r="D1282" t="n">
        <v>1124198</v>
      </c>
      <c r="E1282" t="inlineStr">
        <is>
          <t>SEC</t>
        </is>
      </c>
    </row>
    <row r="1283">
      <c r="A1283" s="5">
        <f>HYPERLINK("https://finance.yahoo.com/quote/ALGM","ALGM")</f>
        <v/>
      </c>
      <c r="B1283" t="inlineStr">
        <is>
          <t>ALLEGRO MICROSYSTEMS, INC.</t>
        </is>
      </c>
      <c r="C1283" t="inlineStr">
        <is>
          <t>Nasdaq</t>
        </is>
      </c>
      <c r="D1283" t="n">
        <v>866291</v>
      </c>
      <c r="E1283" t="inlineStr">
        <is>
          <t>SEC</t>
        </is>
      </c>
    </row>
    <row r="1284">
      <c r="A1284" s="5">
        <f>HYPERLINK("https://finance.yahoo.com/quote/DLB","DLB")</f>
        <v/>
      </c>
      <c r="B1284" t="inlineStr">
        <is>
          <t>Dolby Laboratories, Inc.</t>
        </is>
      </c>
      <c r="C1284" t="inlineStr">
        <is>
          <t>NYSE</t>
        </is>
      </c>
      <c r="D1284" t="n">
        <v>1308547</v>
      </c>
      <c r="E1284" t="inlineStr">
        <is>
          <t>SEC</t>
        </is>
      </c>
    </row>
    <row r="1285">
      <c r="A1285" s="5">
        <f>HYPERLINK("https://finance.yahoo.com/quote/SEI","SEI")</f>
        <v/>
      </c>
      <c r="B1285" t="inlineStr">
        <is>
          <t>Solaris Energy Infrastructure, Inc.</t>
        </is>
      </c>
      <c r="C1285" t="inlineStr">
        <is>
          <t>NYSE</t>
        </is>
      </c>
      <c r="D1285" t="n">
        <v>1697500</v>
      </c>
      <c r="E1285" t="inlineStr">
        <is>
          <t>SEC</t>
        </is>
      </c>
    </row>
    <row r="1286">
      <c r="A1286" s="5">
        <f>HYPERLINK("https://finance.yahoo.com/quote/MXL","MXL")</f>
        <v/>
      </c>
      <c r="B1286" t="inlineStr">
        <is>
          <t>MAXLINEAR, INC</t>
        </is>
      </c>
      <c r="C1286" t="inlineStr">
        <is>
          <t>Nasdaq</t>
        </is>
      </c>
      <c r="D1286" t="n">
        <v>1288469</v>
      </c>
      <c r="E1286" t="inlineStr">
        <is>
          <t>SEC</t>
        </is>
      </c>
    </row>
    <row r="1287">
      <c r="A1287" s="5">
        <f>HYPERLINK("https://finance.yahoo.com/quote/BOX","BOX")</f>
        <v/>
      </c>
      <c r="B1287" t="inlineStr">
        <is>
          <t>BOX INC</t>
        </is>
      </c>
      <c r="C1287" t="inlineStr">
        <is>
          <t>NYSE</t>
        </is>
      </c>
      <c r="D1287" t="n">
        <v>1372612</v>
      </c>
      <c r="E1287" t="inlineStr">
        <is>
          <t>SEC</t>
        </is>
      </c>
    </row>
    <row r="1288">
      <c r="A1288" s="5">
        <f>HYPERLINK("https://finance.yahoo.com/quote/HWC","HWC")</f>
        <v/>
      </c>
      <c r="B1288" t="inlineStr">
        <is>
          <t>HANCOCK WHITNEY CORP</t>
        </is>
      </c>
      <c r="C1288" t="inlineStr">
        <is>
          <t>Nasdaq</t>
        </is>
      </c>
      <c r="D1288" t="n">
        <v>750577</v>
      </c>
      <c r="E1288" t="inlineStr">
        <is>
          <t>SEC</t>
        </is>
      </c>
    </row>
    <row r="1289">
      <c r="A1289" s="5">
        <f>HYPERLINK("https://finance.yahoo.com/quote/BLTE","BLTE")</f>
        <v/>
      </c>
      <c r="B1289" t="inlineStr">
        <is>
          <t>BELITE BIO, INC</t>
        </is>
      </c>
      <c r="C1289" t="inlineStr">
        <is>
          <t>Nasdaq</t>
        </is>
      </c>
      <c r="D1289" t="n">
        <v>1889109</v>
      </c>
      <c r="E1289" t="inlineStr">
        <is>
          <t>SEC</t>
        </is>
      </c>
    </row>
    <row r="1290">
      <c r="A1290" s="5">
        <f>HYPERLINK("https://finance.yahoo.com/quote/MTG","MTG")</f>
        <v/>
      </c>
      <c r="B1290" t="inlineStr">
        <is>
          <t>MGIC INVESTMENT CORP</t>
        </is>
      </c>
      <c r="C1290" t="inlineStr">
        <is>
          <t>NYSE</t>
        </is>
      </c>
      <c r="D1290" t="n">
        <v>876437</v>
      </c>
      <c r="E1290" t="inlineStr">
        <is>
          <t>SEC</t>
        </is>
      </c>
    </row>
    <row r="1291">
      <c r="A1291" s="5">
        <f>HYPERLINK("https://finance.yahoo.com/quote/PEGA","PEGA")</f>
        <v/>
      </c>
      <c r="B1291" t="inlineStr">
        <is>
          <t>PEGASYSTEMS INC</t>
        </is>
      </c>
      <c r="C1291" t="inlineStr">
        <is>
          <t>Nasdaq</t>
        </is>
      </c>
      <c r="D1291" t="n">
        <v>1013857</v>
      </c>
      <c r="E1291" t="inlineStr">
        <is>
          <t>SEC</t>
        </is>
      </c>
    </row>
    <row r="1292">
      <c r="A1292" s="5">
        <f>HYPERLINK("https://finance.yahoo.com/quote/IMVT","IMVT")</f>
        <v/>
      </c>
      <c r="B1292" t="inlineStr">
        <is>
          <t>Immunovant, Inc.</t>
        </is>
      </c>
      <c r="C1292" t="inlineStr">
        <is>
          <t>Nasdaq</t>
        </is>
      </c>
      <c r="D1292" t="n">
        <v>1764013</v>
      </c>
      <c r="E1292" t="inlineStr">
        <is>
          <t>SEC</t>
        </is>
      </c>
    </row>
    <row r="1293">
      <c r="A1293" s="5">
        <f>HYPERLINK("https://finance.yahoo.com/quote/CZR","CZR")</f>
        <v/>
      </c>
      <c r="B1293" t="inlineStr">
        <is>
          <t>Caesars Entertainment, Inc.</t>
        </is>
      </c>
      <c r="C1293" t="inlineStr">
        <is>
          <t>Nasdaq</t>
        </is>
      </c>
      <c r="D1293" t="n">
        <v>1590895</v>
      </c>
      <c r="E1293" t="inlineStr">
        <is>
          <t>SEC</t>
        </is>
      </c>
    </row>
    <row r="1294">
      <c r="A1294" s="5">
        <f>HYPERLINK("https://finance.yahoo.com/quote/CVI","CVI")</f>
        <v/>
      </c>
      <c r="B1294" t="inlineStr">
        <is>
          <t>CVR ENERGY INC</t>
        </is>
      </c>
      <c r="C1294" t="inlineStr">
        <is>
          <t>NYSE</t>
        </is>
      </c>
      <c r="D1294" t="n">
        <v>1376139</v>
      </c>
      <c r="E1294" t="inlineStr">
        <is>
          <t>SEC</t>
        </is>
      </c>
    </row>
    <row r="1295">
      <c r="A1295" s="5">
        <f>HYPERLINK("https://finance.yahoo.com/quote/LOAR","LOAR")</f>
        <v/>
      </c>
      <c r="B1295" t="inlineStr">
        <is>
          <t>Loar Holdings Inc.</t>
        </is>
      </c>
      <c r="C1295" t="inlineStr">
        <is>
          <t>NYSE</t>
        </is>
      </c>
      <c r="D1295" t="n">
        <v>2000178</v>
      </c>
      <c r="E1295" t="inlineStr">
        <is>
          <t>SEC</t>
        </is>
      </c>
    </row>
    <row r="1296">
      <c r="A1296" s="5">
        <f>HYPERLINK("https://finance.yahoo.com/quote/TEX","TEX")</f>
        <v/>
      </c>
      <c r="B1296" t="inlineStr">
        <is>
          <t>TEREX CORP</t>
        </is>
      </c>
      <c r="C1296" t="inlineStr">
        <is>
          <t>NYSE</t>
        </is>
      </c>
      <c r="D1296" t="n">
        <v>97216</v>
      </c>
      <c r="E1296" t="inlineStr">
        <is>
          <t>SEC</t>
        </is>
      </c>
    </row>
    <row r="1297">
      <c r="A1297" s="5">
        <f>HYPERLINK("https://finance.yahoo.com/quote/PLXS","PLXS")</f>
        <v/>
      </c>
      <c r="B1297" t="inlineStr">
        <is>
          <t>PLEXUS CORP</t>
        </is>
      </c>
      <c r="C1297" t="inlineStr">
        <is>
          <t>Nasdaq</t>
        </is>
      </c>
      <c r="D1297" t="n">
        <v>785786</v>
      </c>
      <c r="E1297" t="inlineStr">
        <is>
          <t>SEC</t>
        </is>
      </c>
    </row>
    <row r="1298">
      <c r="A1298" s="5">
        <f>HYPERLINK("https://finance.yahoo.com/quote/GATX","GATX")</f>
        <v/>
      </c>
      <c r="B1298" t="inlineStr">
        <is>
          <t>GATX CORP</t>
        </is>
      </c>
      <c r="C1298" t="inlineStr">
        <is>
          <t>NYSE</t>
        </is>
      </c>
      <c r="D1298" t="n">
        <v>40211</v>
      </c>
      <c r="E1298" t="inlineStr">
        <is>
          <t>SEC</t>
        </is>
      </c>
    </row>
    <row r="1299">
      <c r="A1299" s="5">
        <f>HYPERLINK("https://finance.yahoo.com/quote/SSRM","SSRM")</f>
        <v/>
      </c>
      <c r="B1299" t="inlineStr">
        <is>
          <t>SSR MINING INC.</t>
        </is>
      </c>
      <c r="C1299" t="inlineStr">
        <is>
          <t>Nasdaq</t>
        </is>
      </c>
      <c r="D1299" t="n">
        <v>921638</v>
      </c>
      <c r="E1299" t="inlineStr">
        <is>
          <t>SEC</t>
        </is>
      </c>
    </row>
    <row r="1300">
      <c r="A1300" s="5">
        <f>HYPERLINK("https://finance.yahoo.com/quote/FTDR","FTDR")</f>
        <v/>
      </c>
      <c r="B1300" t="inlineStr">
        <is>
          <t>Frontdoor, Inc.</t>
        </is>
      </c>
      <c r="C1300" t="inlineStr">
        <is>
          <t>Nasdaq</t>
        </is>
      </c>
      <c r="D1300" t="n">
        <v>1727263</v>
      </c>
      <c r="E1300" t="inlineStr">
        <is>
          <t>SEC</t>
        </is>
      </c>
    </row>
    <row r="1301">
      <c r="A1301" s="5">
        <f>HYPERLINK("https://finance.yahoo.com/quote/AAOI","AAOI")</f>
        <v/>
      </c>
      <c r="B1301" t="inlineStr">
        <is>
          <t>APPLIED OPTOELECTRONICS, INC.</t>
        </is>
      </c>
      <c r="C1301" t="inlineStr">
        <is>
          <t>Nasdaq</t>
        </is>
      </c>
      <c r="D1301" t="n">
        <v>1158114</v>
      </c>
      <c r="E1301" t="inlineStr">
        <is>
          <t>SEC</t>
        </is>
      </c>
    </row>
    <row r="1302">
      <c r="A1302" s="5">
        <f>HYPERLINK("https://finance.yahoo.com/quote/MKTX","MKTX")</f>
        <v/>
      </c>
      <c r="B1302" t="inlineStr">
        <is>
          <t>MARKETAXESS HOLDINGS INC</t>
        </is>
      </c>
      <c r="C1302" t="inlineStr">
        <is>
          <t>Nasdaq</t>
        </is>
      </c>
      <c r="D1302" t="n">
        <v>1278021</v>
      </c>
      <c r="E1302" t="inlineStr">
        <is>
          <t>SEC</t>
        </is>
      </c>
    </row>
    <row r="1303">
      <c r="A1303" s="5">
        <f>HYPERLINK("https://finance.yahoo.com/quote/AVAL","AVAL")</f>
        <v/>
      </c>
      <c r="B1303" t="inlineStr">
        <is>
          <t>Grupo Aval Acciones Y Valores S.A.</t>
        </is>
      </c>
      <c r="C1303" t="inlineStr">
        <is>
          <t>NYSE</t>
        </is>
      </c>
      <c r="D1303" t="n">
        <v>1504764</v>
      </c>
      <c r="E1303" t="inlineStr">
        <is>
          <t>SEC</t>
        </is>
      </c>
    </row>
    <row r="1304">
      <c r="A1304" s="5">
        <f>HYPERLINK("https://finance.yahoo.com/quote/MANE","MANE")</f>
        <v/>
      </c>
      <c r="B1304" t="inlineStr">
        <is>
          <t>Veradermics, Inc</t>
        </is>
      </c>
      <c r="C1304" t="inlineStr">
        <is>
          <t>NYSE</t>
        </is>
      </c>
      <c r="D1304" t="n">
        <v>1827635</v>
      </c>
      <c r="E1304" t="inlineStr">
        <is>
          <t>SEC</t>
        </is>
      </c>
    </row>
    <row r="1305">
      <c r="A1305" s="5">
        <f>HYPERLINK("https://finance.yahoo.com/quote/TFX","TFX")</f>
        <v/>
      </c>
      <c r="B1305" t="inlineStr">
        <is>
          <t>TELEFLEX INC</t>
        </is>
      </c>
      <c r="C1305" t="inlineStr">
        <is>
          <t>NYSE</t>
        </is>
      </c>
      <c r="D1305" t="n">
        <v>96943</v>
      </c>
      <c r="E1305" t="inlineStr">
        <is>
          <t>SEC</t>
        </is>
      </c>
    </row>
    <row r="1306">
      <c r="A1306" s="5">
        <f>HYPERLINK("https://finance.yahoo.com/quote/BTDPY","BTDPY")</f>
        <v/>
      </c>
      <c r="B1306" t="inlineStr">
        <is>
          <t>Barratt Developments PLC/ADR</t>
        </is>
      </c>
      <c r="C1306" t="inlineStr">
        <is>
          <t>OTC</t>
        </is>
      </c>
      <c r="D1306" t="n">
        <v>1516324</v>
      </c>
      <c r="E1306" t="inlineStr">
        <is>
          <t>SEC</t>
        </is>
      </c>
    </row>
    <row r="1307">
      <c r="A1307" s="5">
        <f>HYPERLINK("https://finance.yahoo.com/quote/AAON","AAON")</f>
        <v/>
      </c>
      <c r="B1307" t="inlineStr">
        <is>
          <t>AAON, INC.</t>
        </is>
      </c>
      <c r="C1307" t="inlineStr">
        <is>
          <t>Nasdaq</t>
        </is>
      </c>
      <c r="D1307" t="n">
        <v>824142</v>
      </c>
      <c r="E1307" t="inlineStr">
        <is>
          <t>SEC</t>
        </is>
      </c>
    </row>
    <row r="1308">
      <c r="A1308" s="5">
        <f>HYPERLINK("https://finance.yahoo.com/quote/EPRT","EPRT")</f>
        <v/>
      </c>
      <c r="B1308" t="inlineStr">
        <is>
          <t>ESSENTIAL PROPERTIES REALTY TRUST, INC.</t>
        </is>
      </c>
      <c r="C1308" t="inlineStr">
        <is>
          <t>NYSE</t>
        </is>
      </c>
      <c r="D1308" t="n">
        <v>1728951</v>
      </c>
      <c r="E1308" t="inlineStr">
        <is>
          <t>SEC</t>
        </is>
      </c>
    </row>
    <row r="1309">
      <c r="A1309" s="5">
        <f>HYPERLINK("https://finance.yahoo.com/quote/LEA","LEA")</f>
        <v/>
      </c>
      <c r="B1309" t="inlineStr">
        <is>
          <t>LEAR CORP</t>
        </is>
      </c>
      <c r="C1309" t="inlineStr">
        <is>
          <t>NYSE</t>
        </is>
      </c>
      <c r="D1309" t="n">
        <v>842162</v>
      </c>
      <c r="E1309" t="inlineStr">
        <is>
          <t>SEC</t>
        </is>
      </c>
    </row>
    <row r="1310">
      <c r="A1310" s="5">
        <f>HYPERLINK("https://finance.yahoo.com/quote/SIGI","SIGI")</f>
        <v/>
      </c>
      <c r="B1310" t="inlineStr">
        <is>
          <t>SELECTIVE INSURANCE GROUP INC</t>
        </is>
      </c>
      <c r="C1310" t="inlineStr">
        <is>
          <t>Nasdaq</t>
        </is>
      </c>
      <c r="D1310" t="n">
        <v>230557</v>
      </c>
      <c r="E1310" t="inlineStr">
        <is>
          <t>SEC</t>
        </is>
      </c>
    </row>
    <row r="1311">
      <c r="A1311" s="5">
        <f>HYPERLINK("https://finance.yahoo.com/quote/CHDN","CHDN")</f>
        <v/>
      </c>
      <c r="B1311" t="inlineStr">
        <is>
          <t>Churchill Downs Inc</t>
        </is>
      </c>
      <c r="C1311" t="inlineStr">
        <is>
          <t>Nasdaq</t>
        </is>
      </c>
      <c r="D1311" t="n">
        <v>20212</v>
      </c>
      <c r="E1311" t="inlineStr">
        <is>
          <t>SEC</t>
        </is>
      </c>
    </row>
    <row r="1312">
      <c r="A1312" s="5">
        <f>HYPERLINK("https://finance.yahoo.com/quote/ASB","ASB")</f>
        <v/>
      </c>
      <c r="B1312" t="inlineStr">
        <is>
          <t>ASSOCIATED BANC-CORP</t>
        </is>
      </c>
      <c r="C1312" t="inlineStr">
        <is>
          <t>NYSE</t>
        </is>
      </c>
      <c r="D1312" t="n">
        <v>7789</v>
      </c>
      <c r="E1312" t="inlineStr">
        <is>
          <t>SEC</t>
        </is>
      </c>
    </row>
    <row r="1313">
      <c r="A1313" s="5">
        <f>HYPERLINK("https://finance.yahoo.com/quote/IFS","IFS")</f>
        <v/>
      </c>
      <c r="B1313" t="inlineStr">
        <is>
          <t>Intercorp Financial Services Inc.</t>
        </is>
      </c>
      <c r="C1313" t="inlineStr">
        <is>
          <t>NYSE</t>
        </is>
      </c>
      <c r="D1313" t="n">
        <v>1615903</v>
      </c>
      <c r="E1313" t="inlineStr">
        <is>
          <t>SEC</t>
        </is>
      </c>
    </row>
    <row r="1314">
      <c r="A1314" s="5">
        <f>HYPERLINK("https://finance.yahoo.com/quote/NPO","NPO")</f>
        <v/>
      </c>
      <c r="B1314" t="inlineStr">
        <is>
          <t>Enpro Inc.</t>
        </is>
      </c>
      <c r="C1314" t="inlineStr">
        <is>
          <t>NYSE</t>
        </is>
      </c>
      <c r="D1314" t="n">
        <v>1164863</v>
      </c>
      <c r="E1314" t="inlineStr">
        <is>
          <t>SEC</t>
        </is>
      </c>
    </row>
    <row r="1315">
      <c r="A1315" s="5">
        <f>HYPERLINK("https://finance.yahoo.com/quote/WPP","WPP")</f>
        <v/>
      </c>
      <c r="B1315" t="inlineStr">
        <is>
          <t>WPP plc</t>
        </is>
      </c>
      <c r="C1315" t="inlineStr">
        <is>
          <t>NYSE</t>
        </is>
      </c>
      <c r="D1315" t="n">
        <v>806968</v>
      </c>
      <c r="E1315" t="inlineStr">
        <is>
          <t>SEC</t>
        </is>
      </c>
    </row>
    <row r="1316">
      <c r="A1316" s="5">
        <f>HYPERLINK("https://finance.yahoo.com/quote/OCTV","OCTV")</f>
        <v/>
      </c>
      <c r="B1316" t="inlineStr">
        <is>
          <t>Octave Intelligence plc</t>
        </is>
      </c>
      <c r="C1316" t="inlineStr">
        <is>
          <t>Nasdaq</t>
        </is>
      </c>
      <c r="D1316" t="n">
        <v>2083632</v>
      </c>
      <c r="E1316" t="inlineStr">
        <is>
          <t>SEC</t>
        </is>
      </c>
    </row>
    <row r="1317">
      <c r="A1317" s="5">
        <f>HYPERLINK("https://finance.yahoo.com/quote/BBUC","BBUC")</f>
        <v/>
      </c>
      <c r="B1317" t="inlineStr">
        <is>
          <t>Brookfield Business Corp</t>
        </is>
      </c>
      <c r="C1317" t="inlineStr">
        <is>
          <t>NYSE</t>
        </is>
      </c>
      <c r="D1317" t="n">
        <v>1654795</v>
      </c>
      <c r="E1317" t="inlineStr">
        <is>
          <t>SEC</t>
        </is>
      </c>
    </row>
    <row r="1318">
      <c r="A1318" s="5">
        <f>HYPERLINK("https://finance.yahoo.com/quote/AUB","AUB")</f>
        <v/>
      </c>
      <c r="B1318" t="inlineStr">
        <is>
          <t>Atlantic Union Bankshares Corp</t>
        </is>
      </c>
      <c r="C1318" t="inlineStr">
        <is>
          <t>NYSE</t>
        </is>
      </c>
      <c r="D1318" t="n">
        <v>883948</v>
      </c>
      <c r="E1318" t="inlineStr">
        <is>
          <t>SEC</t>
        </is>
      </c>
    </row>
    <row r="1319">
      <c r="A1319" s="5">
        <f>HYPERLINK("https://finance.yahoo.com/quote/SLFPY","SLFPY")</f>
        <v/>
      </c>
      <c r="B1319" t="inlineStr">
        <is>
          <t>STANDARD LIFE PLC</t>
        </is>
      </c>
      <c r="C1319" t="inlineStr">
        <is>
          <t>OTC</t>
        </is>
      </c>
      <c r="D1319" t="n">
        <v>1370418</v>
      </c>
      <c r="E1319" t="inlineStr">
        <is>
          <t>SEC</t>
        </is>
      </c>
    </row>
    <row r="1320">
      <c r="A1320" s="5">
        <f>HYPERLINK("https://finance.yahoo.com/quote/CROX","CROX")</f>
        <v/>
      </c>
      <c r="B1320" t="inlineStr">
        <is>
          <t>Crocs, Inc.</t>
        </is>
      </c>
      <c r="C1320" t="inlineStr">
        <is>
          <t>Nasdaq</t>
        </is>
      </c>
      <c r="D1320" t="n">
        <v>1334036</v>
      </c>
      <c r="E1320" t="inlineStr">
        <is>
          <t>SEC</t>
        </is>
      </c>
    </row>
    <row r="1321">
      <c r="A1321" s="5">
        <f>HYPERLINK("https://finance.yahoo.com/quote/INSW","INSW")</f>
        <v/>
      </c>
      <c r="B1321" t="inlineStr">
        <is>
          <t>International Seaways, Inc.</t>
        </is>
      </c>
      <c r="C1321" t="inlineStr">
        <is>
          <t>NYSE</t>
        </is>
      </c>
      <c r="D1321" t="n">
        <v>1679049</v>
      </c>
      <c r="E1321" t="inlineStr">
        <is>
          <t>SEC</t>
        </is>
      </c>
    </row>
    <row r="1322">
      <c r="A1322" s="5">
        <f>HYPERLINK("https://finance.yahoo.com/quote/CAMT","CAMT")</f>
        <v/>
      </c>
      <c r="B1322" t="inlineStr">
        <is>
          <t>CAMTEK LTD</t>
        </is>
      </c>
      <c r="C1322" t="inlineStr">
        <is>
          <t>Nasdaq</t>
        </is>
      </c>
      <c r="D1322" t="n">
        <v>1109138</v>
      </c>
      <c r="E1322" t="inlineStr">
        <is>
          <t>SEC</t>
        </is>
      </c>
    </row>
    <row r="1323">
      <c r="A1323" s="5">
        <f>HYPERLINK("https://finance.yahoo.com/quote/WULF","WULF")</f>
        <v/>
      </c>
      <c r="B1323" t="inlineStr">
        <is>
          <t>TERAWULF INC.</t>
        </is>
      </c>
      <c r="C1323" t="inlineStr">
        <is>
          <t>Nasdaq</t>
        </is>
      </c>
      <c r="D1323" t="n">
        <v>1083301</v>
      </c>
      <c r="E1323" t="inlineStr">
        <is>
          <t>SEC</t>
        </is>
      </c>
    </row>
    <row r="1324">
      <c r="A1324" s="5">
        <f>HYPERLINK("https://finance.yahoo.com/quote/CACC","CACC")</f>
        <v/>
      </c>
      <c r="B1324" t="inlineStr">
        <is>
          <t>CREDIT ACCEPTANCE CORP</t>
        </is>
      </c>
      <c r="C1324" t="inlineStr">
        <is>
          <t>Nasdaq</t>
        </is>
      </c>
      <c r="D1324" t="n">
        <v>885550</v>
      </c>
      <c r="E1324" t="inlineStr">
        <is>
          <t>SEC</t>
        </is>
      </c>
    </row>
    <row r="1325">
      <c r="A1325" s="5">
        <f>HYPERLINK("https://finance.yahoo.com/quote/TAL","TAL")</f>
        <v/>
      </c>
      <c r="B1325" t="inlineStr">
        <is>
          <t>TAL Education Group</t>
        </is>
      </c>
      <c r="C1325" t="inlineStr">
        <is>
          <t>NYSE</t>
        </is>
      </c>
      <c r="D1325" t="n">
        <v>1499620</v>
      </c>
      <c r="E1325" t="inlineStr">
        <is>
          <t>SEC</t>
        </is>
      </c>
    </row>
    <row r="1326">
      <c r="A1326" s="5">
        <f>HYPERLINK("https://finance.yahoo.com/quote/VEON","VEON")</f>
        <v/>
      </c>
      <c r="B1326" t="inlineStr">
        <is>
          <t>VEON Ltd.</t>
        </is>
      </c>
      <c r="C1326" t="inlineStr">
        <is>
          <t>Nasdaq</t>
        </is>
      </c>
      <c r="D1326" t="n">
        <v>1468091</v>
      </c>
      <c r="E1326" t="inlineStr">
        <is>
          <t>SEC</t>
        </is>
      </c>
    </row>
    <row r="1327">
      <c r="A1327" s="5">
        <f>HYPERLINK("https://finance.yahoo.com/quote/CRUS","CRUS")</f>
        <v/>
      </c>
      <c r="B1327" t="inlineStr">
        <is>
          <t>CIRRUS LOGIC, INC.</t>
        </is>
      </c>
      <c r="C1327" t="inlineStr">
        <is>
          <t>Nasdaq</t>
        </is>
      </c>
      <c r="D1327" t="n">
        <v>772406</v>
      </c>
      <c r="E1327" t="inlineStr">
        <is>
          <t>SEC</t>
        </is>
      </c>
    </row>
    <row r="1328">
      <c r="A1328" s="5">
        <f>HYPERLINK("https://finance.yahoo.com/quote/JBTM","JBTM")</f>
        <v/>
      </c>
      <c r="B1328" t="inlineStr">
        <is>
          <t>JBT MAREL Corp</t>
        </is>
      </c>
      <c r="C1328" t="inlineStr">
        <is>
          <t>NYSE</t>
        </is>
      </c>
      <c r="D1328" t="n">
        <v>1433660</v>
      </c>
      <c r="E1328" t="inlineStr">
        <is>
          <t>SEC</t>
        </is>
      </c>
    </row>
    <row r="1329">
      <c r="A1329" s="5">
        <f>HYPERLINK("https://finance.yahoo.com/quote/LSTR","LSTR")</f>
        <v/>
      </c>
      <c r="B1329" t="inlineStr">
        <is>
          <t>LANDSTAR SYSTEM INC</t>
        </is>
      </c>
      <c r="C1329" t="inlineStr">
        <is>
          <t>Nasdaq</t>
        </is>
      </c>
      <c r="D1329" t="n">
        <v>853816</v>
      </c>
      <c r="E1329" t="inlineStr">
        <is>
          <t>SEC</t>
        </is>
      </c>
    </row>
    <row r="1330">
      <c r="A1330" s="5">
        <f>HYPERLINK("https://finance.yahoo.com/quote/MOS","MOS")</f>
        <v/>
      </c>
      <c r="B1330" t="inlineStr">
        <is>
          <t>MOSAIC CO</t>
        </is>
      </c>
      <c r="C1330" t="inlineStr">
        <is>
          <t>NYSE</t>
        </is>
      </c>
      <c r="D1330" t="n">
        <v>1285785</v>
      </c>
      <c r="E1330" t="inlineStr">
        <is>
          <t>SEC</t>
        </is>
      </c>
    </row>
    <row r="1331">
      <c r="A1331" s="5">
        <f>HYPERLINK("https://finance.yahoo.com/quote/BCPC","BCPC")</f>
        <v/>
      </c>
      <c r="B1331" t="inlineStr">
        <is>
          <t>BALCHEM CORP</t>
        </is>
      </c>
      <c r="C1331" t="inlineStr">
        <is>
          <t>Nasdaq</t>
        </is>
      </c>
      <c r="D1331" t="n">
        <v>9326</v>
      </c>
      <c r="E1331" t="inlineStr">
        <is>
          <t>SEC</t>
        </is>
      </c>
    </row>
    <row r="1332">
      <c r="A1332" s="5">
        <f>HYPERLINK("https://finance.yahoo.com/quote/HAFN","HAFN")</f>
        <v/>
      </c>
      <c r="B1332" t="inlineStr">
        <is>
          <t>Hafnia Ltd</t>
        </is>
      </c>
      <c r="C1332" t="inlineStr">
        <is>
          <t>NYSE</t>
        </is>
      </c>
      <c r="D1332" t="n">
        <v>1815779</v>
      </c>
      <c r="E1332" t="inlineStr">
        <is>
          <t>SEC</t>
        </is>
      </c>
    </row>
    <row r="1333">
      <c r="A1333" s="5">
        <f>HYPERLINK("https://finance.yahoo.com/quote/VRNS","VRNS")</f>
        <v/>
      </c>
      <c r="B1333" t="inlineStr">
        <is>
          <t>VARONIS SYSTEMS INC</t>
        </is>
      </c>
      <c r="C1333" t="inlineStr">
        <is>
          <t>Nasdaq</t>
        </is>
      </c>
      <c r="D1333" t="n">
        <v>1361113</v>
      </c>
      <c r="E1333" t="inlineStr">
        <is>
          <t>SEC</t>
        </is>
      </c>
    </row>
    <row r="1334">
      <c r="A1334" s="5">
        <f>HYPERLINK("https://finance.yahoo.com/quote/SXT","SXT")</f>
        <v/>
      </c>
      <c r="B1334" t="inlineStr">
        <is>
          <t>SENSIENT TECHNOLOGIES CORP</t>
        </is>
      </c>
      <c r="C1334" t="inlineStr">
        <is>
          <t>NYSE</t>
        </is>
      </c>
      <c r="D1334" t="n">
        <v>310142</v>
      </c>
      <c r="E1334" t="inlineStr">
        <is>
          <t>SEC</t>
        </is>
      </c>
    </row>
    <row r="1335">
      <c r="A1335" s="5">
        <f>HYPERLINK("https://finance.yahoo.com/quote/ACIW","ACIW")</f>
        <v/>
      </c>
      <c r="B1335" t="inlineStr">
        <is>
          <t>ACI WORLDWIDE, INC.</t>
        </is>
      </c>
      <c r="C1335" t="inlineStr">
        <is>
          <t>Nasdaq</t>
        </is>
      </c>
      <c r="D1335" t="n">
        <v>935036</v>
      </c>
      <c r="E1335" t="inlineStr">
        <is>
          <t>SEC</t>
        </is>
      </c>
    </row>
    <row r="1336">
      <c r="A1336" s="5">
        <f>HYPERLINK("https://finance.yahoo.com/quote/APLD","APLD")</f>
        <v/>
      </c>
      <c r="B1336" t="inlineStr">
        <is>
          <t>Applied Digital Corp.</t>
        </is>
      </c>
      <c r="C1336" t="inlineStr">
        <is>
          <t>Nasdaq</t>
        </is>
      </c>
      <c r="D1336" t="n">
        <v>1144879</v>
      </c>
      <c r="E1336" t="inlineStr">
        <is>
          <t>SEC</t>
        </is>
      </c>
    </row>
    <row r="1337">
      <c r="A1337" s="5">
        <f>HYPERLINK("https://finance.yahoo.com/quote/MBLY","MBLY")</f>
        <v/>
      </c>
      <c r="B1337" t="inlineStr">
        <is>
          <t>Mobileye Global Inc.</t>
        </is>
      </c>
      <c r="C1337" t="inlineStr">
        <is>
          <t>Nasdaq</t>
        </is>
      </c>
      <c r="D1337" t="n">
        <v>1910139</v>
      </c>
      <c r="E1337" t="inlineStr">
        <is>
          <t>SEC</t>
        </is>
      </c>
    </row>
    <row r="1338">
      <c r="A1338" s="5">
        <f>HYPERLINK("https://finance.yahoo.com/quote/BILI","BILI")</f>
        <v/>
      </c>
      <c r="B1338" t="inlineStr">
        <is>
          <t>Bilibili Inc.</t>
        </is>
      </c>
      <c r="C1338" t="inlineStr">
        <is>
          <t>Nasdaq</t>
        </is>
      </c>
      <c r="D1338" t="n">
        <v>1723690</v>
      </c>
      <c r="E1338" t="inlineStr">
        <is>
          <t>SEC</t>
        </is>
      </c>
    </row>
    <row r="1339">
      <c r="A1339" s="5">
        <f>HYPERLINK("https://finance.yahoo.com/quote/MMSI","MMSI")</f>
        <v/>
      </c>
      <c r="B1339" t="inlineStr">
        <is>
          <t>MERIT MEDICAL SYSTEMS INC</t>
        </is>
      </c>
      <c r="C1339" t="inlineStr">
        <is>
          <t>Nasdaq</t>
        </is>
      </c>
      <c r="D1339" t="n">
        <v>856982</v>
      </c>
      <c r="E1339" t="inlineStr">
        <is>
          <t>SEC</t>
        </is>
      </c>
    </row>
    <row r="1340">
      <c r="A1340" s="5">
        <f>HYPERLINK("https://finance.yahoo.com/quote/RYN","RYN")</f>
        <v/>
      </c>
      <c r="B1340" t="inlineStr">
        <is>
          <t>RAYONIER INC</t>
        </is>
      </c>
      <c r="C1340" t="inlineStr">
        <is>
          <t>NYSE</t>
        </is>
      </c>
      <c r="D1340" t="n">
        <v>52827</v>
      </c>
      <c r="E1340" t="inlineStr">
        <is>
          <t>SEC</t>
        </is>
      </c>
    </row>
    <row r="1341">
      <c r="A1341" s="5">
        <f>HYPERLINK("https://finance.yahoo.com/quote/OGC","OGC")</f>
        <v/>
      </c>
      <c r="B1341" t="inlineStr">
        <is>
          <t>OceanaGold Corp</t>
        </is>
      </c>
      <c r="C1341" t="inlineStr">
        <is>
          <t>NYSE</t>
        </is>
      </c>
      <c r="D1341" t="n">
        <v>1487326</v>
      </c>
      <c r="E1341" t="inlineStr">
        <is>
          <t>SEC</t>
        </is>
      </c>
    </row>
    <row r="1342">
      <c r="A1342" s="5">
        <f>HYPERLINK("https://finance.yahoo.com/quote/OZK","OZK")</f>
        <v/>
      </c>
      <c r="B1342" t="inlineStr">
        <is>
          <t>Bank OZK</t>
        </is>
      </c>
      <c r="C1342" t="inlineStr">
        <is>
          <t>Nasdaq</t>
        </is>
      </c>
      <c r="D1342" t="n">
        <v>1569650</v>
      </c>
      <c r="E1342" t="inlineStr">
        <is>
          <t>SEC</t>
        </is>
      </c>
    </row>
    <row r="1343">
      <c r="A1343" s="5">
        <f>HYPERLINK("https://finance.yahoo.com/quote/POWL","POWL")</f>
        <v/>
      </c>
      <c r="B1343" t="inlineStr">
        <is>
          <t>POWELL INDUSTRIES INC</t>
        </is>
      </c>
      <c r="C1343" t="inlineStr">
        <is>
          <t>Nasdaq</t>
        </is>
      </c>
      <c r="D1343" t="n">
        <v>80420</v>
      </c>
      <c r="E1343" t="inlineStr">
        <is>
          <t>SEC</t>
        </is>
      </c>
    </row>
    <row r="1344">
      <c r="A1344" s="5">
        <f>HYPERLINK("https://finance.yahoo.com/quote/GXO","GXO")</f>
        <v/>
      </c>
      <c r="B1344" t="inlineStr">
        <is>
          <t>GXO Logistics, Inc.</t>
        </is>
      </c>
      <c r="C1344" t="inlineStr">
        <is>
          <t>NYSE</t>
        </is>
      </c>
      <c r="D1344" t="n">
        <v>1852244</v>
      </c>
      <c r="E1344" t="inlineStr">
        <is>
          <t>SEC</t>
        </is>
      </c>
    </row>
    <row r="1345">
      <c r="A1345" s="5">
        <f>HYPERLINK("https://finance.yahoo.com/quote/NXE","NXE")</f>
        <v/>
      </c>
      <c r="B1345" t="inlineStr">
        <is>
          <t>NexGen Energy Ltd.</t>
        </is>
      </c>
      <c r="C1345" t="inlineStr">
        <is>
          <t>NYSE</t>
        </is>
      </c>
      <c r="D1345" t="n">
        <v>1698535</v>
      </c>
      <c r="E1345" t="inlineStr">
        <is>
          <t>SEC</t>
        </is>
      </c>
    </row>
    <row r="1346">
      <c r="A1346" s="5">
        <f>HYPERLINK("https://finance.yahoo.com/quote/WAY","WAY")</f>
        <v/>
      </c>
      <c r="B1346" t="inlineStr">
        <is>
          <t>Waystar Holding Corp.</t>
        </is>
      </c>
      <c r="C1346" t="inlineStr">
        <is>
          <t>Nasdaq</t>
        </is>
      </c>
      <c r="D1346" t="n">
        <v>1990354</v>
      </c>
      <c r="E1346" t="inlineStr">
        <is>
          <t>SEC</t>
        </is>
      </c>
    </row>
    <row r="1347">
      <c r="A1347" s="5">
        <f>HYPERLINK("https://finance.yahoo.com/quote/RDNT","RDNT")</f>
        <v/>
      </c>
      <c r="B1347" t="inlineStr">
        <is>
          <t>RadNet, Inc.</t>
        </is>
      </c>
      <c r="C1347" t="inlineStr">
        <is>
          <t>Nasdaq</t>
        </is>
      </c>
      <c r="D1347" t="n">
        <v>790526</v>
      </c>
      <c r="E1347" t="inlineStr">
        <is>
          <t>SEC</t>
        </is>
      </c>
    </row>
    <row r="1348">
      <c r="A1348" s="5">
        <f>HYPERLINK("https://finance.yahoo.com/quote/ABCB","ABCB")</f>
        <v/>
      </c>
      <c r="B1348" t="inlineStr">
        <is>
          <t>Ameris Bancorp</t>
        </is>
      </c>
      <c r="C1348" t="inlineStr">
        <is>
          <t>NYSE</t>
        </is>
      </c>
      <c r="D1348" t="n">
        <v>351569</v>
      </c>
      <c r="E1348" t="inlineStr">
        <is>
          <t>SEC</t>
        </is>
      </c>
    </row>
    <row r="1349">
      <c r="A1349" s="5">
        <f>HYPERLINK("https://finance.yahoo.com/quote/BGC","BGC")</f>
        <v/>
      </c>
      <c r="B1349" t="inlineStr">
        <is>
          <t>BGC Group, Inc.</t>
        </is>
      </c>
      <c r="C1349" t="inlineStr">
        <is>
          <t>Nasdaq</t>
        </is>
      </c>
      <c r="D1349" t="n">
        <v>1094831</v>
      </c>
      <c r="E1349" t="inlineStr">
        <is>
          <t>SEC</t>
        </is>
      </c>
    </row>
    <row r="1350">
      <c r="A1350" s="5">
        <f>HYPERLINK("https://finance.yahoo.com/quote/HLNE","HLNE")</f>
        <v/>
      </c>
      <c r="B1350" t="inlineStr">
        <is>
          <t>Hamilton Lane INC</t>
        </is>
      </c>
      <c r="C1350" t="inlineStr">
        <is>
          <t>Nasdaq</t>
        </is>
      </c>
      <c r="D1350" t="n">
        <v>1433642</v>
      </c>
      <c r="E1350" t="inlineStr">
        <is>
          <t>SEC</t>
        </is>
      </c>
    </row>
    <row r="1351">
      <c r="A1351" s="5">
        <f>HYPERLINK("https://finance.yahoo.com/quote/OUT","OUT")</f>
        <v/>
      </c>
      <c r="B1351" t="inlineStr">
        <is>
          <t>OUTFRONT Media Inc.</t>
        </is>
      </c>
      <c r="C1351" t="inlineStr">
        <is>
          <t>NYSE</t>
        </is>
      </c>
      <c r="D1351" t="n">
        <v>1579877</v>
      </c>
      <c r="E1351" t="inlineStr">
        <is>
          <t>SEC</t>
        </is>
      </c>
    </row>
    <row r="1352">
      <c r="A1352" s="5">
        <f>HYPERLINK("https://finance.yahoo.com/quote/SGHC","SGHC")</f>
        <v/>
      </c>
      <c r="B1352" t="inlineStr">
        <is>
          <t>Super Group (SGHC) Ltd</t>
        </is>
      </c>
      <c r="C1352" t="inlineStr">
        <is>
          <t>NYSE</t>
        </is>
      </c>
      <c r="D1352" t="n">
        <v>1878057</v>
      </c>
      <c r="E1352" t="inlineStr">
        <is>
          <t>SEC</t>
        </is>
      </c>
    </row>
    <row r="1353">
      <c r="A1353" s="5">
        <f>HYPERLINK("https://finance.yahoo.com/quote/BXSL","BXSL")</f>
        <v/>
      </c>
      <c r="B1353" t="inlineStr">
        <is>
          <t>Blackstone Secured Lending Fund</t>
        </is>
      </c>
      <c r="C1353" t="inlineStr">
        <is>
          <t>NYSE</t>
        </is>
      </c>
      <c r="D1353" t="n">
        <v>1736035</v>
      </c>
      <c r="E1353" t="inlineStr">
        <is>
          <t>SEC</t>
        </is>
      </c>
    </row>
    <row r="1354">
      <c r="A1354" s="5">
        <f>HYPERLINK("https://finance.yahoo.com/quote/WFG","WFG")</f>
        <v/>
      </c>
      <c r="B1354" t="inlineStr">
        <is>
          <t>WEST FRASER TIMBER CO., LTD</t>
        </is>
      </c>
      <c r="C1354" t="inlineStr">
        <is>
          <t>NYSE</t>
        </is>
      </c>
      <c r="D1354" t="n">
        <v>1402388</v>
      </c>
      <c r="E1354" t="inlineStr">
        <is>
          <t>SEC</t>
        </is>
      </c>
    </row>
    <row r="1355">
      <c r="A1355" s="5">
        <f>HYPERLINK("https://finance.yahoo.com/quote/KOD","KOD")</f>
        <v/>
      </c>
      <c r="B1355" t="inlineStr">
        <is>
          <t>Kodiak Sciences Inc.</t>
        </is>
      </c>
      <c r="C1355" t="inlineStr">
        <is>
          <t>Nasdaq</t>
        </is>
      </c>
      <c r="D1355" t="n">
        <v>1468748</v>
      </c>
      <c r="E1355" t="inlineStr">
        <is>
          <t>SEC</t>
        </is>
      </c>
    </row>
    <row r="1356">
      <c r="A1356" s="5">
        <f>HYPERLINK("https://finance.yahoo.com/quote/CGON","CGON")</f>
        <v/>
      </c>
      <c r="B1356" t="inlineStr">
        <is>
          <t>CG Oncology, Inc.</t>
        </is>
      </c>
      <c r="C1356" t="inlineStr">
        <is>
          <t>Nasdaq</t>
        </is>
      </c>
      <c r="D1356" t="n">
        <v>1991792</v>
      </c>
      <c r="E1356" t="inlineStr">
        <is>
          <t>SEC</t>
        </is>
      </c>
    </row>
    <row r="1357">
      <c r="A1357" s="5">
        <f>HYPERLINK("https://finance.yahoo.com/quote/STEP","STEP")</f>
        <v/>
      </c>
      <c r="B1357" t="inlineStr">
        <is>
          <t>StepStone Group Inc.</t>
        </is>
      </c>
      <c r="C1357" t="inlineStr">
        <is>
          <t>Nasdaq</t>
        </is>
      </c>
      <c r="D1357" t="n">
        <v>1796022</v>
      </c>
      <c r="E1357" t="inlineStr">
        <is>
          <t>SEC</t>
        </is>
      </c>
    </row>
    <row r="1358">
      <c r="A1358" s="5">
        <f>HYPERLINK("https://finance.yahoo.com/quote/CRGY","CRGY")</f>
        <v/>
      </c>
      <c r="B1358" t="inlineStr">
        <is>
          <t>Crescent Energy Co</t>
        </is>
      </c>
      <c r="C1358" t="inlineStr">
        <is>
          <t>NYSE</t>
        </is>
      </c>
      <c r="D1358" t="n">
        <v>1866175</v>
      </c>
      <c r="E1358" t="inlineStr">
        <is>
          <t>SEC</t>
        </is>
      </c>
    </row>
    <row r="1359">
      <c r="A1359" s="5">
        <f>HYPERLINK("https://finance.yahoo.com/quote/BIRK","BIRK")</f>
        <v/>
      </c>
      <c r="B1359" t="inlineStr">
        <is>
          <t>Birkenstock Holding plc</t>
        </is>
      </c>
      <c r="C1359" t="inlineStr">
        <is>
          <t>NYSE</t>
        </is>
      </c>
      <c r="D1359" t="n">
        <v>1977102</v>
      </c>
      <c r="E1359" t="inlineStr">
        <is>
          <t>SEC</t>
        </is>
      </c>
    </row>
    <row r="1360">
      <c r="A1360" s="5">
        <f>HYPERLINK("https://finance.yahoo.com/quote/PECO","PECO")</f>
        <v/>
      </c>
      <c r="B1360" t="inlineStr">
        <is>
          <t>Phillips Edison &amp; Company, Inc.</t>
        </is>
      </c>
      <c r="C1360" t="inlineStr">
        <is>
          <t>Nasdaq</t>
        </is>
      </c>
      <c r="D1360" t="n">
        <v>1476204</v>
      </c>
      <c r="E1360" t="inlineStr">
        <is>
          <t>SEC</t>
        </is>
      </c>
    </row>
    <row r="1361">
      <c r="A1361" s="5">
        <f>HYPERLINK("https://finance.yahoo.com/quote/BEPC","BEPC")</f>
        <v/>
      </c>
      <c r="B1361" t="inlineStr">
        <is>
          <t>Brookfield Renewable Corp</t>
        </is>
      </c>
      <c r="C1361" t="inlineStr">
        <is>
          <t>NYSE</t>
        </is>
      </c>
      <c r="D1361" t="n">
        <v>1791863</v>
      </c>
      <c r="E1361" t="inlineStr">
        <is>
          <t>SEC</t>
        </is>
      </c>
    </row>
    <row r="1362">
      <c r="A1362" s="5">
        <f>HYPERLINK("https://finance.yahoo.com/quote/HAE","HAE")</f>
        <v/>
      </c>
      <c r="B1362" t="inlineStr">
        <is>
          <t>HAEMONETICS CORP</t>
        </is>
      </c>
      <c r="C1362" t="inlineStr">
        <is>
          <t>NYSE</t>
        </is>
      </c>
      <c r="D1362" t="n">
        <v>313143</v>
      </c>
      <c r="E1362" t="inlineStr">
        <is>
          <t>SEC</t>
        </is>
      </c>
    </row>
    <row r="1363">
      <c r="A1363" s="5">
        <f>HYPERLINK("https://finance.yahoo.com/quote/JMKE","JMKE")</f>
        <v/>
      </c>
      <c r="B1363" t="inlineStr">
        <is>
          <t>Jersey Mike's Subs Inc.</t>
        </is>
      </c>
      <c r="C1363" t="inlineStr">
        <is>
          <t>NYSE</t>
        </is>
      </c>
      <c r="D1363" t="n">
        <v>2127043</v>
      </c>
      <c r="E1363" t="inlineStr">
        <is>
          <t>SEC</t>
        </is>
      </c>
    </row>
    <row r="1364">
      <c r="A1364" s="5">
        <f>HYPERLINK("https://finance.yahoo.com/quote/LAUR","LAUR")</f>
        <v/>
      </c>
      <c r="B1364" t="inlineStr">
        <is>
          <t>LAUREATE EDUCATION, INC.</t>
        </is>
      </c>
      <c r="C1364" t="inlineStr">
        <is>
          <t>Nasdaq</t>
        </is>
      </c>
      <c r="D1364" t="n">
        <v>912766</v>
      </c>
      <c r="E1364" t="inlineStr">
        <is>
          <t>SEC</t>
        </is>
      </c>
    </row>
    <row r="1365">
      <c r="A1365" s="5">
        <f>HYPERLINK("https://finance.yahoo.com/quote/NJR","NJR")</f>
        <v/>
      </c>
      <c r="B1365" t="inlineStr">
        <is>
          <t>NEW JERSEY RESOURCES CORP</t>
        </is>
      </c>
      <c r="C1365" t="inlineStr">
        <is>
          <t>NYSE</t>
        </is>
      </c>
      <c r="D1365" t="n">
        <v>356309</v>
      </c>
      <c r="E1365" t="inlineStr">
        <is>
          <t>SEC</t>
        </is>
      </c>
    </row>
    <row r="1366">
      <c r="A1366" s="5">
        <f>HYPERLINK("https://finance.yahoo.com/quote/CAKE","CAKE")</f>
        <v/>
      </c>
      <c r="B1366" t="inlineStr">
        <is>
          <t>CHEESECAKE FACTORY INC</t>
        </is>
      </c>
      <c r="C1366" t="inlineStr">
        <is>
          <t>Nasdaq</t>
        </is>
      </c>
      <c r="D1366" t="n">
        <v>887596</v>
      </c>
      <c r="E1366" t="inlineStr">
        <is>
          <t>SEC</t>
        </is>
      </c>
    </row>
    <row r="1367">
      <c r="A1367" s="5">
        <f>HYPERLINK("https://finance.yahoo.com/quote/CNX","CNX")</f>
        <v/>
      </c>
      <c r="B1367" t="inlineStr">
        <is>
          <t>CNX Resources Corp</t>
        </is>
      </c>
      <c r="C1367" t="inlineStr">
        <is>
          <t>NYSE</t>
        </is>
      </c>
      <c r="D1367" t="n">
        <v>1070412</v>
      </c>
      <c r="E1367" t="inlineStr">
        <is>
          <t>SEC</t>
        </is>
      </c>
    </row>
    <row r="1368">
      <c r="A1368" s="5">
        <f>HYPERLINK("https://finance.yahoo.com/quote/MAAS","MAAS")</f>
        <v/>
      </c>
      <c r="B1368" t="inlineStr">
        <is>
          <t>Maase Inc.</t>
        </is>
      </c>
      <c r="C1368" t="inlineStr">
        <is>
          <t>Nasdaq</t>
        </is>
      </c>
      <c r="D1368" t="n">
        <v>1750264</v>
      </c>
      <c r="E1368" t="inlineStr">
        <is>
          <t>SEC</t>
        </is>
      </c>
    </row>
    <row r="1369">
      <c r="A1369" s="5">
        <f>HYPERLINK("https://finance.yahoo.com/quote/EXP","EXP")</f>
        <v/>
      </c>
      <c r="B1369" t="inlineStr">
        <is>
          <t>EAGLE MATERIALS INC</t>
        </is>
      </c>
      <c r="C1369" t="inlineStr">
        <is>
          <t>NYSE</t>
        </is>
      </c>
      <c r="D1369" t="n">
        <v>918646</v>
      </c>
      <c r="E1369" t="inlineStr">
        <is>
          <t>SEC</t>
        </is>
      </c>
    </row>
    <row r="1370">
      <c r="A1370" s="5">
        <f>HYPERLINK("https://finance.yahoo.com/quote/COGT","COGT")</f>
        <v/>
      </c>
      <c r="B1370" t="inlineStr">
        <is>
          <t>Cogent Biosciences, Inc.</t>
        </is>
      </c>
      <c r="C1370" t="inlineStr">
        <is>
          <t>Nasdaq</t>
        </is>
      </c>
      <c r="D1370" t="n">
        <v>1622229</v>
      </c>
      <c r="E1370" t="inlineStr">
        <is>
          <t>SEC</t>
        </is>
      </c>
    </row>
    <row r="1371">
      <c r="A1371" s="5">
        <f>HYPERLINK("https://finance.yahoo.com/quote/CPA","CPA")</f>
        <v/>
      </c>
      <c r="B1371" t="inlineStr">
        <is>
          <t>Copa Holdings, S.A.</t>
        </is>
      </c>
      <c r="C1371" t="inlineStr">
        <is>
          <t>NYSE</t>
        </is>
      </c>
      <c r="D1371" t="n">
        <v>1345105</v>
      </c>
      <c r="E1371" t="inlineStr">
        <is>
          <t>SEC</t>
        </is>
      </c>
    </row>
    <row r="1372">
      <c r="A1372" s="5">
        <f>HYPERLINK("https://finance.yahoo.com/quote/IBP","IBP")</f>
        <v/>
      </c>
      <c r="B1372" t="inlineStr">
        <is>
          <t>Installed Building Products, Inc.</t>
        </is>
      </c>
      <c r="C1372" t="inlineStr">
        <is>
          <t>NYSE</t>
        </is>
      </c>
      <c r="D1372" t="n">
        <v>1580905</v>
      </c>
      <c r="E1372" t="inlineStr">
        <is>
          <t>SEC</t>
        </is>
      </c>
    </row>
    <row r="1373">
      <c r="A1373" s="5">
        <f>HYPERLINK("https://finance.yahoo.com/quote/ORA","ORA")</f>
        <v/>
      </c>
      <c r="B1373" t="inlineStr">
        <is>
          <t>ORMAT TECHNOLOGIES, INC.</t>
        </is>
      </c>
      <c r="C1373" t="inlineStr">
        <is>
          <t>NYSE</t>
        </is>
      </c>
      <c r="D1373" t="n">
        <v>1296445</v>
      </c>
      <c r="E1373" t="inlineStr">
        <is>
          <t>SEC</t>
        </is>
      </c>
    </row>
    <row r="1374">
      <c r="A1374" s="5">
        <f>HYPERLINK("https://finance.yahoo.com/quote/CMBT","CMBT")</f>
        <v/>
      </c>
      <c r="B1374" t="inlineStr">
        <is>
          <t>CMB.TECH NV</t>
        </is>
      </c>
      <c r="C1374" t="inlineStr">
        <is>
          <t>NYSE</t>
        </is>
      </c>
      <c r="D1374" t="n">
        <v>1604481</v>
      </c>
      <c r="E1374" t="inlineStr">
        <is>
          <t>SEC</t>
        </is>
      </c>
    </row>
    <row r="1375">
      <c r="A1375" s="5">
        <f>HYPERLINK("https://finance.yahoo.com/quote/WH","WH")</f>
        <v/>
      </c>
      <c r="B1375" t="inlineStr">
        <is>
          <t>WYNDHAM HOTELS &amp; RESORTS, INC.</t>
        </is>
      </c>
      <c r="C1375" t="inlineStr">
        <is>
          <t>NYSE</t>
        </is>
      </c>
      <c r="D1375" t="n">
        <v>1722684</v>
      </c>
      <c r="E1375" t="inlineStr">
        <is>
          <t>SEC</t>
        </is>
      </c>
    </row>
    <row r="1376">
      <c r="A1376" s="5">
        <f>HYPERLINK("https://finance.yahoo.com/quote/ORKA","ORKA")</f>
        <v/>
      </c>
      <c r="B1376" t="inlineStr">
        <is>
          <t>Oruka Therapeutics, Inc.</t>
        </is>
      </c>
      <c r="C1376" t="inlineStr">
        <is>
          <t>Nasdaq</t>
        </is>
      </c>
      <c r="D1376" t="n">
        <v>907654</v>
      </c>
      <c r="E1376" t="inlineStr">
        <is>
          <t>SEC</t>
        </is>
      </c>
    </row>
    <row r="1377">
      <c r="A1377" s="5">
        <f>HYPERLINK("https://finance.yahoo.com/quote/SNDR","SNDR")</f>
        <v/>
      </c>
      <c r="B1377" t="inlineStr">
        <is>
          <t>Schneider National, Inc.</t>
        </is>
      </c>
      <c r="C1377" t="inlineStr">
        <is>
          <t>NYSE</t>
        </is>
      </c>
      <c r="D1377" t="n">
        <v>1692063</v>
      </c>
      <c r="E1377" t="inlineStr">
        <is>
          <t>SEC</t>
        </is>
      </c>
    </row>
    <row r="1378">
      <c r="A1378" s="5">
        <f>HYPERLINK("https://finance.yahoo.com/quote/WTM","WTM")</f>
        <v/>
      </c>
      <c r="B1378" t="inlineStr">
        <is>
          <t>WHITE MOUNTAINS INSURANCE GROUP LTD</t>
        </is>
      </c>
      <c r="C1378" t="inlineStr">
        <is>
          <t>NYSE</t>
        </is>
      </c>
      <c r="D1378" t="n">
        <v>776867</v>
      </c>
      <c r="E1378" t="inlineStr">
        <is>
          <t>SEC</t>
        </is>
      </c>
    </row>
    <row r="1379">
      <c r="A1379" s="5">
        <f>HYPERLINK("https://finance.yahoo.com/quote/HGTY","HGTY")</f>
        <v/>
      </c>
      <c r="B1379" t="inlineStr">
        <is>
          <t>Hagerty, Inc.</t>
        </is>
      </c>
      <c r="C1379" t="inlineStr">
        <is>
          <t>NYSE</t>
        </is>
      </c>
      <c r="D1379" t="n">
        <v>1840776</v>
      </c>
      <c r="E1379" t="inlineStr">
        <is>
          <t>SEC</t>
        </is>
      </c>
    </row>
    <row r="1380">
      <c r="A1380" s="5">
        <f>HYPERLINK("https://finance.yahoo.com/quote/NOVT","NOVT")</f>
        <v/>
      </c>
      <c r="B1380" t="inlineStr">
        <is>
          <t>NOVANTA INC</t>
        </is>
      </c>
      <c r="C1380" t="inlineStr">
        <is>
          <t>Nasdaq</t>
        </is>
      </c>
      <c r="D1380" t="n">
        <v>1076930</v>
      </c>
      <c r="E1380" t="inlineStr">
        <is>
          <t>SEC</t>
        </is>
      </c>
    </row>
    <row r="1381">
      <c r="A1381" s="5">
        <f>HYPERLINK("https://finance.yahoo.com/quote/AN","AN")</f>
        <v/>
      </c>
      <c r="B1381" t="inlineStr">
        <is>
          <t>AUTONATION, INC.</t>
        </is>
      </c>
      <c r="C1381" t="inlineStr">
        <is>
          <t>NYSE</t>
        </is>
      </c>
      <c r="D1381" t="n">
        <v>350698</v>
      </c>
      <c r="E1381" t="inlineStr">
        <is>
          <t>SEC</t>
        </is>
      </c>
    </row>
    <row r="1382">
      <c r="A1382" s="5">
        <f>HYPERLINK("https://finance.yahoo.com/quote/STVN","STVN")</f>
        <v/>
      </c>
      <c r="B1382" t="inlineStr">
        <is>
          <t>Stevanato Group S.p.A.</t>
        </is>
      </c>
      <c r="C1382" t="inlineStr">
        <is>
          <t>NYSE</t>
        </is>
      </c>
      <c r="D1382" t="n">
        <v>1849853</v>
      </c>
      <c r="E1382" t="inlineStr">
        <is>
          <t>SEC</t>
        </is>
      </c>
    </row>
    <row r="1383">
      <c r="A1383" s="5">
        <f>HYPERLINK("https://finance.yahoo.com/quote/AMTM","AMTM")</f>
        <v/>
      </c>
      <c r="B1383" t="inlineStr">
        <is>
          <t>Amentum Holdings, Inc.</t>
        </is>
      </c>
      <c r="C1383" t="inlineStr">
        <is>
          <t>NYSE</t>
        </is>
      </c>
      <c r="D1383" t="n">
        <v>2011286</v>
      </c>
      <c r="E1383" t="inlineStr">
        <is>
          <t>SEC</t>
        </is>
      </c>
    </row>
    <row r="1384">
      <c r="A1384" s="5">
        <f>HYPERLINK("https://finance.yahoo.com/quote/MIRM","MIRM")</f>
        <v/>
      </c>
      <c r="B1384" t="inlineStr">
        <is>
          <t>Mirum Pharmaceuticals, Inc.</t>
        </is>
      </c>
      <c r="C1384" t="inlineStr">
        <is>
          <t>Nasdaq</t>
        </is>
      </c>
      <c r="D1384" t="n">
        <v>1759425</v>
      </c>
      <c r="E1384" t="inlineStr">
        <is>
          <t>SEC</t>
        </is>
      </c>
    </row>
    <row r="1385">
      <c r="A1385" s="5">
        <f>HYPERLINK("https://finance.yahoo.com/quote/RELY","RELY")</f>
        <v/>
      </c>
      <c r="B1385" t="inlineStr">
        <is>
          <t>Remitly Global, Inc.</t>
        </is>
      </c>
      <c r="C1385" t="inlineStr">
        <is>
          <t>Nasdaq</t>
        </is>
      </c>
      <c r="D1385" t="n">
        <v>1782170</v>
      </c>
      <c r="E1385" t="inlineStr">
        <is>
          <t>SEC</t>
        </is>
      </c>
    </row>
    <row r="1386">
      <c r="A1386" s="5">
        <f>HYPERLINK("https://finance.yahoo.com/quote/POR","POR")</f>
        <v/>
      </c>
      <c r="B1386" t="inlineStr">
        <is>
          <t>PORTLAND GENERAL ELECTRIC CO /OR/</t>
        </is>
      </c>
      <c r="C1386" t="inlineStr">
        <is>
          <t>NYSE</t>
        </is>
      </c>
      <c r="D1386" t="n">
        <v>784977</v>
      </c>
      <c r="E1386" t="inlineStr">
        <is>
          <t>SEC</t>
        </is>
      </c>
    </row>
    <row r="1387">
      <c r="A1387" s="5">
        <f>HYPERLINK("https://finance.yahoo.com/quote/RMVEY","RMVEY")</f>
        <v/>
      </c>
      <c r="B1387" t="inlineStr">
        <is>
          <t>Rightmove PLC/ADR</t>
        </is>
      </c>
      <c r="C1387" t="inlineStr">
        <is>
          <t>OTC</t>
        </is>
      </c>
      <c r="D1387" t="n">
        <v>1516536</v>
      </c>
      <c r="E1387" t="inlineStr">
        <is>
          <t>SEC</t>
        </is>
      </c>
    </row>
    <row r="1388">
      <c r="A1388" s="5">
        <f>HYPERLINK("https://finance.yahoo.com/quote/PSMT","PSMT")</f>
        <v/>
      </c>
      <c r="B1388" t="inlineStr">
        <is>
          <t>PRICESMART INC</t>
        </is>
      </c>
      <c r="C1388" t="inlineStr">
        <is>
          <t>Nasdaq</t>
        </is>
      </c>
      <c r="D1388" t="n">
        <v>1041803</v>
      </c>
      <c r="E1388" t="inlineStr">
        <is>
          <t>SEC</t>
        </is>
      </c>
    </row>
    <row r="1389">
      <c r="A1389" s="5">
        <f>HYPERLINK("https://finance.yahoo.com/quote/AX","AX")</f>
        <v/>
      </c>
      <c r="B1389" t="inlineStr">
        <is>
          <t>Axos Financial, Inc.</t>
        </is>
      </c>
      <c r="C1389" t="inlineStr">
        <is>
          <t>NYSE</t>
        </is>
      </c>
      <c r="D1389" t="n">
        <v>1299709</v>
      </c>
      <c r="E1389" t="inlineStr">
        <is>
          <t>SEC</t>
        </is>
      </c>
    </row>
    <row r="1390">
      <c r="A1390" s="5">
        <f>HYPERLINK("https://finance.yahoo.com/quote/RUSHA","RUSHA")</f>
        <v/>
      </c>
      <c r="B1390" t="inlineStr">
        <is>
          <t>RUSH ENTERPRISES INC \TX\</t>
        </is>
      </c>
      <c r="C1390" t="inlineStr">
        <is>
          <t>Nasdaq</t>
        </is>
      </c>
      <c r="D1390" t="n">
        <v>1012019</v>
      </c>
      <c r="E1390" t="inlineStr">
        <is>
          <t>SEC</t>
        </is>
      </c>
    </row>
    <row r="1391">
      <c r="A1391" s="5">
        <f>HYPERLINK("https://finance.yahoo.com/quote/MTN","MTN")</f>
        <v/>
      </c>
      <c r="B1391" t="inlineStr">
        <is>
          <t>VAIL RESORTS INC</t>
        </is>
      </c>
      <c r="C1391" t="inlineStr">
        <is>
          <t>NYSE</t>
        </is>
      </c>
      <c r="D1391" t="n">
        <v>812011</v>
      </c>
      <c r="E1391" t="inlineStr">
        <is>
          <t>SEC</t>
        </is>
      </c>
    </row>
    <row r="1392">
      <c r="A1392" s="5">
        <f>HYPERLINK("https://finance.yahoo.com/quote/PSN","PSN")</f>
        <v/>
      </c>
      <c r="B1392" t="inlineStr">
        <is>
          <t>PARSONS CORP</t>
        </is>
      </c>
      <c r="C1392" t="inlineStr">
        <is>
          <t>NYSE</t>
        </is>
      </c>
      <c r="D1392" t="n">
        <v>275880</v>
      </c>
      <c r="E1392" t="inlineStr">
        <is>
          <t>SEC</t>
        </is>
      </c>
    </row>
    <row r="1393">
      <c r="A1393" s="5">
        <f>HYPERLINK("https://finance.yahoo.com/quote/BRZE","BRZE")</f>
        <v/>
      </c>
      <c r="B1393" t="inlineStr">
        <is>
          <t>Braze, Inc.</t>
        </is>
      </c>
      <c r="C1393" t="inlineStr">
        <is>
          <t>Nasdaq</t>
        </is>
      </c>
      <c r="D1393" t="n">
        <v>1676238</v>
      </c>
      <c r="E1393" t="inlineStr">
        <is>
          <t>SEC</t>
        </is>
      </c>
    </row>
    <row r="1394">
      <c r="A1394" s="5">
        <f>HYPERLINK("https://finance.yahoo.com/quote/OLLI","OLLI")</f>
        <v/>
      </c>
      <c r="B1394" t="inlineStr">
        <is>
          <t>Ollie's Bargain Outlet Holdings, Inc.</t>
        </is>
      </c>
      <c r="C1394" t="inlineStr">
        <is>
          <t>Nasdaq</t>
        </is>
      </c>
      <c r="D1394" t="n">
        <v>1639300</v>
      </c>
      <c r="E1394" t="inlineStr">
        <is>
          <t>SEC</t>
        </is>
      </c>
    </row>
    <row r="1395">
      <c r="A1395" s="5">
        <f>HYPERLINK("https://finance.yahoo.com/quote/CE","CE")</f>
        <v/>
      </c>
      <c r="B1395" t="inlineStr">
        <is>
          <t>Celanese Corp</t>
        </is>
      </c>
      <c r="C1395" t="inlineStr">
        <is>
          <t>NYSE</t>
        </is>
      </c>
      <c r="D1395" t="n">
        <v>1306830</v>
      </c>
      <c r="E1395" t="inlineStr">
        <is>
          <t>SEC</t>
        </is>
      </c>
    </row>
    <row r="1396">
      <c r="A1396" s="5">
        <f>HYPERLINK("https://finance.yahoo.com/quote/FIGR","FIGR")</f>
        <v/>
      </c>
      <c r="B1396" t="inlineStr">
        <is>
          <t>Figure Technology Solutions, Inc.</t>
        </is>
      </c>
      <c r="C1396" t="inlineStr">
        <is>
          <t>Nasdaq</t>
        </is>
      </c>
      <c r="D1396" t="n">
        <v>2064124</v>
      </c>
      <c r="E1396" t="inlineStr">
        <is>
          <t>SEC</t>
        </is>
      </c>
    </row>
    <row r="1397">
      <c r="A1397" s="5">
        <f>HYPERLINK("https://finance.yahoo.com/quote/RITM","RITM")</f>
        <v/>
      </c>
      <c r="B1397" t="inlineStr">
        <is>
          <t>Rithm Capital Corp.</t>
        </is>
      </c>
      <c r="C1397" t="inlineStr">
        <is>
          <t>NYSE</t>
        </is>
      </c>
      <c r="D1397" t="n">
        <v>1556593</v>
      </c>
      <c r="E1397" t="inlineStr">
        <is>
          <t>SEC</t>
        </is>
      </c>
    </row>
    <row r="1398">
      <c r="A1398" s="5">
        <f>HYPERLINK("https://finance.yahoo.com/quote/BB","BB")</f>
        <v/>
      </c>
      <c r="B1398" t="inlineStr">
        <is>
          <t>BLACKBERRY Ltd</t>
        </is>
      </c>
      <c r="C1398" t="inlineStr">
        <is>
          <t>NYSE</t>
        </is>
      </c>
      <c r="D1398" t="n">
        <v>1070235</v>
      </c>
      <c r="E1398" t="inlineStr">
        <is>
          <t>SEC</t>
        </is>
      </c>
    </row>
    <row r="1399">
      <c r="A1399" s="5">
        <f>HYPERLINK("https://finance.yahoo.com/quote/LPX","LPX")</f>
        <v/>
      </c>
      <c r="B1399" t="inlineStr">
        <is>
          <t>LOUISIANA-PACIFIC CORP</t>
        </is>
      </c>
      <c r="C1399" t="inlineStr">
        <is>
          <t>NYSE</t>
        </is>
      </c>
      <c r="D1399" t="n">
        <v>60519</v>
      </c>
      <c r="E1399" t="inlineStr">
        <is>
          <t>SEC</t>
        </is>
      </c>
    </row>
    <row r="1400">
      <c r="A1400" s="5">
        <f>HYPERLINK("https://finance.yahoo.com/quote/NXST","NXST")</f>
        <v/>
      </c>
      <c r="B1400" t="inlineStr">
        <is>
          <t>NEXSTAR MEDIA GROUP, INC.</t>
        </is>
      </c>
      <c r="C1400" t="inlineStr">
        <is>
          <t>Nasdaq</t>
        </is>
      </c>
      <c r="D1400" t="n">
        <v>1142417</v>
      </c>
      <c r="E1400" t="inlineStr">
        <is>
          <t>SEC</t>
        </is>
      </c>
    </row>
    <row r="1401">
      <c r="A1401" s="5">
        <f>HYPERLINK("https://finance.yahoo.com/quote/MMED","MMED")</f>
        <v/>
      </c>
      <c r="B1401" t="inlineStr">
        <is>
          <t>MiniMed Group, Inc.</t>
        </is>
      </c>
      <c r="C1401" t="inlineStr">
        <is>
          <t>Nasdaq</t>
        </is>
      </c>
      <c r="D1401" t="n">
        <v>2062583</v>
      </c>
      <c r="E1401" t="inlineStr">
        <is>
          <t>SEC</t>
        </is>
      </c>
    </row>
    <row r="1402">
      <c r="A1402" s="5">
        <f>HYPERLINK("https://finance.yahoo.com/quote/XMTR","XMTR")</f>
        <v/>
      </c>
      <c r="B1402" t="inlineStr">
        <is>
          <t>Xometry, Inc.</t>
        </is>
      </c>
      <c r="C1402" t="inlineStr">
        <is>
          <t>Nasdaq</t>
        </is>
      </c>
      <c r="D1402" t="n">
        <v>1657573</v>
      </c>
      <c r="E1402" t="inlineStr">
        <is>
          <t>SEC</t>
        </is>
      </c>
    </row>
    <row r="1403">
      <c r="A1403" s="5">
        <f>HYPERLINK("https://finance.yahoo.com/quote/TKMTY","TKMTY")</f>
        <v/>
      </c>
      <c r="B1403" t="inlineStr">
        <is>
          <t>Tokyo Metro Co., Ltd./ADR</t>
        </is>
      </c>
      <c r="C1403" t="inlineStr">
        <is>
          <t>OTC</t>
        </is>
      </c>
      <c r="D1403" t="n">
        <v>2044863</v>
      </c>
      <c r="E1403" t="inlineStr">
        <is>
          <t>SEC</t>
        </is>
      </c>
    </row>
    <row r="1404">
      <c r="A1404" s="5">
        <f>HYPERLINK("https://finance.yahoo.com/quote/GHC","GHC")</f>
        <v/>
      </c>
      <c r="B1404" t="inlineStr">
        <is>
          <t>Graham Holdings Co</t>
        </is>
      </c>
      <c r="C1404" t="inlineStr">
        <is>
          <t>NYSE</t>
        </is>
      </c>
      <c r="D1404" t="n">
        <v>104889</v>
      </c>
      <c r="E1404" t="inlineStr">
        <is>
          <t>SEC</t>
        </is>
      </c>
    </row>
    <row r="1405">
      <c r="A1405" s="5">
        <f>HYPERLINK("https://finance.yahoo.com/quote/BYD","BYD")</f>
        <v/>
      </c>
      <c r="B1405" t="inlineStr">
        <is>
          <t>BOYD GAMING CORP</t>
        </is>
      </c>
      <c r="C1405" t="inlineStr">
        <is>
          <t>NYSE</t>
        </is>
      </c>
      <c r="D1405" t="n">
        <v>906553</v>
      </c>
      <c r="E1405" t="inlineStr">
        <is>
          <t>SEC</t>
        </is>
      </c>
    </row>
    <row r="1406">
      <c r="A1406" s="5">
        <f>HYPERLINK("https://finance.yahoo.com/quote/NSIT","NSIT")</f>
        <v/>
      </c>
      <c r="B1406" t="inlineStr">
        <is>
          <t>INSIGHT ENTERPRISES INC</t>
        </is>
      </c>
      <c r="C1406" t="inlineStr">
        <is>
          <t>Nasdaq</t>
        </is>
      </c>
      <c r="D1406" t="n">
        <v>932696</v>
      </c>
      <c r="E1406" t="inlineStr">
        <is>
          <t>SEC</t>
        </is>
      </c>
    </row>
    <row r="1407">
      <c r="A1407" s="5">
        <f>HYPERLINK("https://finance.yahoo.com/quote/EBC","EBC")</f>
        <v/>
      </c>
      <c r="B1407" t="inlineStr">
        <is>
          <t>Eastern Bankshares, Inc.</t>
        </is>
      </c>
      <c r="C1407" t="inlineStr">
        <is>
          <t>Nasdaq</t>
        </is>
      </c>
      <c r="D1407" t="n">
        <v>1810546</v>
      </c>
      <c r="E1407" t="inlineStr">
        <is>
          <t>SEC</t>
        </is>
      </c>
    </row>
    <row r="1408">
      <c r="A1408" s="5">
        <f>HYPERLINK("https://finance.yahoo.com/quote/SHC","SHC")</f>
        <v/>
      </c>
      <c r="B1408" t="inlineStr">
        <is>
          <t>Sotera Health Co</t>
        </is>
      </c>
      <c r="C1408" t="inlineStr">
        <is>
          <t>Nasdaq</t>
        </is>
      </c>
      <c r="D1408" t="n">
        <v>1822479</v>
      </c>
      <c r="E1408" t="inlineStr">
        <is>
          <t>SEC</t>
        </is>
      </c>
    </row>
    <row r="1409">
      <c r="A1409" s="5">
        <f>HYPERLINK("https://finance.yahoo.com/quote/FBIN","FBIN")</f>
        <v/>
      </c>
      <c r="B1409" t="inlineStr">
        <is>
          <t>Fortune Brands Innovations, Inc.</t>
        </is>
      </c>
      <c r="C1409" t="inlineStr">
        <is>
          <t>NYSE</t>
        </is>
      </c>
      <c r="D1409" t="n">
        <v>1519751</v>
      </c>
      <c r="E1409" t="inlineStr">
        <is>
          <t>SEC</t>
        </is>
      </c>
    </row>
    <row r="1410">
      <c r="A1410" s="5">
        <f>HYPERLINK("https://finance.yahoo.com/quote/TREX","TREX")</f>
        <v/>
      </c>
      <c r="B1410" t="inlineStr">
        <is>
          <t>TREX CO INC</t>
        </is>
      </c>
      <c r="C1410" t="inlineStr">
        <is>
          <t>NYSE</t>
        </is>
      </c>
      <c r="D1410" t="n">
        <v>1069878</v>
      </c>
      <c r="E1410" t="inlineStr">
        <is>
          <t>SEC</t>
        </is>
      </c>
    </row>
    <row r="1411">
      <c r="A1411" s="5">
        <f>HYPERLINK("https://finance.yahoo.com/quote/GRFS","GRFS")</f>
        <v/>
      </c>
      <c r="B1411" t="inlineStr">
        <is>
          <t>Grifols SA</t>
        </is>
      </c>
      <c r="C1411" t="inlineStr">
        <is>
          <t>Nasdaq</t>
        </is>
      </c>
      <c r="D1411" t="n">
        <v>1438569</v>
      </c>
      <c r="E1411" t="inlineStr">
        <is>
          <t>SEC</t>
        </is>
      </c>
    </row>
    <row r="1412">
      <c r="A1412" s="5">
        <f>HYPERLINK("https://finance.yahoo.com/quote/PI","PI")</f>
        <v/>
      </c>
      <c r="B1412" t="inlineStr">
        <is>
          <t>IMPINJ INC</t>
        </is>
      </c>
      <c r="C1412" t="inlineStr">
        <is>
          <t>Nasdaq</t>
        </is>
      </c>
      <c r="D1412" t="n">
        <v>1114995</v>
      </c>
      <c r="E1412" t="inlineStr">
        <is>
          <t>SEC</t>
        </is>
      </c>
    </row>
    <row r="1413">
      <c r="A1413" s="5">
        <f>HYPERLINK("https://finance.yahoo.com/quote/AROC","AROC")</f>
        <v/>
      </c>
      <c r="B1413" t="inlineStr">
        <is>
          <t>Archrock, Inc.</t>
        </is>
      </c>
      <c r="C1413" t="inlineStr">
        <is>
          <t>NYSE</t>
        </is>
      </c>
      <c r="D1413" t="n">
        <v>1389050</v>
      </c>
      <c r="E1413" t="inlineStr">
        <is>
          <t>SEC</t>
        </is>
      </c>
    </row>
    <row r="1414">
      <c r="A1414" s="5">
        <f>HYPERLINK("https://finance.yahoo.com/quote/UNF","UNF")</f>
        <v/>
      </c>
      <c r="B1414" t="inlineStr">
        <is>
          <t>UNIFIRST CORP</t>
        </is>
      </c>
      <c r="C1414" t="inlineStr">
        <is>
          <t>NYSE</t>
        </is>
      </c>
      <c r="D1414" t="n">
        <v>717954</v>
      </c>
      <c r="E1414" t="inlineStr">
        <is>
          <t>SEC</t>
        </is>
      </c>
    </row>
    <row r="1415">
      <c r="A1415" s="5">
        <f>HYPERLINK("https://finance.yahoo.com/quote/BLLN","BLLN")</f>
        <v/>
      </c>
      <c r="B1415" t="inlineStr">
        <is>
          <t>BillionToOne, Inc.</t>
        </is>
      </c>
      <c r="C1415" t="inlineStr">
        <is>
          <t>Nasdaq</t>
        </is>
      </c>
      <c r="D1415" t="n">
        <v>2070849</v>
      </c>
      <c r="E1415" t="inlineStr">
        <is>
          <t>SEC</t>
        </is>
      </c>
    </row>
    <row r="1416">
      <c r="A1416" s="5">
        <f>HYPERLINK("https://finance.yahoo.com/quote/MIDD","MIDD")</f>
        <v/>
      </c>
      <c r="B1416" t="inlineStr">
        <is>
          <t>MIDDLEBY Corp</t>
        </is>
      </c>
      <c r="C1416" t="inlineStr">
        <is>
          <t>Nasdaq</t>
        </is>
      </c>
      <c r="D1416" t="n">
        <v>769520</v>
      </c>
      <c r="E1416" t="inlineStr">
        <is>
          <t>SEC</t>
        </is>
      </c>
    </row>
    <row r="1417">
      <c r="A1417" s="5">
        <f>HYPERLINK("https://finance.yahoo.com/quote/ADT","ADT")</f>
        <v/>
      </c>
      <c r="B1417" t="inlineStr">
        <is>
          <t>ADT Inc.</t>
        </is>
      </c>
      <c r="C1417" t="inlineStr">
        <is>
          <t>NYSE</t>
        </is>
      </c>
      <c r="D1417" t="n">
        <v>1703056</v>
      </c>
      <c r="E1417" t="inlineStr">
        <is>
          <t>SEC</t>
        </is>
      </c>
    </row>
    <row r="1418">
      <c r="A1418" s="5">
        <f>HYPERLINK("https://finance.yahoo.com/quote/CON","CON")</f>
        <v/>
      </c>
      <c r="B1418" t="inlineStr">
        <is>
          <t>Concentra Group Holdings Parent, Inc.</t>
        </is>
      </c>
      <c r="C1418" t="inlineStr">
        <is>
          <t>NYSE</t>
        </is>
      </c>
      <c r="D1418" t="n">
        <v>2014596</v>
      </c>
      <c r="E1418" t="inlineStr">
        <is>
          <t>SEC</t>
        </is>
      </c>
    </row>
    <row r="1419">
      <c r="A1419" s="5">
        <f>HYPERLINK("https://finance.yahoo.com/quote/KRG","KRG")</f>
        <v/>
      </c>
      <c r="B1419" t="inlineStr">
        <is>
          <t>KITE REALTY GROUP TRUST</t>
        </is>
      </c>
      <c r="C1419" t="inlineStr">
        <is>
          <t>NYSE</t>
        </is>
      </c>
      <c r="D1419" t="n">
        <v>1286043</v>
      </c>
      <c r="E1419" t="inlineStr">
        <is>
          <t>SEC</t>
        </is>
      </c>
    </row>
    <row r="1420">
      <c r="A1420" s="5">
        <f>HYPERLINK("https://finance.yahoo.com/quote/FND","FND")</f>
        <v/>
      </c>
      <c r="B1420" t="inlineStr">
        <is>
          <t>Floor &amp; Decor Holdings, Inc.</t>
        </is>
      </c>
      <c r="C1420" t="inlineStr">
        <is>
          <t>NYSE</t>
        </is>
      </c>
      <c r="D1420" t="n">
        <v>1507079</v>
      </c>
      <c r="E1420" t="inlineStr">
        <is>
          <t>SEC</t>
        </is>
      </c>
    </row>
    <row r="1421">
      <c r="A1421" s="5">
        <f>HYPERLINK("https://finance.yahoo.com/quote/SRRK","SRRK")</f>
        <v/>
      </c>
      <c r="B1421" t="inlineStr">
        <is>
          <t>Scholar Rock Holding Corp</t>
        </is>
      </c>
      <c r="C1421" t="inlineStr">
        <is>
          <t>Nasdaq</t>
        </is>
      </c>
      <c r="D1421" t="n">
        <v>1727196</v>
      </c>
      <c r="E1421" t="inlineStr">
        <is>
          <t>SEC</t>
        </is>
      </c>
    </row>
    <row r="1422">
      <c r="A1422" s="5">
        <f>HYPERLINK("https://finance.yahoo.com/quote/SR","SR")</f>
        <v/>
      </c>
      <c r="B1422" t="inlineStr">
        <is>
          <t>SPIRE INC</t>
        </is>
      </c>
      <c r="C1422" t="inlineStr">
        <is>
          <t>NYSE</t>
        </is>
      </c>
      <c r="D1422" t="n">
        <v>1126956</v>
      </c>
      <c r="E1422" t="inlineStr">
        <is>
          <t>SEC</t>
        </is>
      </c>
    </row>
    <row r="1423">
      <c r="A1423" s="5">
        <f>HYPERLINK("https://finance.yahoo.com/quote/PTCT","PTCT")</f>
        <v/>
      </c>
      <c r="B1423" t="inlineStr">
        <is>
          <t>PTC THERAPEUTICS, INC.</t>
        </is>
      </c>
      <c r="C1423" t="inlineStr">
        <is>
          <t>Nasdaq</t>
        </is>
      </c>
      <c r="D1423" t="n">
        <v>1070081</v>
      </c>
      <c r="E1423" t="inlineStr">
        <is>
          <t>SEC</t>
        </is>
      </c>
    </row>
    <row r="1424">
      <c r="A1424" s="5">
        <f>HYPERLINK("https://finance.yahoo.com/quote/RRR","RRR")</f>
        <v/>
      </c>
      <c r="B1424" t="inlineStr">
        <is>
          <t>Red Rock Resorts, Inc.</t>
        </is>
      </c>
      <c r="C1424" t="inlineStr">
        <is>
          <t>Nasdaq</t>
        </is>
      </c>
      <c r="D1424" t="n">
        <v>1653653</v>
      </c>
      <c r="E1424" t="inlineStr">
        <is>
          <t>SEC</t>
        </is>
      </c>
    </row>
    <row r="1425">
      <c r="A1425" s="5">
        <f>HYPERLINK("https://finance.yahoo.com/quote/MAIN","MAIN")</f>
        <v/>
      </c>
      <c r="B1425" t="inlineStr">
        <is>
          <t>Main Street Capital CORP</t>
        </is>
      </c>
      <c r="C1425" t="inlineStr">
        <is>
          <t>NYSE</t>
        </is>
      </c>
      <c r="D1425" t="n">
        <v>1396440</v>
      </c>
      <c r="E1425" t="inlineStr">
        <is>
          <t>SEC</t>
        </is>
      </c>
    </row>
    <row r="1426">
      <c r="A1426" s="5">
        <f>HYPERLINK("https://finance.yahoo.com/quote/MBRFY","MBRFY")</f>
        <v/>
      </c>
      <c r="B1426" t="inlineStr">
        <is>
          <t>MARFRIG GLOBAL FOODS S.A.</t>
        </is>
      </c>
      <c r="C1426" t="inlineStr">
        <is>
          <t>OTC</t>
        </is>
      </c>
      <c r="D1426" t="n">
        <v>1496919</v>
      </c>
      <c r="E1426" t="inlineStr">
        <is>
          <t>SEC</t>
        </is>
      </c>
    </row>
    <row r="1427">
      <c r="A1427" s="5">
        <f>HYPERLINK("https://finance.yahoo.com/quote/ERAS","ERAS")</f>
        <v/>
      </c>
      <c r="B1427" t="inlineStr">
        <is>
          <t>Erasca, Inc.</t>
        </is>
      </c>
      <c r="C1427" t="inlineStr">
        <is>
          <t>Nasdaq</t>
        </is>
      </c>
      <c r="D1427" t="n">
        <v>1761918</v>
      </c>
      <c r="E1427" t="inlineStr">
        <is>
          <t>SEC</t>
        </is>
      </c>
    </row>
    <row r="1428">
      <c r="A1428" s="5">
        <f>HYPERLINK("https://finance.yahoo.com/quote/OBDC","OBDC")</f>
        <v/>
      </c>
      <c r="B1428" t="inlineStr">
        <is>
          <t>Blue Owl Capital Corp</t>
        </is>
      </c>
      <c r="C1428" t="inlineStr">
        <is>
          <t>NYSE</t>
        </is>
      </c>
      <c r="D1428" t="n">
        <v>1655888</v>
      </c>
      <c r="E1428" t="inlineStr">
        <is>
          <t>SEC</t>
        </is>
      </c>
    </row>
    <row r="1429">
      <c r="A1429" s="5">
        <f>HYPERLINK("https://finance.yahoo.com/quote/SMFSY","SMFSY")</f>
        <v/>
      </c>
      <c r="B1429" t="inlineStr">
        <is>
          <t>Sumitomo Forestry Co., Ltd./ADR</t>
        </is>
      </c>
      <c r="C1429" t="inlineStr">
        <is>
          <t>OTC</t>
        </is>
      </c>
      <c r="D1429" t="n">
        <v>2048270</v>
      </c>
      <c r="E1429" t="inlineStr">
        <is>
          <t>SEC</t>
        </is>
      </c>
    </row>
    <row r="1430">
      <c r="A1430" s="5">
        <f>HYPERLINK("https://finance.yahoo.com/quote/SON","SON")</f>
        <v/>
      </c>
      <c r="B1430" t="inlineStr">
        <is>
          <t>SONOCO PRODUCTS CO</t>
        </is>
      </c>
      <c r="C1430" t="inlineStr">
        <is>
          <t>NYSE</t>
        </is>
      </c>
      <c r="D1430" t="n">
        <v>91767</v>
      </c>
      <c r="E1430" t="inlineStr">
        <is>
          <t>SEC</t>
        </is>
      </c>
    </row>
    <row r="1431">
      <c r="A1431" s="5">
        <f>HYPERLINK("https://finance.yahoo.com/quote/SBRA","SBRA")</f>
        <v/>
      </c>
      <c r="B1431" t="inlineStr">
        <is>
          <t>Sabra Health Care REIT, Inc.</t>
        </is>
      </c>
      <c r="C1431" t="inlineStr">
        <is>
          <t>Nasdaq</t>
        </is>
      </c>
      <c r="D1431" t="n">
        <v>1492298</v>
      </c>
      <c r="E1431" t="inlineStr">
        <is>
          <t>SEC</t>
        </is>
      </c>
    </row>
    <row r="1432">
      <c r="A1432" s="5">
        <f>HYPERLINK("https://finance.yahoo.com/quote/OKLO","OKLO")</f>
        <v/>
      </c>
      <c r="B1432" t="inlineStr">
        <is>
          <t>Oklo Inc.</t>
        </is>
      </c>
      <c r="C1432" t="inlineStr">
        <is>
          <t>NYSE</t>
        </is>
      </c>
      <c r="D1432" t="n">
        <v>1849056</v>
      </c>
      <c r="E1432" t="inlineStr">
        <is>
          <t>SEC</t>
        </is>
      </c>
    </row>
    <row r="1433">
      <c r="A1433" s="5">
        <f>HYPERLINK("https://finance.yahoo.com/quote/VIRT","VIRT")</f>
        <v/>
      </c>
      <c r="B1433" t="inlineStr">
        <is>
          <t>Virtu Financial, Inc.</t>
        </is>
      </c>
      <c r="C1433" t="inlineStr">
        <is>
          <t>NYSE</t>
        </is>
      </c>
      <c r="D1433" t="n">
        <v>1592386</v>
      </c>
      <c r="E1433" t="inlineStr">
        <is>
          <t>SEC</t>
        </is>
      </c>
    </row>
    <row r="1434">
      <c r="A1434" s="5">
        <f>HYPERLINK("https://finance.yahoo.com/quote/KBR","KBR")</f>
        <v/>
      </c>
      <c r="B1434" t="inlineStr">
        <is>
          <t>KBR, INC.</t>
        </is>
      </c>
      <c r="C1434" t="inlineStr">
        <is>
          <t>NYSE</t>
        </is>
      </c>
      <c r="D1434" t="n">
        <v>1357615</v>
      </c>
      <c r="E1434" t="inlineStr">
        <is>
          <t>SEC</t>
        </is>
      </c>
    </row>
    <row r="1435">
      <c r="A1435" s="5">
        <f>HYPERLINK("https://finance.yahoo.com/quote/CNO","CNO")</f>
        <v/>
      </c>
      <c r="B1435" t="inlineStr">
        <is>
          <t>CNO Financial Group, Inc.</t>
        </is>
      </c>
      <c r="C1435" t="inlineStr">
        <is>
          <t>NYSE</t>
        </is>
      </c>
      <c r="D1435" t="n">
        <v>1224608</v>
      </c>
      <c r="E1435" t="inlineStr">
        <is>
          <t>SEC</t>
        </is>
      </c>
    </row>
    <row r="1436">
      <c r="A1436" s="5">
        <f>HYPERLINK("https://finance.yahoo.com/quote/CHH","CHH")</f>
        <v/>
      </c>
      <c r="B1436" t="inlineStr">
        <is>
          <t>CHOICE HOTELS INTERNATIONAL INC /DE</t>
        </is>
      </c>
      <c r="C1436" t="inlineStr">
        <is>
          <t>NYSE</t>
        </is>
      </c>
      <c r="D1436" t="n">
        <v>1046311</v>
      </c>
      <c r="E1436" t="inlineStr">
        <is>
          <t>SEC</t>
        </is>
      </c>
    </row>
    <row r="1437">
      <c r="A1437" s="5">
        <f>HYPERLINK("https://finance.yahoo.com/quote/HTFL","HTFL")</f>
        <v/>
      </c>
      <c r="B1437" t="inlineStr">
        <is>
          <t>Heartflow, Inc.</t>
        </is>
      </c>
      <c r="C1437" t="inlineStr">
        <is>
          <t>Nasdaq</t>
        </is>
      </c>
      <c r="D1437" t="n">
        <v>1464521</v>
      </c>
      <c r="E1437" t="inlineStr">
        <is>
          <t>SEC</t>
        </is>
      </c>
    </row>
    <row r="1438">
      <c r="A1438" s="5">
        <f>HYPERLINK("https://finance.yahoo.com/quote/KLAR","KLAR")</f>
        <v/>
      </c>
      <c r="B1438" t="inlineStr">
        <is>
          <t>Klarna Group plc</t>
        </is>
      </c>
      <c r="C1438" t="inlineStr">
        <is>
          <t>NYSE</t>
        </is>
      </c>
      <c r="D1438" t="n">
        <v>2003292</v>
      </c>
      <c r="E1438" t="inlineStr">
        <is>
          <t>SEC</t>
        </is>
      </c>
    </row>
    <row r="1439">
      <c r="A1439" s="5">
        <f>HYPERLINK("https://finance.yahoo.com/quote/MEOH","MEOH")</f>
        <v/>
      </c>
      <c r="B1439" t="inlineStr">
        <is>
          <t>METHANEX CORP</t>
        </is>
      </c>
      <c r="C1439" t="inlineStr">
        <is>
          <t>Nasdaq</t>
        </is>
      </c>
      <c r="D1439" t="n">
        <v>886977</v>
      </c>
      <c r="E1439" t="inlineStr">
        <is>
          <t>SEC</t>
        </is>
      </c>
    </row>
    <row r="1440">
      <c r="A1440" s="5">
        <f>HYPERLINK("https://finance.yahoo.com/quote/OGS","OGS")</f>
        <v/>
      </c>
      <c r="B1440" t="inlineStr">
        <is>
          <t>ONE Gas, Inc.</t>
        </is>
      </c>
      <c r="C1440" t="inlineStr">
        <is>
          <t>NYSE</t>
        </is>
      </c>
      <c r="D1440" t="n">
        <v>1587732</v>
      </c>
      <c r="E1440" t="inlineStr">
        <is>
          <t>SEC</t>
        </is>
      </c>
    </row>
    <row r="1441">
      <c r="A1441" s="5">
        <f>HYPERLINK("https://finance.yahoo.com/quote/PL","PL")</f>
        <v/>
      </c>
      <c r="B1441" t="inlineStr">
        <is>
          <t>Planet Labs PBC</t>
        </is>
      </c>
      <c r="C1441" t="inlineStr">
        <is>
          <t>NYSE</t>
        </is>
      </c>
      <c r="D1441" t="n">
        <v>1836833</v>
      </c>
      <c r="E1441" t="inlineStr">
        <is>
          <t>SEC</t>
        </is>
      </c>
    </row>
    <row r="1442">
      <c r="A1442" s="5">
        <f>HYPERLINK("https://finance.yahoo.com/quote/FLIDY","FLIDY")</f>
        <v/>
      </c>
      <c r="B1442" t="inlineStr">
        <is>
          <t>FLSMIDTH &amp; CO. A/S</t>
        </is>
      </c>
      <c r="C1442" t="inlineStr">
        <is>
          <t>OTC</t>
        </is>
      </c>
      <c r="D1442" t="n">
        <v>1433087</v>
      </c>
      <c r="E1442" t="inlineStr">
        <is>
          <t>SEC</t>
        </is>
      </c>
    </row>
    <row r="1443">
      <c r="A1443" s="5">
        <f>HYPERLINK("https://finance.yahoo.com/quote/TENB","TENB")</f>
        <v/>
      </c>
      <c r="B1443" t="inlineStr">
        <is>
          <t>Tenable Holdings, Inc.</t>
        </is>
      </c>
      <c r="C1443" t="inlineStr">
        <is>
          <t>Nasdaq</t>
        </is>
      </c>
      <c r="D1443" t="n">
        <v>1660280</v>
      </c>
      <c r="E1443" t="inlineStr">
        <is>
          <t>SEC</t>
        </is>
      </c>
    </row>
    <row r="1444">
      <c r="A1444" s="5">
        <f>HYPERLINK("https://finance.yahoo.com/quote/LFST","LFST")</f>
        <v/>
      </c>
      <c r="B1444" t="inlineStr">
        <is>
          <t>LifeStance Health Group, Inc.</t>
        </is>
      </c>
      <c r="C1444" t="inlineStr">
        <is>
          <t>Nasdaq</t>
        </is>
      </c>
      <c r="D1444" t="n">
        <v>1845257</v>
      </c>
      <c r="E1444" t="inlineStr">
        <is>
          <t>SEC</t>
        </is>
      </c>
    </row>
    <row r="1445">
      <c r="A1445" s="5">
        <f>HYPERLINK("https://finance.yahoo.com/quote/KRMN","KRMN")</f>
        <v/>
      </c>
      <c r="B1445" t="inlineStr">
        <is>
          <t>Karman Holdings Inc.</t>
        </is>
      </c>
      <c r="C1445" t="inlineStr">
        <is>
          <t>NYSE</t>
        </is>
      </c>
      <c r="D1445" t="n">
        <v>2040127</v>
      </c>
      <c r="E1445" t="inlineStr">
        <is>
          <t>SEC</t>
        </is>
      </c>
    </row>
    <row r="1446">
      <c r="A1446" s="5">
        <f>HYPERLINK("https://finance.yahoo.com/quote/REYN","REYN")</f>
        <v/>
      </c>
      <c r="B1446" t="inlineStr">
        <is>
          <t>Reynolds Consumer Products Inc.</t>
        </is>
      </c>
      <c r="C1446" t="inlineStr">
        <is>
          <t>Nasdaq</t>
        </is>
      </c>
      <c r="D1446" t="n">
        <v>1786431</v>
      </c>
      <c r="E1446" t="inlineStr">
        <is>
          <t>SEC</t>
        </is>
      </c>
    </row>
    <row r="1447">
      <c r="A1447" s="5">
        <f>HYPERLINK("https://finance.yahoo.com/quote/ECG","ECG")</f>
        <v/>
      </c>
      <c r="B1447" t="inlineStr">
        <is>
          <t>Everus Construction Group, Inc.</t>
        </is>
      </c>
      <c r="C1447" t="inlineStr">
        <is>
          <t>NYSE</t>
        </is>
      </c>
      <c r="D1447" t="n">
        <v>2015845</v>
      </c>
      <c r="E1447" t="inlineStr">
        <is>
          <t>SEC</t>
        </is>
      </c>
    </row>
    <row r="1448">
      <c r="A1448" s="5">
        <f>HYPERLINK("https://finance.yahoo.com/quote/DFTX","DFTX")</f>
        <v/>
      </c>
      <c r="B1448" t="inlineStr">
        <is>
          <t>Definium Therapeutics, Inc.</t>
        </is>
      </c>
      <c r="C1448" t="inlineStr">
        <is>
          <t>Nasdaq</t>
        </is>
      </c>
      <c r="D1448" t="n">
        <v>1813814</v>
      </c>
      <c r="E1448" t="inlineStr">
        <is>
          <t>SEC</t>
        </is>
      </c>
    </row>
    <row r="1449">
      <c r="A1449" s="5">
        <f>HYPERLINK("https://finance.yahoo.com/quote/CRC","CRC")</f>
        <v/>
      </c>
      <c r="B1449" t="inlineStr">
        <is>
          <t>California Resources Corp</t>
        </is>
      </c>
      <c r="C1449" t="inlineStr">
        <is>
          <t>NYSE</t>
        </is>
      </c>
      <c r="D1449" t="n">
        <v>1609253</v>
      </c>
      <c r="E1449" t="inlineStr">
        <is>
          <t>SEC</t>
        </is>
      </c>
    </row>
    <row r="1450">
      <c r="A1450" s="5">
        <f>HYPERLINK("https://finance.yahoo.com/quote/CSW","CSW")</f>
        <v/>
      </c>
      <c r="B1450" t="inlineStr">
        <is>
          <t>CSW INDUSTRIALS, INC.</t>
        </is>
      </c>
      <c r="C1450" t="inlineStr">
        <is>
          <t>NYSE</t>
        </is>
      </c>
      <c r="D1450" t="n">
        <v>1624794</v>
      </c>
      <c r="E1450" t="inlineStr">
        <is>
          <t>SEC</t>
        </is>
      </c>
    </row>
    <row r="1451">
      <c r="A1451" s="5">
        <f>HYPERLINK("https://finance.yahoo.com/quote/RIOT","RIOT")</f>
        <v/>
      </c>
      <c r="B1451" t="inlineStr">
        <is>
          <t>Riot Platforms, Inc.</t>
        </is>
      </c>
      <c r="C1451" t="inlineStr">
        <is>
          <t>Nasdaq</t>
        </is>
      </c>
      <c r="D1451" t="n">
        <v>1167419</v>
      </c>
      <c r="E1451" t="inlineStr">
        <is>
          <t>SEC</t>
        </is>
      </c>
    </row>
    <row r="1452">
      <c r="A1452" s="5">
        <f>HYPERLINK("https://finance.yahoo.com/quote/STWD","STWD")</f>
        <v/>
      </c>
      <c r="B1452" t="inlineStr">
        <is>
          <t>STARWOOD PROPERTY TRUST, INC.</t>
        </is>
      </c>
      <c r="C1452" t="inlineStr">
        <is>
          <t>NYSE</t>
        </is>
      </c>
      <c r="D1452" t="n">
        <v>1465128</v>
      </c>
      <c r="E1452" t="inlineStr">
        <is>
          <t>SEC</t>
        </is>
      </c>
    </row>
    <row r="1453">
      <c r="A1453" s="5">
        <f>HYPERLINK("https://finance.yahoo.com/quote/CRSP","CRSP")</f>
        <v/>
      </c>
      <c r="B1453" t="inlineStr">
        <is>
          <t>CRISPR Therapeutics AG</t>
        </is>
      </c>
      <c r="C1453" t="inlineStr">
        <is>
          <t>Nasdaq</t>
        </is>
      </c>
      <c r="D1453" t="n">
        <v>1674416</v>
      </c>
      <c r="E1453" t="inlineStr">
        <is>
          <t>SEC</t>
        </is>
      </c>
    </row>
    <row r="1454">
      <c r="A1454" s="5">
        <f>HYPERLINK("https://finance.yahoo.com/quote/RXO","RXO")</f>
        <v/>
      </c>
      <c r="B1454" t="inlineStr">
        <is>
          <t>RXO, Inc.</t>
        </is>
      </c>
      <c r="C1454" t="inlineStr">
        <is>
          <t>NYSE</t>
        </is>
      </c>
      <c r="D1454" t="n">
        <v>1929561</v>
      </c>
      <c r="E1454" t="inlineStr">
        <is>
          <t>SEC</t>
        </is>
      </c>
    </row>
    <row r="1455">
      <c r="A1455" s="5">
        <f>HYPERLINK("https://finance.yahoo.com/quote/NWE","NWE")</f>
        <v/>
      </c>
      <c r="B1455" t="inlineStr">
        <is>
          <t>NorthWestern Energy Group, Inc.</t>
        </is>
      </c>
      <c r="C1455" t="inlineStr">
        <is>
          <t>Nasdaq</t>
        </is>
      </c>
      <c r="D1455" t="n">
        <v>1993004</v>
      </c>
      <c r="E1455" t="inlineStr">
        <is>
          <t>SEC</t>
        </is>
      </c>
    </row>
    <row r="1456">
      <c r="A1456" s="5">
        <f>HYPERLINK("https://finance.yahoo.com/quote/OMAB","OMAB")</f>
        <v/>
      </c>
      <c r="B1456" t="inlineStr">
        <is>
          <t>Central North Airport Group</t>
        </is>
      </c>
      <c r="C1456" t="inlineStr">
        <is>
          <t>Nasdaq</t>
        </is>
      </c>
      <c r="D1456" t="n">
        <v>1378239</v>
      </c>
      <c r="E1456" t="inlineStr">
        <is>
          <t>SEC</t>
        </is>
      </c>
    </row>
    <row r="1457">
      <c r="A1457" s="5">
        <f>HYPERLINK("https://finance.yahoo.com/quote/GOLF","GOLF")</f>
        <v/>
      </c>
      <c r="B1457" t="inlineStr">
        <is>
          <t>Acushnet Holdings Corp.</t>
        </is>
      </c>
      <c r="C1457" t="inlineStr">
        <is>
          <t>NYSE</t>
        </is>
      </c>
      <c r="D1457" t="n">
        <v>1672013</v>
      </c>
      <c r="E1457" t="inlineStr">
        <is>
          <t>SEC</t>
        </is>
      </c>
    </row>
    <row r="1458">
      <c r="A1458" s="5">
        <f>HYPERLINK("https://finance.yahoo.com/quote/BUHPY","BUHPY")</f>
        <v/>
      </c>
      <c r="B1458" t="inlineStr">
        <is>
          <t>Bumrungrad Hospital Public Co Limited/ADR</t>
        </is>
      </c>
      <c r="C1458" t="inlineStr">
        <is>
          <t>OTC</t>
        </is>
      </c>
      <c r="D1458" t="n">
        <v>1547870</v>
      </c>
      <c r="E1458" t="inlineStr">
        <is>
          <t>SEC</t>
        </is>
      </c>
    </row>
    <row r="1459">
      <c r="A1459" s="5">
        <f>HYPERLINK("https://finance.yahoo.com/quote/JOBY","JOBY")</f>
        <v/>
      </c>
      <c r="B1459" t="inlineStr">
        <is>
          <t>Joby Aviation, Inc.</t>
        </is>
      </c>
      <c r="C1459" t="inlineStr">
        <is>
          <t>NYSE</t>
        </is>
      </c>
      <c r="D1459" t="n">
        <v>1819848</v>
      </c>
      <c r="E1459" t="inlineStr">
        <is>
          <t>SEC</t>
        </is>
      </c>
    </row>
    <row r="1460">
      <c r="A1460" s="5">
        <f>HYPERLINK("https://finance.yahoo.com/quote/LUMN","LUMN")</f>
        <v/>
      </c>
      <c r="B1460" t="inlineStr">
        <is>
          <t>Lumen Technologies, Inc.</t>
        </is>
      </c>
      <c r="C1460" t="inlineStr">
        <is>
          <t>Nasdaq</t>
        </is>
      </c>
      <c r="D1460" t="n">
        <v>18926</v>
      </c>
      <c r="E1460" t="inlineStr">
        <is>
          <t>SEC</t>
        </is>
      </c>
    </row>
    <row r="1461">
      <c r="A1461" s="5">
        <f>HYPERLINK("https://finance.yahoo.com/quote/MAT","MAT")</f>
        <v/>
      </c>
      <c r="B1461" t="inlineStr">
        <is>
          <t>MATTEL INC /DE/</t>
        </is>
      </c>
      <c r="C1461" t="inlineStr">
        <is>
          <t>Nasdaq</t>
        </is>
      </c>
      <c r="D1461" t="n">
        <v>63276</v>
      </c>
      <c r="E1461" t="inlineStr">
        <is>
          <t>SEC</t>
        </is>
      </c>
    </row>
    <row r="1462">
      <c r="A1462" s="5">
        <f>HYPERLINK("https://finance.yahoo.com/quote/RHI","RHI")</f>
        <v/>
      </c>
      <c r="B1462" t="inlineStr">
        <is>
          <t>ROBERT HALF INC.</t>
        </is>
      </c>
      <c r="C1462" t="inlineStr">
        <is>
          <t>NYSE</t>
        </is>
      </c>
      <c r="D1462" t="n">
        <v>315213</v>
      </c>
      <c r="E1462" t="inlineStr">
        <is>
          <t>SEC</t>
        </is>
      </c>
    </row>
    <row r="1463">
      <c r="A1463" s="5">
        <f>HYPERLINK("https://finance.yahoo.com/quote/CUZ","CUZ")</f>
        <v/>
      </c>
      <c r="B1463" t="inlineStr">
        <is>
          <t>COUSINS PROPERTIES INC</t>
        </is>
      </c>
      <c r="C1463" t="inlineStr">
        <is>
          <t>NYSE</t>
        </is>
      </c>
      <c r="D1463" t="n">
        <v>25232</v>
      </c>
      <c r="E1463" t="inlineStr">
        <is>
          <t>SEC</t>
        </is>
      </c>
    </row>
    <row r="1464">
      <c r="A1464" s="5">
        <f>HYPERLINK("https://finance.yahoo.com/quote/RDN","RDN")</f>
        <v/>
      </c>
      <c r="B1464" t="inlineStr">
        <is>
          <t>RADIAN GROUP INC</t>
        </is>
      </c>
      <c r="C1464" t="inlineStr">
        <is>
          <t>NYSE</t>
        </is>
      </c>
      <c r="D1464" t="n">
        <v>890926</v>
      </c>
      <c r="E1464" t="inlineStr">
        <is>
          <t>SEC</t>
        </is>
      </c>
    </row>
    <row r="1465">
      <c r="A1465" s="5">
        <f>HYPERLINK("https://finance.yahoo.com/quote/ROAD","ROAD")</f>
        <v/>
      </c>
      <c r="B1465" t="inlineStr">
        <is>
          <t>Construction Partners, Inc.</t>
        </is>
      </c>
      <c r="C1465" t="inlineStr">
        <is>
          <t>Nasdaq</t>
        </is>
      </c>
      <c r="D1465" t="n">
        <v>1718227</v>
      </c>
      <c r="E1465" t="inlineStr">
        <is>
          <t>SEC</t>
        </is>
      </c>
    </row>
    <row r="1466">
      <c r="A1466" s="5">
        <f>HYPERLINK("https://finance.yahoo.com/quote/GVA","GVA")</f>
        <v/>
      </c>
      <c r="B1466" t="inlineStr">
        <is>
          <t>GRANITE CONSTRUCTION INC</t>
        </is>
      </c>
      <c r="C1466" t="inlineStr">
        <is>
          <t>NYSE</t>
        </is>
      </c>
      <c r="D1466" t="n">
        <v>861459</v>
      </c>
      <c r="E1466" t="inlineStr">
        <is>
          <t>SEC</t>
        </is>
      </c>
    </row>
    <row r="1467">
      <c r="A1467" s="5">
        <f>HYPERLINK("https://finance.yahoo.com/quote/ERELY","ERELY")</f>
        <v/>
      </c>
      <c r="B1467" t="inlineStr">
        <is>
          <t>Eregli Demir ve Celik Fabrikalari TAS/ADR</t>
        </is>
      </c>
      <c r="C1467" t="inlineStr">
        <is>
          <t>OTC</t>
        </is>
      </c>
      <c r="D1467" t="n">
        <v>1454144</v>
      </c>
      <c r="E1467" t="inlineStr">
        <is>
          <t>SEC</t>
        </is>
      </c>
    </row>
    <row r="1468">
      <c r="A1468" s="5">
        <f>HYPERLINK("https://finance.yahoo.com/quote/IRDM","IRDM")</f>
        <v/>
      </c>
      <c r="B1468" t="inlineStr">
        <is>
          <t>Iridium Communications Inc.</t>
        </is>
      </c>
      <c r="C1468" t="inlineStr">
        <is>
          <t>Nasdaq</t>
        </is>
      </c>
      <c r="D1468" t="n">
        <v>1418819</v>
      </c>
      <c r="E1468" t="inlineStr">
        <is>
          <t>SEC</t>
        </is>
      </c>
    </row>
    <row r="1469">
      <c r="A1469" s="5">
        <f>HYPERLINK("https://finance.yahoo.com/quote/TVTX","TVTX")</f>
        <v/>
      </c>
      <c r="B1469" t="inlineStr">
        <is>
          <t>Travere Therapeutics, Inc.</t>
        </is>
      </c>
      <c r="C1469" t="inlineStr">
        <is>
          <t>Nasdaq</t>
        </is>
      </c>
      <c r="D1469" t="n">
        <v>1438533</v>
      </c>
      <c r="E1469" t="inlineStr">
        <is>
          <t>SEC</t>
        </is>
      </c>
    </row>
    <row r="1470">
      <c r="A1470" s="5">
        <f>HYPERLINK("https://finance.yahoo.com/quote/CIGI","CIGI")</f>
        <v/>
      </c>
      <c r="B1470" t="inlineStr">
        <is>
          <t>Colliers International Group Inc.</t>
        </is>
      </c>
      <c r="C1470" t="inlineStr">
        <is>
          <t>Nasdaq</t>
        </is>
      </c>
      <c r="D1470" t="n">
        <v>913353</v>
      </c>
      <c r="E1470" t="inlineStr">
        <is>
          <t>SEC</t>
        </is>
      </c>
    </row>
    <row r="1471">
      <c r="A1471" s="5">
        <f>HYPERLINK("https://finance.yahoo.com/quote/OPCH","OPCH")</f>
        <v/>
      </c>
      <c r="B1471" t="inlineStr">
        <is>
          <t>Option Care Health, Inc.</t>
        </is>
      </c>
      <c r="C1471" t="inlineStr">
        <is>
          <t>Nasdaq</t>
        </is>
      </c>
      <c r="D1471" t="n">
        <v>1014739</v>
      </c>
      <c r="E1471" t="inlineStr">
        <is>
          <t>SEC</t>
        </is>
      </c>
    </row>
    <row r="1472">
      <c r="A1472" s="5">
        <f>HYPERLINK("https://finance.yahoo.com/quote/FNMA","FNMA")</f>
        <v/>
      </c>
      <c r="B1472" t="inlineStr">
        <is>
          <t>FEDERAL NATIONAL MORTGAGE ASSOCIATION FANNIE MAE</t>
        </is>
      </c>
      <c r="C1472" t="inlineStr">
        <is>
          <t>OTC</t>
        </is>
      </c>
      <c r="D1472" t="n">
        <v>310522</v>
      </c>
      <c r="E1472" t="inlineStr">
        <is>
          <t>SEC</t>
        </is>
      </c>
    </row>
    <row r="1473">
      <c r="A1473" s="5">
        <f>HYPERLINK("https://finance.yahoo.com/quote/YOU","YOU")</f>
        <v/>
      </c>
      <c r="B1473" t="inlineStr">
        <is>
          <t>Clear Secure, Inc.</t>
        </is>
      </c>
      <c r="C1473" t="inlineStr">
        <is>
          <t>NYSE</t>
        </is>
      </c>
      <c r="D1473" t="n">
        <v>1856314</v>
      </c>
      <c r="E1473" t="inlineStr">
        <is>
          <t>SEC</t>
        </is>
      </c>
    </row>
    <row r="1474">
      <c r="A1474" s="5">
        <f>HYPERLINK("https://finance.yahoo.com/quote/GEF","GEF")</f>
        <v/>
      </c>
      <c r="B1474" t="inlineStr">
        <is>
          <t>GREIF, INC</t>
        </is>
      </c>
      <c r="C1474" t="inlineStr">
        <is>
          <t>NYSE</t>
        </is>
      </c>
      <c r="D1474" t="n">
        <v>43920</v>
      </c>
      <c r="E1474" t="inlineStr">
        <is>
          <t>SEC</t>
        </is>
      </c>
    </row>
    <row r="1475">
      <c r="A1475" s="5">
        <f>HYPERLINK("https://finance.yahoo.com/quote/TFSL","TFSL")</f>
        <v/>
      </c>
      <c r="B1475" t="inlineStr">
        <is>
          <t>TFS Financial CORP</t>
        </is>
      </c>
      <c r="C1475" t="inlineStr">
        <is>
          <t>Nasdaq</t>
        </is>
      </c>
      <c r="D1475" t="n">
        <v>1381668</v>
      </c>
      <c r="E1475" t="inlineStr">
        <is>
          <t>SEC</t>
        </is>
      </c>
    </row>
    <row r="1476">
      <c r="A1476" s="5">
        <f>HYPERLINK("https://finance.yahoo.com/quote/SYNA","SYNA")</f>
        <v/>
      </c>
      <c r="B1476" t="inlineStr">
        <is>
          <t>SYNAPTICS Inc</t>
        </is>
      </c>
      <c r="C1476" t="inlineStr">
        <is>
          <t>Nasdaq</t>
        </is>
      </c>
      <c r="D1476" t="n">
        <v>817720</v>
      </c>
      <c r="E1476" t="inlineStr">
        <is>
          <t>SEC</t>
        </is>
      </c>
    </row>
    <row r="1477">
      <c r="A1477" s="5">
        <f>HYPERLINK("https://finance.yahoo.com/quote/HASI","HASI")</f>
        <v/>
      </c>
      <c r="B1477" t="inlineStr">
        <is>
          <t>HA Sustainable Infrastructure Capital, Inc.</t>
        </is>
      </c>
      <c r="C1477" t="inlineStr">
        <is>
          <t>NYSE</t>
        </is>
      </c>
      <c r="D1477" t="n">
        <v>1561894</v>
      </c>
      <c r="E1477" t="inlineStr">
        <is>
          <t>SEC</t>
        </is>
      </c>
    </row>
    <row r="1478">
      <c r="A1478" s="5">
        <f>HYPERLINK("https://finance.yahoo.com/quote/GLNG","GLNG")</f>
        <v/>
      </c>
      <c r="B1478" t="inlineStr">
        <is>
          <t>GOLAR LNG LTD</t>
        </is>
      </c>
      <c r="C1478" t="inlineStr">
        <is>
          <t>Nasdaq</t>
        </is>
      </c>
      <c r="D1478" t="n">
        <v>1207179</v>
      </c>
      <c r="E1478" t="inlineStr">
        <is>
          <t>SEC</t>
        </is>
      </c>
    </row>
    <row r="1479">
      <c r="A1479" s="5">
        <f>HYPERLINK("https://finance.yahoo.com/quote/VNT","VNT")</f>
        <v/>
      </c>
      <c r="B1479" t="inlineStr">
        <is>
          <t>Vontier Corp</t>
        </is>
      </c>
      <c r="C1479" t="inlineStr">
        <is>
          <t>NYSE</t>
        </is>
      </c>
      <c r="D1479" t="n">
        <v>1786842</v>
      </c>
      <c r="E1479" t="inlineStr">
        <is>
          <t>SEC</t>
        </is>
      </c>
    </row>
    <row r="1480">
      <c r="A1480" s="5">
        <f>HYPERLINK("https://finance.yahoo.com/quote/AGX","AGX")</f>
        <v/>
      </c>
      <c r="B1480" t="inlineStr">
        <is>
          <t>ARGAN INC</t>
        </is>
      </c>
      <c r="C1480" t="inlineStr">
        <is>
          <t>NYSE</t>
        </is>
      </c>
      <c r="D1480" t="n">
        <v>100591</v>
      </c>
      <c r="E1480" t="inlineStr">
        <is>
          <t>SEC</t>
        </is>
      </c>
    </row>
    <row r="1481">
      <c r="A1481" s="5">
        <f>HYPERLINK("https://finance.yahoo.com/quote/BCO","BCO")</f>
        <v/>
      </c>
      <c r="B1481" t="inlineStr">
        <is>
          <t>BRINKS CO</t>
        </is>
      </c>
      <c r="C1481" t="inlineStr">
        <is>
          <t>NYSE</t>
        </is>
      </c>
      <c r="D1481" t="n">
        <v>78890</v>
      </c>
      <c r="E1481" t="inlineStr">
        <is>
          <t>SEC</t>
        </is>
      </c>
    </row>
    <row r="1482">
      <c r="A1482" s="5">
        <f>HYPERLINK("https://finance.yahoo.com/quote/CNK","CNK")</f>
        <v/>
      </c>
      <c r="B1482" t="inlineStr">
        <is>
          <t>Cinemark Holdings, Inc.</t>
        </is>
      </c>
      <c r="C1482" t="inlineStr">
        <is>
          <t>NYSE</t>
        </is>
      </c>
      <c r="D1482" t="n">
        <v>1385280</v>
      </c>
      <c r="E1482" t="inlineStr">
        <is>
          <t>SEC</t>
        </is>
      </c>
    </row>
    <row r="1483">
      <c r="A1483" s="5">
        <f>HYPERLINK("https://finance.yahoo.com/quote/WK","WK")</f>
        <v/>
      </c>
      <c r="B1483" t="inlineStr">
        <is>
          <t>WORKIVA INC</t>
        </is>
      </c>
      <c r="C1483" t="inlineStr">
        <is>
          <t>NYSE</t>
        </is>
      </c>
      <c r="D1483" t="n">
        <v>1445305</v>
      </c>
      <c r="E1483" t="inlineStr">
        <is>
          <t>SEC</t>
        </is>
      </c>
    </row>
    <row r="1484">
      <c r="A1484" s="5">
        <f>HYPERLINK("https://finance.yahoo.com/quote/MTRN","MTRN")</f>
        <v/>
      </c>
      <c r="B1484" t="inlineStr">
        <is>
          <t>MATERION Corp</t>
        </is>
      </c>
      <c r="C1484" t="inlineStr">
        <is>
          <t>NYSE</t>
        </is>
      </c>
      <c r="D1484" t="n">
        <v>1104657</v>
      </c>
      <c r="E1484" t="inlineStr">
        <is>
          <t>SEC</t>
        </is>
      </c>
    </row>
    <row r="1485">
      <c r="A1485" s="5">
        <f>HYPERLINK("https://finance.yahoo.com/quote/DAVE","DAVE")</f>
        <v/>
      </c>
      <c r="B1485" t="inlineStr">
        <is>
          <t>Dave Inc./DE</t>
        </is>
      </c>
      <c r="C1485" t="inlineStr">
        <is>
          <t>Nasdaq</t>
        </is>
      </c>
      <c r="D1485" t="n">
        <v>1841408</v>
      </c>
      <c r="E1485" t="inlineStr">
        <is>
          <t>SEC</t>
        </is>
      </c>
    </row>
    <row r="1486">
      <c r="A1486" s="5">
        <f>HYPERLINK("https://finance.yahoo.com/quote/OPLN","OPLN")</f>
        <v/>
      </c>
      <c r="B1486" t="inlineStr">
        <is>
          <t>OPENLANE, Inc.</t>
        </is>
      </c>
      <c r="C1486" t="inlineStr">
        <is>
          <t>NYSE</t>
        </is>
      </c>
      <c r="D1486" t="n">
        <v>1395942</v>
      </c>
      <c r="E1486" t="inlineStr">
        <is>
          <t>SEC</t>
        </is>
      </c>
    </row>
    <row r="1487">
      <c r="A1487" s="5">
        <f>HYPERLINK("https://finance.yahoo.com/quote/BETA","BETA")</f>
        <v/>
      </c>
      <c r="B1487" t="inlineStr">
        <is>
          <t>BETA Technologies, Inc.</t>
        </is>
      </c>
      <c r="C1487" t="inlineStr">
        <is>
          <t>NYSE</t>
        </is>
      </c>
      <c r="D1487" t="n">
        <v>1784570</v>
      </c>
      <c r="E1487" t="inlineStr">
        <is>
          <t>SEC</t>
        </is>
      </c>
    </row>
    <row r="1488">
      <c r="A1488" s="5">
        <f>HYPERLINK("https://finance.yahoo.com/quote/MRCY","MRCY")</f>
        <v/>
      </c>
      <c r="B1488" t="inlineStr">
        <is>
          <t>MERCURY SYSTEMS INC</t>
        </is>
      </c>
      <c r="C1488" t="inlineStr">
        <is>
          <t>Nasdaq</t>
        </is>
      </c>
      <c r="D1488" t="n">
        <v>1049521</v>
      </c>
      <c r="E1488" t="inlineStr">
        <is>
          <t>SEC</t>
        </is>
      </c>
    </row>
    <row r="1489">
      <c r="A1489" s="5">
        <f>HYPERLINK("https://finance.yahoo.com/quote/BIPC","BIPC")</f>
        <v/>
      </c>
      <c r="B1489" t="inlineStr">
        <is>
          <t>Brookfield Infrastructure Corp</t>
        </is>
      </c>
      <c r="C1489" t="inlineStr">
        <is>
          <t>NYSE</t>
        </is>
      </c>
      <c r="D1489" t="n">
        <v>1788348</v>
      </c>
      <c r="E1489" t="inlineStr">
        <is>
          <t>SEC</t>
        </is>
      </c>
    </row>
    <row r="1490">
      <c r="A1490" s="5">
        <f>HYPERLINK("https://finance.yahoo.com/quote/PIPR","PIPR")</f>
        <v/>
      </c>
      <c r="B1490" t="inlineStr">
        <is>
          <t>PIPER SANDLER COMPANIES</t>
        </is>
      </c>
      <c r="C1490" t="inlineStr">
        <is>
          <t>NYSE</t>
        </is>
      </c>
      <c r="D1490" t="n">
        <v>1230245</v>
      </c>
      <c r="E1490" t="inlineStr">
        <is>
          <t>SEC</t>
        </is>
      </c>
    </row>
    <row r="1491">
      <c r="A1491" s="5">
        <f>HYPERLINK("https://finance.yahoo.com/quote/PRM","PRM")</f>
        <v/>
      </c>
      <c r="B1491" t="inlineStr">
        <is>
          <t>Perimeter Solutions, Inc.</t>
        </is>
      </c>
      <c r="C1491" t="inlineStr">
        <is>
          <t>NYSE</t>
        </is>
      </c>
      <c r="D1491" t="n">
        <v>1880319</v>
      </c>
      <c r="E1491" t="inlineStr">
        <is>
          <t>SEC</t>
        </is>
      </c>
    </row>
    <row r="1492">
      <c r="A1492" s="5">
        <f>HYPERLINK("https://finance.yahoo.com/quote/NWSGY","NWSGY")</f>
        <v/>
      </c>
      <c r="B1492" t="inlineStr">
        <is>
          <t>CTF Services Ltd</t>
        </is>
      </c>
      <c r="C1492" t="inlineStr">
        <is>
          <t>OTC</t>
        </is>
      </c>
      <c r="D1492" t="n">
        <v>1449664</v>
      </c>
      <c r="E1492" t="inlineStr">
        <is>
          <t>SEC</t>
        </is>
      </c>
    </row>
    <row r="1493">
      <c r="A1493" s="5">
        <f>HYPERLINK("https://finance.yahoo.com/quote/CNR","CNR")</f>
        <v/>
      </c>
      <c r="B1493" t="inlineStr">
        <is>
          <t>Core Natural Resources, Inc.</t>
        </is>
      </c>
      <c r="C1493" t="inlineStr">
        <is>
          <t>NYSE</t>
        </is>
      </c>
      <c r="D1493" t="n">
        <v>1710366</v>
      </c>
      <c r="E1493" t="inlineStr">
        <is>
          <t>SEC</t>
        </is>
      </c>
    </row>
    <row r="1494">
      <c r="A1494" s="5">
        <f>HYPERLINK("https://finance.yahoo.com/quote/PTEN","PTEN")</f>
        <v/>
      </c>
      <c r="B1494" t="inlineStr">
        <is>
          <t>PATTERSON UTI ENERGY INC</t>
        </is>
      </c>
      <c r="C1494" t="inlineStr">
        <is>
          <t>Nasdaq</t>
        </is>
      </c>
      <c r="D1494" t="n">
        <v>889900</v>
      </c>
      <c r="E1494" t="inlineStr">
        <is>
          <t>SEC</t>
        </is>
      </c>
    </row>
    <row r="1495">
      <c r="A1495" s="5">
        <f>HYPERLINK("https://finance.yahoo.com/quote/SEZL","SEZL")</f>
        <v/>
      </c>
      <c r="B1495" t="inlineStr">
        <is>
          <t>Sezzle Inc.</t>
        </is>
      </c>
      <c r="C1495" t="inlineStr">
        <is>
          <t>Nasdaq</t>
        </is>
      </c>
      <c r="D1495" t="n">
        <v>1662991</v>
      </c>
      <c r="E1495" t="inlineStr">
        <is>
          <t>SEC</t>
        </is>
      </c>
    </row>
    <row r="1496">
      <c r="A1496" s="5">
        <f>HYPERLINK("https://finance.yahoo.com/quote/HCC","HCC")</f>
        <v/>
      </c>
      <c r="B1496" t="inlineStr">
        <is>
          <t>WARRIOR MET COAL, INC.</t>
        </is>
      </c>
      <c r="C1496" t="inlineStr">
        <is>
          <t>NYSE</t>
        </is>
      </c>
      <c r="D1496" t="n">
        <v>1691303</v>
      </c>
      <c r="E1496" t="inlineStr">
        <is>
          <t>SEC</t>
        </is>
      </c>
    </row>
    <row r="1497">
      <c r="A1497" s="5">
        <f>HYPERLINK("https://finance.yahoo.com/quote/KGS","KGS")</f>
        <v/>
      </c>
      <c r="B1497" t="inlineStr">
        <is>
          <t>Kodiak Gas Services, Inc.</t>
        </is>
      </c>
      <c r="C1497" t="inlineStr">
        <is>
          <t>NYSE</t>
        </is>
      </c>
      <c r="D1497" t="n">
        <v>1767042</v>
      </c>
      <c r="E1497" t="inlineStr">
        <is>
          <t>SEC</t>
        </is>
      </c>
    </row>
    <row r="1498">
      <c r="A1498" s="5">
        <f>HYPERLINK("https://finance.yahoo.com/quote/DK","DK")</f>
        <v/>
      </c>
      <c r="B1498" t="inlineStr">
        <is>
          <t>Delek US Holdings, Inc.</t>
        </is>
      </c>
      <c r="C1498" t="inlineStr">
        <is>
          <t>NYSE</t>
        </is>
      </c>
      <c r="D1498" t="n">
        <v>1694426</v>
      </c>
      <c r="E1498" t="inlineStr">
        <is>
          <t>SEC</t>
        </is>
      </c>
    </row>
    <row r="1499">
      <c r="A1499" s="5">
        <f>HYPERLINK("https://finance.yahoo.com/quote/FULT","FULT")</f>
        <v/>
      </c>
      <c r="B1499" t="inlineStr">
        <is>
          <t>FULTON FINANCIAL CORP</t>
        </is>
      </c>
      <c r="C1499" t="inlineStr">
        <is>
          <t>Nasdaq</t>
        </is>
      </c>
      <c r="D1499" t="n">
        <v>700564</v>
      </c>
      <c r="E1499" t="inlineStr">
        <is>
          <t>SEC</t>
        </is>
      </c>
    </row>
    <row r="1500">
      <c r="A1500" s="5">
        <f>HYPERLINK("https://finance.yahoo.com/quote/CCC","CCC")</f>
        <v/>
      </c>
      <c r="B1500" t="inlineStr">
        <is>
          <t>CCC Intelligent Solutions Holdings Inc.</t>
        </is>
      </c>
      <c r="C1500" t="inlineStr">
        <is>
          <t>Nasdaq</t>
        </is>
      </c>
      <c r="D1500" t="n">
        <v>1818201</v>
      </c>
      <c r="E1500" t="inlineStr">
        <is>
          <t>SEC</t>
        </is>
      </c>
    </row>
    <row r="1501">
      <c r="A1501" s="5">
        <f>HYPERLINK("https://finance.yahoo.com/quote/SITE","SITE")</f>
        <v/>
      </c>
      <c r="B1501" t="inlineStr">
        <is>
          <t>SiteOne Landscape Supply, Inc.</t>
        </is>
      </c>
      <c r="C1501" t="inlineStr">
        <is>
          <t>NYSE</t>
        </is>
      </c>
      <c r="D1501" t="n">
        <v>1650729</v>
      </c>
      <c r="E1501" t="inlineStr">
        <is>
          <t>SEC</t>
        </is>
      </c>
    </row>
    <row r="1502">
      <c r="A1502" s="5">
        <f>HYPERLINK("https://finance.yahoo.com/quote/SFBS","SFBS")</f>
        <v/>
      </c>
      <c r="B1502" t="inlineStr">
        <is>
          <t>ServisFirst Bancshares, Inc.</t>
        </is>
      </c>
      <c r="C1502" t="inlineStr">
        <is>
          <t>NYSE</t>
        </is>
      </c>
      <c r="D1502" t="n">
        <v>1430723</v>
      </c>
      <c r="E1502" t="inlineStr">
        <is>
          <t>SEC</t>
        </is>
      </c>
    </row>
    <row r="1503">
      <c r="A1503" s="5">
        <f>HYPERLINK("https://finance.yahoo.com/quote/BWIN","BWIN")</f>
        <v/>
      </c>
      <c r="B1503" t="inlineStr">
        <is>
          <t>Baldwin Insurance Group, Inc.</t>
        </is>
      </c>
      <c r="C1503" t="inlineStr">
        <is>
          <t>Nasdaq</t>
        </is>
      </c>
      <c r="D1503" t="n">
        <v>1781755</v>
      </c>
      <c r="E1503" t="inlineStr">
        <is>
          <t>SEC</t>
        </is>
      </c>
    </row>
    <row r="1504">
      <c r="A1504" s="5">
        <f>HYPERLINK("https://finance.yahoo.com/quote/MNDY","MNDY")</f>
        <v/>
      </c>
      <c r="B1504" t="inlineStr">
        <is>
          <t>monday.com Ltd.</t>
        </is>
      </c>
      <c r="C1504" t="inlineStr">
        <is>
          <t>Nasdaq</t>
        </is>
      </c>
      <c r="D1504" t="n">
        <v>1845338</v>
      </c>
      <c r="E1504" t="inlineStr">
        <is>
          <t>SEC</t>
        </is>
      </c>
    </row>
    <row r="1505">
      <c r="A1505" s="5">
        <f>HYPERLINK("https://finance.yahoo.com/quote/UFPI","UFPI")</f>
        <v/>
      </c>
      <c r="B1505" t="inlineStr">
        <is>
          <t>UFP INDUSTRIES INC</t>
        </is>
      </c>
      <c r="C1505" t="inlineStr">
        <is>
          <t>Nasdaq</t>
        </is>
      </c>
      <c r="D1505" t="n">
        <v>912767</v>
      </c>
      <c r="E1505" t="inlineStr">
        <is>
          <t>SEC</t>
        </is>
      </c>
    </row>
    <row r="1506">
      <c r="A1506" s="5">
        <f>HYPERLINK("https://finance.yahoo.com/quote/MDA","MDA")</f>
        <v/>
      </c>
      <c r="B1506" t="inlineStr">
        <is>
          <t>MDA Space Ltd.</t>
        </is>
      </c>
      <c r="C1506" t="inlineStr">
        <is>
          <t>NYSE</t>
        </is>
      </c>
      <c r="D1506" t="n">
        <v>1857047</v>
      </c>
      <c r="E1506" t="inlineStr">
        <is>
          <t>SEC</t>
        </is>
      </c>
    </row>
    <row r="1507">
      <c r="A1507" s="5">
        <f>HYPERLINK("https://finance.yahoo.com/quote/SIG","SIG")</f>
        <v/>
      </c>
      <c r="B1507" t="inlineStr">
        <is>
          <t>SIGNET JEWELERS LTD</t>
        </is>
      </c>
      <c r="C1507" t="inlineStr">
        <is>
          <t>NYSE</t>
        </is>
      </c>
      <c r="D1507" t="n">
        <v>832988</v>
      </c>
      <c r="E1507" t="inlineStr">
        <is>
          <t>SEC</t>
        </is>
      </c>
    </row>
    <row r="1508">
      <c r="A1508" s="5">
        <f>HYPERLINK("https://finance.yahoo.com/quote/LKQ","LKQ")</f>
        <v/>
      </c>
      <c r="B1508" t="inlineStr">
        <is>
          <t>LKQ CORP</t>
        </is>
      </c>
      <c r="C1508" t="inlineStr">
        <is>
          <t>Nasdaq</t>
        </is>
      </c>
      <c r="D1508" t="n">
        <v>1065696</v>
      </c>
      <c r="E1508" t="inlineStr">
        <is>
          <t>SEC</t>
        </is>
      </c>
    </row>
    <row r="1509">
      <c r="A1509" s="5">
        <f>HYPERLINK("https://finance.yahoo.com/quote/GFF","GFF")</f>
        <v/>
      </c>
      <c r="B1509" t="inlineStr">
        <is>
          <t>GRIFFON CORP</t>
        </is>
      </c>
      <c r="C1509" t="inlineStr">
        <is>
          <t>NYSE</t>
        </is>
      </c>
      <c r="D1509" t="n">
        <v>50725</v>
      </c>
      <c r="E1509" t="inlineStr">
        <is>
          <t>SEC</t>
        </is>
      </c>
    </row>
    <row r="1510">
      <c r="A1510" s="5">
        <f>HYPERLINK("https://finance.yahoo.com/quote/GDS","GDS")</f>
        <v/>
      </c>
      <c r="B1510" t="inlineStr">
        <is>
          <t>GDS Holdings Ltd</t>
        </is>
      </c>
      <c r="C1510" t="inlineStr">
        <is>
          <t>Nasdaq</t>
        </is>
      </c>
      <c r="D1510" t="n">
        <v>1526125</v>
      </c>
      <c r="E1510" t="inlineStr">
        <is>
          <t>SEC</t>
        </is>
      </c>
    </row>
    <row r="1511">
      <c r="A1511" s="5">
        <f>HYPERLINK("https://finance.yahoo.com/quote/CVSA","CVSA")</f>
        <v/>
      </c>
      <c r="B1511" t="inlineStr">
        <is>
          <t>Covista Inc.</t>
        </is>
      </c>
      <c r="C1511" t="inlineStr">
        <is>
          <t>NYSE</t>
        </is>
      </c>
      <c r="D1511" t="n">
        <v>730464</v>
      </c>
      <c r="E1511" t="inlineStr">
        <is>
          <t>SEC</t>
        </is>
      </c>
    </row>
    <row r="1512">
      <c r="A1512" s="5">
        <f>HYPERLINK("https://finance.yahoo.com/quote/LIVN","LIVN")</f>
        <v/>
      </c>
      <c r="B1512" t="inlineStr">
        <is>
          <t>LivaNova PLC</t>
        </is>
      </c>
      <c r="C1512" t="inlineStr">
        <is>
          <t>Nasdaq</t>
        </is>
      </c>
      <c r="D1512" t="n">
        <v>1639691</v>
      </c>
      <c r="E1512" t="inlineStr">
        <is>
          <t>SEC</t>
        </is>
      </c>
    </row>
    <row r="1513">
      <c r="A1513" s="5">
        <f>HYPERLINK("https://finance.yahoo.com/quote/QBTS","QBTS")</f>
        <v/>
      </c>
      <c r="B1513" t="inlineStr">
        <is>
          <t>D-Wave Quantum Inc.</t>
        </is>
      </c>
      <c r="C1513" t="inlineStr">
        <is>
          <t>Nasdaq</t>
        </is>
      </c>
      <c r="D1513" t="n">
        <v>1907982</v>
      </c>
      <c r="E1513" t="inlineStr">
        <is>
          <t>SEC</t>
        </is>
      </c>
    </row>
    <row r="1514">
      <c r="A1514" s="5">
        <f>HYPERLINK("https://finance.yahoo.com/quote/UCB","UCB")</f>
        <v/>
      </c>
      <c r="B1514" t="inlineStr">
        <is>
          <t>UNITED COMMUNITY BANKS INC</t>
        </is>
      </c>
      <c r="C1514" t="inlineStr">
        <is>
          <t>NYSE</t>
        </is>
      </c>
      <c r="D1514" t="n">
        <v>857855</v>
      </c>
      <c r="E1514" t="inlineStr">
        <is>
          <t>SEC</t>
        </is>
      </c>
    </row>
    <row r="1515">
      <c r="A1515" s="5">
        <f>HYPERLINK("https://finance.yahoo.com/quote/KFY","KFY")</f>
        <v/>
      </c>
      <c r="B1515" t="inlineStr">
        <is>
          <t>KORN FERRY</t>
        </is>
      </c>
      <c r="C1515" t="inlineStr">
        <is>
          <t>NYSE</t>
        </is>
      </c>
      <c r="D1515" t="n">
        <v>56679</v>
      </c>
      <c r="E1515" t="inlineStr">
        <is>
          <t>SEC</t>
        </is>
      </c>
    </row>
    <row r="1516">
      <c r="A1516" s="5">
        <f>HYPERLINK("https://finance.yahoo.com/quote/TCBI","TCBI")</f>
        <v/>
      </c>
      <c r="B1516" t="inlineStr">
        <is>
          <t>TEXAS CAPITAL BANCSHARES INC/TX</t>
        </is>
      </c>
      <c r="C1516" t="inlineStr">
        <is>
          <t>TXSE</t>
        </is>
      </c>
      <c r="D1516" t="n">
        <v>1077428</v>
      </c>
      <c r="E1516" t="inlineStr">
        <is>
          <t>SEC</t>
        </is>
      </c>
    </row>
    <row r="1517">
      <c r="A1517" s="5">
        <f>HYPERLINK("https://finance.yahoo.com/quote/WHD","WHD")</f>
        <v/>
      </c>
      <c r="B1517" t="inlineStr">
        <is>
          <t>Cactus, Inc.</t>
        </is>
      </c>
      <c r="C1517" t="inlineStr">
        <is>
          <t>NYSE</t>
        </is>
      </c>
      <c r="D1517" t="n">
        <v>1699136</v>
      </c>
      <c r="E1517" t="inlineStr">
        <is>
          <t>SEC</t>
        </is>
      </c>
    </row>
    <row r="1518">
      <c r="A1518" s="5">
        <f>HYPERLINK("https://finance.yahoo.com/quote/BMI","BMI")</f>
        <v/>
      </c>
      <c r="B1518" t="inlineStr">
        <is>
          <t>BADGER METER INC</t>
        </is>
      </c>
      <c r="C1518" t="inlineStr">
        <is>
          <t>NYSE</t>
        </is>
      </c>
      <c r="D1518" t="n">
        <v>9092</v>
      </c>
      <c r="E1518" t="inlineStr">
        <is>
          <t>SEC</t>
        </is>
      </c>
    </row>
    <row r="1519">
      <c r="A1519" s="5">
        <f>HYPERLINK("https://finance.yahoo.com/quote/VSNT","VSNT")</f>
        <v/>
      </c>
      <c r="B1519" t="inlineStr">
        <is>
          <t>Versant Media Group, Inc.</t>
        </is>
      </c>
      <c r="C1519" t="inlineStr">
        <is>
          <t>Nasdaq</t>
        </is>
      </c>
      <c r="D1519" t="n">
        <v>2067876</v>
      </c>
      <c r="E1519" t="inlineStr">
        <is>
          <t>SEC</t>
        </is>
      </c>
    </row>
    <row r="1520">
      <c r="A1520" s="5">
        <f>HYPERLINK("https://finance.yahoo.com/quote/KRC","KRC")</f>
        <v/>
      </c>
      <c r="B1520" t="inlineStr">
        <is>
          <t>KILROY REALTY CORP</t>
        </is>
      </c>
      <c r="C1520" t="inlineStr">
        <is>
          <t>NYSE</t>
        </is>
      </c>
      <c r="D1520" t="n">
        <v>1025996</v>
      </c>
      <c r="E1520" t="inlineStr">
        <is>
          <t>SEC</t>
        </is>
      </c>
    </row>
    <row r="1521">
      <c r="A1521" s="5">
        <f>HYPERLINK("https://finance.yahoo.com/quote/NNI","NNI")</f>
        <v/>
      </c>
      <c r="B1521" t="inlineStr">
        <is>
          <t>NELNET INC</t>
        </is>
      </c>
      <c r="C1521" t="inlineStr">
        <is>
          <t>NYSE</t>
        </is>
      </c>
      <c r="D1521" t="n">
        <v>1258602</v>
      </c>
      <c r="E1521" t="inlineStr">
        <is>
          <t>SEC</t>
        </is>
      </c>
    </row>
    <row r="1522">
      <c r="A1522" s="5">
        <f>HYPERLINK("https://finance.yahoo.com/quote/DLO","DLO")</f>
        <v/>
      </c>
      <c r="B1522" t="inlineStr">
        <is>
          <t>dLocal Ltd</t>
        </is>
      </c>
      <c r="C1522" t="inlineStr">
        <is>
          <t>Nasdaq</t>
        </is>
      </c>
      <c r="D1522" t="n">
        <v>1846832</v>
      </c>
      <c r="E1522" t="inlineStr">
        <is>
          <t>SEC</t>
        </is>
      </c>
    </row>
    <row r="1523">
      <c r="A1523" s="5">
        <f>HYPERLINK("https://finance.yahoo.com/quote/MWH","MWH")</f>
        <v/>
      </c>
      <c r="B1523" t="inlineStr">
        <is>
          <t>SOLV Energy, Inc.</t>
        </is>
      </c>
      <c r="C1523" t="inlineStr">
        <is>
          <t>Nasdaq</t>
        </is>
      </c>
      <c r="D1523" t="n">
        <v>2065636</v>
      </c>
      <c r="E1523" t="inlineStr">
        <is>
          <t>SEC</t>
        </is>
      </c>
    </row>
    <row r="1524">
      <c r="A1524" s="5">
        <f>HYPERLINK("https://finance.yahoo.com/quote/FELE","FELE")</f>
        <v/>
      </c>
      <c r="B1524" t="inlineStr">
        <is>
          <t>FRANKLIN ELECTRIC CO INC</t>
        </is>
      </c>
      <c r="C1524" t="inlineStr">
        <is>
          <t>Nasdaq</t>
        </is>
      </c>
      <c r="D1524" t="n">
        <v>38725</v>
      </c>
      <c r="E1524" t="inlineStr">
        <is>
          <t>SEC</t>
        </is>
      </c>
    </row>
    <row r="1525">
      <c r="A1525" s="5">
        <f>HYPERLINK("https://finance.yahoo.com/quote/ATAT","ATAT")</f>
        <v/>
      </c>
      <c r="B1525" t="inlineStr">
        <is>
          <t>Atour Lifestyle Holdings Ltd</t>
        </is>
      </c>
      <c r="C1525" t="inlineStr">
        <is>
          <t>Nasdaq</t>
        </is>
      </c>
      <c r="D1525" t="n">
        <v>1853717</v>
      </c>
      <c r="E1525" t="inlineStr">
        <is>
          <t>SEC</t>
        </is>
      </c>
    </row>
    <row r="1526">
      <c r="A1526" s="5">
        <f>HYPERLINK("https://finance.yahoo.com/quote/QTWO","QTWO")</f>
        <v/>
      </c>
      <c r="B1526" t="inlineStr">
        <is>
          <t>Q2 Holdings, Inc.</t>
        </is>
      </c>
      <c r="C1526" t="inlineStr">
        <is>
          <t>NYSE</t>
        </is>
      </c>
      <c r="D1526" t="n">
        <v>1410384</v>
      </c>
      <c r="E1526" t="inlineStr">
        <is>
          <t>SEC</t>
        </is>
      </c>
    </row>
    <row r="1527">
      <c r="A1527" s="5">
        <f>HYPERLINK("https://finance.yahoo.com/quote/SKT","SKT")</f>
        <v/>
      </c>
      <c r="B1527" t="inlineStr">
        <is>
          <t>TANGER INC.</t>
        </is>
      </c>
      <c r="C1527" t="inlineStr">
        <is>
          <t>NYSE</t>
        </is>
      </c>
      <c r="D1527" t="n">
        <v>899715</v>
      </c>
      <c r="E1527" t="inlineStr">
        <is>
          <t>SEC</t>
        </is>
      </c>
    </row>
    <row r="1528">
      <c r="A1528" s="5">
        <f>HYPERLINK("https://finance.yahoo.com/quote/FCN","FCN")</f>
        <v/>
      </c>
      <c r="B1528" t="inlineStr">
        <is>
          <t>FTI CONSULTING, INC</t>
        </is>
      </c>
      <c r="C1528" t="inlineStr">
        <is>
          <t>NYSE</t>
        </is>
      </c>
      <c r="D1528" t="n">
        <v>887936</v>
      </c>
      <c r="E1528" t="inlineStr">
        <is>
          <t>SEC</t>
        </is>
      </c>
    </row>
    <row r="1529">
      <c r="A1529" s="5">
        <f>HYPERLINK("https://finance.yahoo.com/quote/CHEF","CHEF")</f>
        <v/>
      </c>
      <c r="B1529" t="inlineStr">
        <is>
          <t>Chefs' Warehouse, Inc.</t>
        </is>
      </c>
      <c r="C1529" t="inlineStr">
        <is>
          <t>Nasdaq</t>
        </is>
      </c>
      <c r="D1529" t="n">
        <v>1517175</v>
      </c>
      <c r="E1529" t="inlineStr">
        <is>
          <t>SEC</t>
        </is>
      </c>
    </row>
    <row r="1530">
      <c r="A1530" s="5">
        <f>HYPERLINK("https://finance.yahoo.com/quote/GNTX","GNTX")</f>
        <v/>
      </c>
      <c r="B1530" t="inlineStr">
        <is>
          <t>GENTEX CORP</t>
        </is>
      </c>
      <c r="C1530" t="inlineStr">
        <is>
          <t>Nasdaq</t>
        </is>
      </c>
      <c r="D1530" t="n">
        <v>355811</v>
      </c>
      <c r="E1530" t="inlineStr">
        <is>
          <t>SEC</t>
        </is>
      </c>
    </row>
    <row r="1531">
      <c r="A1531" s="5">
        <f>HYPERLINK("https://finance.yahoo.com/quote/CLMT","CLMT")</f>
        <v/>
      </c>
      <c r="B1531" t="inlineStr">
        <is>
          <t>Calumet, Inc. /DE</t>
        </is>
      </c>
      <c r="C1531" t="inlineStr">
        <is>
          <t>Nasdaq</t>
        </is>
      </c>
      <c r="D1531" t="n">
        <v>2013745</v>
      </c>
      <c r="E1531" t="inlineStr">
        <is>
          <t>SEC</t>
        </is>
      </c>
    </row>
    <row r="1532">
      <c r="A1532" s="5">
        <f>HYPERLINK("https://finance.yahoo.com/quote/ITGR","ITGR")</f>
        <v/>
      </c>
      <c r="B1532" t="inlineStr">
        <is>
          <t>Integer Holdings Corp</t>
        </is>
      </c>
      <c r="C1532" t="inlineStr">
        <is>
          <t>NYSE</t>
        </is>
      </c>
      <c r="D1532" t="n">
        <v>1114483</v>
      </c>
      <c r="E1532" t="inlineStr">
        <is>
          <t>SEC</t>
        </is>
      </c>
    </row>
    <row r="1533">
      <c r="A1533" s="5">
        <f>HYPERLINK("https://finance.yahoo.com/quote/FFIN","FFIN")</f>
        <v/>
      </c>
      <c r="B1533" t="inlineStr">
        <is>
          <t>FIRST FINANCIAL BANKSHARES INC</t>
        </is>
      </c>
      <c r="C1533" t="inlineStr">
        <is>
          <t>Nasdaq</t>
        </is>
      </c>
      <c r="D1533" t="n">
        <v>36029</v>
      </c>
      <c r="E1533" t="inlineStr">
        <is>
          <t>SEC</t>
        </is>
      </c>
    </row>
    <row r="1534">
      <c r="A1534" s="5">
        <f>HYPERLINK("https://finance.yahoo.com/quote/CATY","CATY")</f>
        <v/>
      </c>
      <c r="B1534" t="inlineStr">
        <is>
          <t>CATHAY GENERAL BANCORP</t>
        </is>
      </c>
      <c r="C1534" t="inlineStr">
        <is>
          <t>Nasdaq</t>
        </is>
      </c>
      <c r="D1534" t="n">
        <v>861842</v>
      </c>
      <c r="E1534" t="inlineStr">
        <is>
          <t>SEC</t>
        </is>
      </c>
    </row>
    <row r="1535">
      <c r="A1535" s="5">
        <f>HYPERLINK("https://finance.yahoo.com/quote/ARX","ARX")</f>
        <v/>
      </c>
      <c r="B1535" t="inlineStr">
        <is>
          <t>Accelerant Holdings</t>
        </is>
      </c>
      <c r="C1535" t="inlineStr">
        <is>
          <t>NYSE</t>
        </is>
      </c>
      <c r="D1535" t="n">
        <v>1997350</v>
      </c>
      <c r="E1535" t="inlineStr">
        <is>
          <t>SEC</t>
        </is>
      </c>
    </row>
    <row r="1536">
      <c r="A1536" s="5">
        <f>HYPERLINK("https://finance.yahoo.com/quote/BILL","BILL")</f>
        <v/>
      </c>
      <c r="B1536" t="inlineStr">
        <is>
          <t>BILL Holdings, Inc.</t>
        </is>
      </c>
      <c r="C1536" t="inlineStr">
        <is>
          <t>NYSE</t>
        </is>
      </c>
      <c r="D1536" t="n">
        <v>1786352</v>
      </c>
      <c r="E1536" t="inlineStr">
        <is>
          <t>SEC</t>
        </is>
      </c>
    </row>
    <row r="1537">
      <c r="A1537" s="5">
        <f>HYPERLINK("https://finance.yahoo.com/quote/FLG","FLG")</f>
        <v/>
      </c>
      <c r="B1537" t="inlineStr">
        <is>
          <t>FLAGSTAR BANK, NATIONAL ASSOCIATION</t>
        </is>
      </c>
      <c r="C1537" t="inlineStr">
        <is>
          <t>NYSE</t>
        </is>
      </c>
      <c r="D1537" t="n">
        <v>910073</v>
      </c>
      <c r="E1537" t="inlineStr">
        <is>
          <t>SEC</t>
        </is>
      </c>
    </row>
    <row r="1538">
      <c r="A1538" s="5">
        <f>HYPERLINK("https://finance.yahoo.com/quote/DNTH","DNTH")</f>
        <v/>
      </c>
      <c r="B1538" t="inlineStr">
        <is>
          <t>Dianthus Therapeutics, Inc. /DE/</t>
        </is>
      </c>
      <c r="C1538" t="inlineStr">
        <is>
          <t>Nasdaq</t>
        </is>
      </c>
      <c r="D1538" t="n">
        <v>1690585</v>
      </c>
      <c r="E1538" t="inlineStr">
        <is>
          <t>SEC</t>
        </is>
      </c>
    </row>
    <row r="1539">
      <c r="A1539" s="5">
        <f>HYPERLINK("https://finance.yahoo.com/quote/HRI","HRI")</f>
        <v/>
      </c>
      <c r="B1539" t="inlineStr">
        <is>
          <t>HERC HOLDINGS INC</t>
        </is>
      </c>
      <c r="C1539" t="inlineStr">
        <is>
          <t>NYSE</t>
        </is>
      </c>
      <c r="D1539" t="n">
        <v>1364479</v>
      </c>
      <c r="E1539" t="inlineStr">
        <is>
          <t>SEC</t>
        </is>
      </c>
    </row>
    <row r="1540">
      <c r="A1540" s="5">
        <f>HYPERLINK("https://finance.yahoo.com/quote/XE","XE")</f>
        <v/>
      </c>
      <c r="B1540" t="inlineStr">
        <is>
          <t>X-Energy, Inc.</t>
        </is>
      </c>
      <c r="C1540" t="inlineStr">
        <is>
          <t>Nasdaq</t>
        </is>
      </c>
      <c r="D1540" t="n">
        <v>2088896</v>
      </c>
      <c r="E1540" t="inlineStr">
        <is>
          <t>SEC</t>
        </is>
      </c>
    </row>
    <row r="1541">
      <c r="A1541" s="5">
        <f>HYPERLINK("https://finance.yahoo.com/quote/SKY","SKY")</f>
        <v/>
      </c>
      <c r="B1541" t="inlineStr">
        <is>
          <t>Champion Homes, Inc.</t>
        </is>
      </c>
      <c r="C1541" t="inlineStr">
        <is>
          <t>NYSE</t>
        </is>
      </c>
      <c r="D1541" t="n">
        <v>90896</v>
      </c>
      <c r="E1541" t="inlineStr">
        <is>
          <t>SEC</t>
        </is>
      </c>
    </row>
    <row r="1542">
      <c r="A1542" s="5">
        <f>HYPERLINK("https://finance.yahoo.com/quote/STNG","STNG")</f>
        <v/>
      </c>
      <c r="B1542" t="inlineStr">
        <is>
          <t>Scorpio Tankers Inc.</t>
        </is>
      </c>
      <c r="C1542" t="inlineStr">
        <is>
          <t>NYSE</t>
        </is>
      </c>
      <c r="D1542" t="n">
        <v>1483934</v>
      </c>
      <c r="E1542" t="inlineStr">
        <is>
          <t>SEC</t>
        </is>
      </c>
    </row>
    <row r="1543">
      <c r="A1543" s="5">
        <f>HYPERLINK("https://finance.yahoo.com/quote/EPR","EPR")</f>
        <v/>
      </c>
      <c r="B1543" t="inlineStr">
        <is>
          <t>EPR PROPERTIES</t>
        </is>
      </c>
      <c r="C1543" t="inlineStr">
        <is>
          <t>NYSE</t>
        </is>
      </c>
      <c r="D1543" t="n">
        <v>1045450</v>
      </c>
      <c r="E1543" t="inlineStr">
        <is>
          <t>SEC</t>
        </is>
      </c>
    </row>
    <row r="1544">
      <c r="A1544" s="5">
        <f>HYPERLINK("https://finance.yahoo.com/quote/PAM","PAM")</f>
        <v/>
      </c>
      <c r="B1544" t="inlineStr">
        <is>
          <t>Pampa Energy Inc.</t>
        </is>
      </c>
      <c r="C1544" t="inlineStr">
        <is>
          <t>NYSE</t>
        </is>
      </c>
      <c r="D1544" t="n">
        <v>1469395</v>
      </c>
      <c r="E1544" t="inlineStr">
        <is>
          <t>SEC</t>
        </is>
      </c>
    </row>
    <row r="1545">
      <c r="A1545" s="5">
        <f>HYPERLINK("https://finance.yahoo.com/quote/APLE","APLE")</f>
        <v/>
      </c>
      <c r="B1545" t="inlineStr">
        <is>
          <t>Apple Hospitality REIT, Inc.</t>
        </is>
      </c>
      <c r="C1545" t="inlineStr">
        <is>
          <t>NYSE</t>
        </is>
      </c>
      <c r="D1545" t="n">
        <v>1418121</v>
      </c>
      <c r="E1545" t="inlineStr">
        <is>
          <t>SEC</t>
        </is>
      </c>
    </row>
    <row r="1546">
      <c r="A1546" s="5">
        <f>HYPERLINK("https://finance.yahoo.com/quote/LOPE","LOPE")</f>
        <v/>
      </c>
      <c r="B1546" t="inlineStr">
        <is>
          <t>Grand Canyon Education, Inc.</t>
        </is>
      </c>
      <c r="C1546" t="inlineStr">
        <is>
          <t>Nasdaq</t>
        </is>
      </c>
      <c r="D1546" t="n">
        <v>1434588</v>
      </c>
      <c r="E1546" t="inlineStr">
        <is>
          <t>SEC</t>
        </is>
      </c>
    </row>
    <row r="1547">
      <c r="A1547" s="5">
        <f>HYPERLINK("https://finance.yahoo.com/quote/BC","BC")</f>
        <v/>
      </c>
      <c r="B1547" t="inlineStr">
        <is>
          <t>BRUNSWICK CORP</t>
        </is>
      </c>
      <c r="C1547" t="inlineStr">
        <is>
          <t>NYSE</t>
        </is>
      </c>
      <c r="D1547" t="n">
        <v>14930</v>
      </c>
      <c r="E1547" t="inlineStr">
        <is>
          <t>SEC</t>
        </is>
      </c>
    </row>
    <row r="1548">
      <c r="A1548" s="5">
        <f>HYPERLINK("https://finance.yahoo.com/quote/EWTX","EWTX")</f>
        <v/>
      </c>
      <c r="B1548" t="inlineStr">
        <is>
          <t>Edgewise Therapeutics, Inc.</t>
        </is>
      </c>
      <c r="C1548" t="inlineStr">
        <is>
          <t>Nasdaq</t>
        </is>
      </c>
      <c r="D1548" t="n">
        <v>1710072</v>
      </c>
      <c r="E1548" t="inlineStr">
        <is>
          <t>SEC</t>
        </is>
      </c>
    </row>
    <row r="1549">
      <c r="A1549" s="5">
        <f>HYPERLINK("https://finance.yahoo.com/quote/BLSH","BLSH")</f>
        <v/>
      </c>
      <c r="B1549" t="inlineStr">
        <is>
          <t>Bullish</t>
        </is>
      </c>
      <c r="C1549" t="inlineStr">
        <is>
          <t>NYSE</t>
        </is>
      </c>
      <c r="D1549" t="n">
        <v>1872195</v>
      </c>
      <c r="E1549" t="inlineStr">
        <is>
          <t>SEC</t>
        </is>
      </c>
    </row>
    <row r="1550">
      <c r="A1550" s="5">
        <f>HYPERLINK("https://finance.yahoo.com/quote/CRVL","CRVL")</f>
        <v/>
      </c>
      <c r="B1550" t="inlineStr">
        <is>
          <t>CORVEL CORP</t>
        </is>
      </c>
      <c r="C1550" t="inlineStr">
        <is>
          <t>Nasdaq</t>
        </is>
      </c>
      <c r="D1550" t="n">
        <v>874866</v>
      </c>
      <c r="E1550" t="inlineStr">
        <is>
          <t>SEC</t>
        </is>
      </c>
    </row>
    <row r="1551">
      <c r="A1551" s="5">
        <f>HYPERLINK("https://finance.yahoo.com/quote/TDW","TDW")</f>
        <v/>
      </c>
      <c r="B1551" t="inlineStr">
        <is>
          <t>TIDEWATER INC</t>
        </is>
      </c>
      <c r="C1551" t="inlineStr">
        <is>
          <t>NYSE</t>
        </is>
      </c>
      <c r="D1551" t="n">
        <v>98222</v>
      </c>
      <c r="E1551" t="inlineStr">
        <is>
          <t>SEC</t>
        </is>
      </c>
    </row>
    <row r="1552">
      <c r="A1552" s="5">
        <f>HYPERLINK("https://finance.yahoo.com/quote/CORZ","CORZ")</f>
        <v/>
      </c>
      <c r="B1552" t="inlineStr">
        <is>
          <t>Core Scientific, Inc./tx</t>
        </is>
      </c>
      <c r="C1552" t="inlineStr">
        <is>
          <t>Nasdaq</t>
        </is>
      </c>
      <c r="D1552" t="n">
        <v>1839341</v>
      </c>
      <c r="E1552" t="inlineStr">
        <is>
          <t>SEC</t>
        </is>
      </c>
    </row>
    <row r="1553">
      <c r="A1553" s="5">
        <f>HYPERLINK("https://finance.yahoo.com/quote/ALH","ALH")</f>
        <v/>
      </c>
      <c r="B1553" t="inlineStr">
        <is>
          <t>Alliance Laundry Holdings Inc.</t>
        </is>
      </c>
      <c r="C1553" t="inlineStr">
        <is>
          <t>NYSE</t>
        </is>
      </c>
      <c r="D1553" t="n">
        <v>1317685</v>
      </c>
      <c r="E1553" t="inlineStr">
        <is>
          <t>SEC</t>
        </is>
      </c>
    </row>
    <row r="1554">
      <c r="A1554" s="5">
        <f>HYPERLINK("https://finance.yahoo.com/quote/FHI","FHI")</f>
        <v/>
      </c>
      <c r="B1554" t="inlineStr">
        <is>
          <t>FEDERATED HERMES, INC.</t>
        </is>
      </c>
      <c r="C1554" t="inlineStr">
        <is>
          <t>NYSE</t>
        </is>
      </c>
      <c r="D1554" t="n">
        <v>1056288</v>
      </c>
      <c r="E1554" t="inlineStr">
        <is>
          <t>SEC</t>
        </is>
      </c>
    </row>
    <row r="1555">
      <c r="A1555" s="5">
        <f>HYPERLINK("https://finance.yahoo.com/quote/PAY","PAY")</f>
        <v/>
      </c>
      <c r="B1555" t="inlineStr">
        <is>
          <t>Paymentus Holdings, Inc.</t>
        </is>
      </c>
      <c r="C1555" t="inlineStr">
        <is>
          <t>NYSE</t>
        </is>
      </c>
      <c r="D1555" t="n">
        <v>1841156</v>
      </c>
      <c r="E1555" t="inlineStr">
        <is>
          <t>SEC</t>
        </is>
      </c>
    </row>
    <row r="1556">
      <c r="A1556" s="5">
        <f>HYPERLINK("https://finance.yahoo.com/quote/ENPH","ENPH")</f>
        <v/>
      </c>
      <c r="B1556" t="inlineStr">
        <is>
          <t>Enphase Energy, Inc.</t>
        </is>
      </c>
      <c r="C1556" t="inlineStr">
        <is>
          <t>Nasdaq</t>
        </is>
      </c>
      <c r="D1556" t="n">
        <v>1463101</v>
      </c>
      <c r="E1556" t="inlineStr">
        <is>
          <t>SEC</t>
        </is>
      </c>
    </row>
    <row r="1557">
      <c r="A1557" s="5">
        <f>HYPERLINK("https://finance.yahoo.com/quote/MTH","MTH")</f>
        <v/>
      </c>
      <c r="B1557" t="inlineStr">
        <is>
          <t>Meritage Homes CORP</t>
        </is>
      </c>
      <c r="C1557" t="inlineStr">
        <is>
          <t>NYSE</t>
        </is>
      </c>
      <c r="D1557" t="n">
        <v>833079</v>
      </c>
      <c r="E1557" t="inlineStr">
        <is>
          <t>SEC</t>
        </is>
      </c>
    </row>
    <row r="1558">
      <c r="A1558" s="5">
        <f>HYPERLINK("https://finance.yahoo.com/quote/VSH","VSH")</f>
        <v/>
      </c>
      <c r="B1558" t="inlineStr">
        <is>
          <t>VISHAY INTERTECHNOLOGY INC</t>
        </is>
      </c>
      <c r="C1558" t="inlineStr">
        <is>
          <t>NYSE</t>
        </is>
      </c>
      <c r="D1558" t="n">
        <v>103730</v>
      </c>
      <c r="E1558" t="inlineStr">
        <is>
          <t>SEC</t>
        </is>
      </c>
    </row>
    <row r="1559">
      <c r="A1559" s="5">
        <f>HYPERLINK("https://finance.yahoo.com/quote/ENVA","ENVA")</f>
        <v/>
      </c>
      <c r="B1559" t="inlineStr">
        <is>
          <t>Enova International, Inc.</t>
        </is>
      </c>
      <c r="C1559" t="inlineStr">
        <is>
          <t>NYSE</t>
        </is>
      </c>
      <c r="D1559" t="n">
        <v>1529864</v>
      </c>
      <c r="E1559" t="inlineStr">
        <is>
          <t>SEC</t>
        </is>
      </c>
    </row>
    <row r="1560">
      <c r="A1560" s="5">
        <f>HYPERLINK("https://finance.yahoo.com/quote/BBWI","BBWI")</f>
        <v/>
      </c>
      <c r="B1560" t="inlineStr">
        <is>
          <t>Bath &amp; Body Works, Inc.</t>
        </is>
      </c>
      <c r="C1560" t="inlineStr">
        <is>
          <t>NYSE</t>
        </is>
      </c>
      <c r="D1560" t="n">
        <v>701985</v>
      </c>
      <c r="E1560" t="inlineStr">
        <is>
          <t>SEC</t>
        </is>
      </c>
    </row>
    <row r="1561">
      <c r="A1561" s="5">
        <f>HYPERLINK("https://finance.yahoo.com/quote/RKGRY","RKGRY")</f>
        <v/>
      </c>
      <c r="B1561" t="inlineStr">
        <is>
          <t>RENK Group AG/ADR</t>
        </is>
      </c>
      <c r="C1561" t="inlineStr">
        <is>
          <t>OTC</t>
        </is>
      </c>
      <c r="D1561" t="n">
        <v>2093907</v>
      </c>
      <c r="E1561" t="inlineStr">
        <is>
          <t>SEC</t>
        </is>
      </c>
    </row>
    <row r="1562">
      <c r="A1562" s="5">
        <f>HYPERLINK("https://finance.yahoo.com/quote/HHH","HHH")</f>
        <v/>
      </c>
      <c r="B1562" t="inlineStr">
        <is>
          <t>Howard Hughes Holdings Inc.</t>
        </is>
      </c>
      <c r="C1562" t="inlineStr">
        <is>
          <t>NYSE</t>
        </is>
      </c>
      <c r="D1562" t="n">
        <v>1981792</v>
      </c>
      <c r="E1562" t="inlineStr">
        <is>
          <t>SEC</t>
        </is>
      </c>
    </row>
    <row r="1563">
      <c r="A1563" s="5">
        <f>HYPERLINK("https://finance.yahoo.com/quote/AQN","AQN")</f>
        <v/>
      </c>
      <c r="B1563" t="inlineStr">
        <is>
          <t>ALGONQUIN POWER &amp; UTILITIES CORP.</t>
        </is>
      </c>
      <c r="C1563" t="inlineStr">
        <is>
          <t>NYSE</t>
        </is>
      </c>
      <c r="D1563" t="n">
        <v>1174169</v>
      </c>
      <c r="E1563" t="inlineStr">
        <is>
          <t>SEC</t>
        </is>
      </c>
    </row>
    <row r="1564">
      <c r="A1564" s="5">
        <f>HYPERLINK("https://finance.yahoo.com/quote/OTF","OTF")</f>
        <v/>
      </c>
      <c r="B1564" t="inlineStr">
        <is>
          <t>Blue Owl Technology Finance Corp.</t>
        </is>
      </c>
      <c r="C1564" t="inlineStr">
        <is>
          <t>NYSE</t>
        </is>
      </c>
      <c r="D1564" t="n">
        <v>1747777</v>
      </c>
      <c r="E1564" t="inlineStr">
        <is>
          <t>SEC</t>
        </is>
      </c>
    </row>
    <row r="1565">
      <c r="A1565" s="5">
        <f>HYPERLINK("https://finance.yahoo.com/quote/SLGN","SLGN")</f>
        <v/>
      </c>
      <c r="B1565" t="inlineStr">
        <is>
          <t>SILGAN HOLDINGS INC</t>
        </is>
      </c>
      <c r="C1565" t="inlineStr">
        <is>
          <t>NYSE</t>
        </is>
      </c>
      <c r="D1565" t="n">
        <v>849869</v>
      </c>
      <c r="E1565" t="inlineStr">
        <is>
          <t>SEC</t>
        </is>
      </c>
    </row>
    <row r="1566">
      <c r="A1566" s="5">
        <f>HYPERLINK("https://finance.yahoo.com/quote/ESAB","ESAB")</f>
        <v/>
      </c>
      <c r="B1566" t="inlineStr">
        <is>
          <t>ESAB Corp</t>
        </is>
      </c>
      <c r="C1566" t="inlineStr">
        <is>
          <t>NYSE</t>
        </is>
      </c>
      <c r="D1566" t="n">
        <v>1877322</v>
      </c>
      <c r="E1566" t="inlineStr">
        <is>
          <t>SEC</t>
        </is>
      </c>
    </row>
    <row r="1567">
      <c r="A1567" s="5">
        <f>HYPERLINK("https://finance.yahoo.com/quote/IBOC","IBOC")</f>
        <v/>
      </c>
      <c r="B1567" t="inlineStr">
        <is>
          <t>INTERNATIONAL BANCSHARES CORP</t>
        </is>
      </c>
      <c r="C1567" t="inlineStr">
        <is>
          <t>TXSE</t>
        </is>
      </c>
      <c r="D1567" t="n">
        <v>315709</v>
      </c>
      <c r="E1567" t="inlineStr">
        <is>
          <t>SEC</t>
        </is>
      </c>
    </row>
    <row r="1568">
      <c r="A1568" s="5">
        <f>HYPERLINK("https://finance.yahoo.com/quote/FBP","FBP")</f>
        <v/>
      </c>
      <c r="B1568" t="inlineStr">
        <is>
          <t>FIRST BANCORP /PR/</t>
        </is>
      </c>
      <c r="C1568" t="inlineStr">
        <is>
          <t>NYSE</t>
        </is>
      </c>
      <c r="D1568" t="n">
        <v>1057706</v>
      </c>
      <c r="E1568" t="inlineStr">
        <is>
          <t>SEC</t>
        </is>
      </c>
    </row>
    <row r="1569">
      <c r="A1569" s="5">
        <f>HYPERLINK("https://finance.yahoo.com/quote/ICUI","ICUI")</f>
        <v/>
      </c>
      <c r="B1569" t="inlineStr">
        <is>
          <t>ICU MEDICAL INC/DE</t>
        </is>
      </c>
      <c r="C1569" t="inlineStr">
        <is>
          <t>Nasdaq</t>
        </is>
      </c>
      <c r="D1569" t="n">
        <v>883984</v>
      </c>
      <c r="E1569" t="inlineStr">
        <is>
          <t>SEC</t>
        </is>
      </c>
    </row>
    <row r="1570">
      <c r="A1570" s="5">
        <f>HYPERLINK("https://finance.yahoo.com/quote/KTB","KTB")</f>
        <v/>
      </c>
      <c r="B1570" t="inlineStr">
        <is>
          <t>Kontoor Brands, Inc.</t>
        </is>
      </c>
      <c r="C1570" t="inlineStr">
        <is>
          <t>NYSE</t>
        </is>
      </c>
      <c r="D1570" t="n">
        <v>1760965</v>
      </c>
      <c r="E1570" t="inlineStr">
        <is>
          <t>SEC</t>
        </is>
      </c>
    </row>
    <row r="1571">
      <c r="A1571" s="5">
        <f>HYPERLINK("https://finance.yahoo.com/quote/CVCO","CVCO")</f>
        <v/>
      </c>
      <c r="B1571" t="inlineStr">
        <is>
          <t>CAVCO INDUSTRIES, INC.</t>
        </is>
      </c>
      <c r="C1571" t="inlineStr">
        <is>
          <t>Nasdaq</t>
        </is>
      </c>
      <c r="D1571" t="n">
        <v>278166</v>
      </c>
      <c r="E1571" t="inlineStr">
        <is>
          <t>SEC</t>
        </is>
      </c>
    </row>
    <row r="1572">
      <c r="A1572" s="5">
        <f>HYPERLINK("https://finance.yahoo.com/quote/BMA","BMA")</f>
        <v/>
      </c>
      <c r="B1572" t="inlineStr">
        <is>
          <t>Macro Bank Inc.</t>
        </is>
      </c>
      <c r="C1572" t="inlineStr">
        <is>
          <t>NYSE</t>
        </is>
      </c>
      <c r="D1572" t="n">
        <v>1347426</v>
      </c>
      <c r="E1572" t="inlineStr">
        <is>
          <t>SEC</t>
        </is>
      </c>
    </row>
    <row r="1573">
      <c r="A1573" s="5">
        <f>HYPERLINK("https://finance.yahoo.com/quote/DOO","DOO")</f>
        <v/>
      </c>
      <c r="B1573" t="inlineStr">
        <is>
          <t>BRP Inc.</t>
        </is>
      </c>
      <c r="C1573" t="inlineStr">
        <is>
          <t>Nasdaq</t>
        </is>
      </c>
      <c r="D1573" t="n">
        <v>1748797</v>
      </c>
      <c r="E1573" t="inlineStr">
        <is>
          <t>SEC</t>
        </is>
      </c>
    </row>
    <row r="1574">
      <c r="A1574" s="5">
        <f>HYPERLINK("https://finance.yahoo.com/quote/CRK","CRK")</f>
        <v/>
      </c>
      <c r="B1574" t="inlineStr">
        <is>
          <t>COMSTOCK RESOURCES INC</t>
        </is>
      </c>
      <c r="C1574" t="inlineStr">
        <is>
          <t>NYSE</t>
        </is>
      </c>
      <c r="D1574" t="n">
        <v>23194</v>
      </c>
      <c r="E1574" t="inlineStr">
        <is>
          <t>SEC</t>
        </is>
      </c>
    </row>
    <row r="1575">
      <c r="A1575" s="5">
        <f>HYPERLINK("https://finance.yahoo.com/quote/IFHLY","IFHLY")</f>
        <v/>
      </c>
      <c r="B1575" t="inlineStr">
        <is>
          <t>Inficon Holding AG/ADR</t>
        </is>
      </c>
      <c r="C1575" t="inlineStr">
        <is>
          <t>OTC</t>
        </is>
      </c>
      <c r="D1575" t="n">
        <v>2035057</v>
      </c>
      <c r="E1575" t="inlineStr">
        <is>
          <t>SEC</t>
        </is>
      </c>
    </row>
    <row r="1576">
      <c r="A1576" s="5">
        <f>HYPERLINK("https://finance.yahoo.com/quote/EQPT","EQPT")</f>
        <v/>
      </c>
      <c r="B1576" t="inlineStr">
        <is>
          <t>EquipmentShare.com Inc</t>
        </is>
      </c>
      <c r="C1576" t="inlineStr">
        <is>
          <t>Nasdaq</t>
        </is>
      </c>
      <c r="D1576" t="n">
        <v>1693736</v>
      </c>
      <c r="E1576" t="inlineStr">
        <is>
          <t>SEC</t>
        </is>
      </c>
    </row>
    <row r="1577">
      <c r="A1577" s="5">
        <f>HYPERLINK("https://finance.yahoo.com/quote/BDC","BDC")</f>
        <v/>
      </c>
      <c r="B1577" t="inlineStr">
        <is>
          <t>BELDEN INC.</t>
        </is>
      </c>
      <c r="C1577" t="inlineStr">
        <is>
          <t>NYSE</t>
        </is>
      </c>
      <c r="D1577" t="n">
        <v>913142</v>
      </c>
      <c r="E1577" t="inlineStr">
        <is>
          <t>SEC</t>
        </is>
      </c>
    </row>
    <row r="1578">
      <c r="A1578" s="5">
        <f>HYPERLINK("https://finance.yahoo.com/quote/COLD","COLD")</f>
        <v/>
      </c>
      <c r="B1578" t="inlineStr">
        <is>
          <t>AMERICOLD REALTY TRUST</t>
        </is>
      </c>
      <c r="C1578" t="inlineStr">
        <is>
          <t>NYSE</t>
        </is>
      </c>
      <c r="D1578" t="n">
        <v>1455863</v>
      </c>
      <c r="E1578" t="inlineStr">
        <is>
          <t>SEC</t>
        </is>
      </c>
    </row>
    <row r="1579">
      <c r="A1579" s="5">
        <f>HYPERLINK("https://finance.yahoo.com/quote/TGS","TGS")</f>
        <v/>
      </c>
      <c r="B1579" t="inlineStr">
        <is>
          <t>GAS TRANSPORTER OF THE SOUTH INC</t>
        </is>
      </c>
      <c r="C1579" t="inlineStr">
        <is>
          <t>NYSE</t>
        </is>
      </c>
      <c r="D1579" t="n">
        <v>931427</v>
      </c>
      <c r="E1579" t="inlineStr">
        <is>
          <t>SEC</t>
        </is>
      </c>
    </row>
    <row r="1580">
      <c r="A1580" s="5">
        <f>HYPERLINK("https://finance.yahoo.com/quote/TRMD","TRMD")</f>
        <v/>
      </c>
      <c r="B1580" t="inlineStr">
        <is>
          <t>TORM plc</t>
        </is>
      </c>
      <c r="C1580" t="inlineStr">
        <is>
          <t>Nasdaq</t>
        </is>
      </c>
      <c r="D1580" t="n">
        <v>1655891</v>
      </c>
      <c r="E1580" t="inlineStr">
        <is>
          <t>SEC</t>
        </is>
      </c>
    </row>
    <row r="1581">
      <c r="A1581" s="5">
        <f>HYPERLINK("https://finance.yahoo.com/quote/JOYY","JOYY")</f>
        <v/>
      </c>
      <c r="B1581" t="inlineStr">
        <is>
          <t>JOYY Inc.</t>
        </is>
      </c>
      <c r="C1581" t="inlineStr">
        <is>
          <t>Nasdaq</t>
        </is>
      </c>
      <c r="D1581" t="n">
        <v>1530238</v>
      </c>
      <c r="E1581" t="inlineStr">
        <is>
          <t>SEC</t>
        </is>
      </c>
    </row>
    <row r="1582">
      <c r="A1582" s="5">
        <f>HYPERLINK("https://finance.yahoo.com/quote/IEP","IEP")</f>
        <v/>
      </c>
      <c r="B1582" t="inlineStr">
        <is>
          <t>ICAHN ENTERPRISES L.P.</t>
        </is>
      </c>
      <c r="C1582" t="inlineStr">
        <is>
          <t>Nasdaq</t>
        </is>
      </c>
      <c r="D1582" t="n">
        <v>813762</v>
      </c>
      <c r="E1582" t="inlineStr">
        <is>
          <t>SEC</t>
        </is>
      </c>
    </row>
    <row r="1583">
      <c r="A1583" s="5">
        <f>HYPERLINK("https://finance.yahoo.com/quote/WSFS","WSFS")</f>
        <v/>
      </c>
      <c r="B1583" t="inlineStr">
        <is>
          <t>WSFS FINANCIAL CORP</t>
        </is>
      </c>
      <c r="C1583" t="inlineStr">
        <is>
          <t>Nasdaq</t>
        </is>
      </c>
      <c r="D1583" t="n">
        <v>828944</v>
      </c>
      <c r="E1583" t="inlineStr">
        <is>
          <t>SEC</t>
        </is>
      </c>
    </row>
    <row r="1584">
      <c r="A1584" s="5">
        <f>HYPERLINK("https://finance.yahoo.com/quote/TDS","TDS")</f>
        <v/>
      </c>
      <c r="B1584" t="inlineStr">
        <is>
          <t>TELEPHONE &amp; DATA SYSTEMS INC /DE/</t>
        </is>
      </c>
      <c r="C1584" t="inlineStr">
        <is>
          <t>NYSE</t>
        </is>
      </c>
      <c r="D1584" t="n">
        <v>1051512</v>
      </c>
      <c r="E1584" t="inlineStr">
        <is>
          <t>SEC</t>
        </is>
      </c>
    </row>
    <row r="1585">
      <c r="A1585" s="5">
        <f>HYPERLINK("https://finance.yahoo.com/quote/INDV","INDV")</f>
        <v/>
      </c>
      <c r="B1585" t="inlineStr">
        <is>
          <t>Indivior Pharmaceuticals, Inc.</t>
        </is>
      </c>
      <c r="C1585" t="inlineStr">
        <is>
          <t>Nasdaq</t>
        </is>
      </c>
      <c r="D1585" t="n">
        <v>1625297</v>
      </c>
      <c r="E1585" t="inlineStr">
        <is>
          <t>SEC</t>
        </is>
      </c>
    </row>
    <row r="1586">
      <c r="A1586" s="5">
        <f>HYPERLINK("https://finance.yahoo.com/quote/MDU","MDU")</f>
        <v/>
      </c>
      <c r="B1586" t="inlineStr">
        <is>
          <t>MDU RESOURCES GROUP INC</t>
        </is>
      </c>
      <c r="C1586" t="inlineStr">
        <is>
          <t>NYSE</t>
        </is>
      </c>
      <c r="D1586" t="n">
        <v>67716</v>
      </c>
      <c r="E1586" t="inlineStr">
        <is>
          <t>SEC</t>
        </is>
      </c>
    </row>
    <row r="1587">
      <c r="A1587" s="5">
        <f>HYPERLINK("https://finance.yahoo.com/quote/TPC","TPC")</f>
        <v/>
      </c>
      <c r="B1587" t="inlineStr">
        <is>
          <t>TUTOR PERINI CORP</t>
        </is>
      </c>
      <c r="C1587" t="inlineStr">
        <is>
          <t>NYSE</t>
        </is>
      </c>
      <c r="D1587" t="n">
        <v>77543</v>
      </c>
      <c r="E1587" t="inlineStr">
        <is>
          <t>SEC</t>
        </is>
      </c>
    </row>
    <row r="1588">
      <c r="A1588" s="5">
        <f>HYPERLINK("https://finance.yahoo.com/quote/ADPT","ADPT")</f>
        <v/>
      </c>
      <c r="B1588" t="inlineStr">
        <is>
          <t>Adaptive Biotechnologies Corp</t>
        </is>
      </c>
      <c r="C1588" t="inlineStr">
        <is>
          <t>Nasdaq</t>
        </is>
      </c>
      <c r="D1588" t="n">
        <v>1478320</v>
      </c>
      <c r="E1588" t="inlineStr">
        <is>
          <t>SEC</t>
        </is>
      </c>
    </row>
    <row r="1589">
      <c r="A1589" s="5">
        <f>HYPERLINK("https://finance.yahoo.com/quote/MC","MC")</f>
        <v/>
      </c>
      <c r="B1589" t="inlineStr">
        <is>
          <t>Moelis &amp; Co</t>
        </is>
      </c>
      <c r="C1589" t="inlineStr">
        <is>
          <t>NYSE</t>
        </is>
      </c>
      <c r="D1589" t="n">
        <v>1596967</v>
      </c>
      <c r="E1589" t="inlineStr">
        <is>
          <t>SEC</t>
        </is>
      </c>
    </row>
    <row r="1590">
      <c r="A1590" s="5">
        <f>HYPERLINK("https://finance.yahoo.com/quote/GTX","GTX")</f>
        <v/>
      </c>
      <c r="B1590" t="inlineStr">
        <is>
          <t>Garrett Motion Inc.</t>
        </is>
      </c>
      <c r="C1590" t="inlineStr">
        <is>
          <t>Nasdaq</t>
        </is>
      </c>
      <c r="D1590" t="n">
        <v>1735707</v>
      </c>
      <c r="E1590" t="inlineStr">
        <is>
          <t>SEC</t>
        </is>
      </c>
    </row>
    <row r="1591">
      <c r="A1591" s="5">
        <f>HYPERLINK("https://finance.yahoo.com/quote/CVBF","CVBF")</f>
        <v/>
      </c>
      <c r="B1591" t="inlineStr">
        <is>
          <t>CVB FINANCIAL CORP</t>
        </is>
      </c>
      <c r="C1591" t="inlineStr">
        <is>
          <t>Nasdaq</t>
        </is>
      </c>
      <c r="D1591" t="n">
        <v>354647</v>
      </c>
      <c r="E1591" t="inlineStr">
        <is>
          <t>SEC</t>
        </is>
      </c>
    </row>
    <row r="1592">
      <c r="A1592" s="5">
        <f>HYPERLINK("https://finance.yahoo.com/quote/FRSH","FRSH")</f>
        <v/>
      </c>
      <c r="B1592" t="inlineStr">
        <is>
          <t>Freshworks Inc.</t>
        </is>
      </c>
      <c r="C1592" t="inlineStr">
        <is>
          <t>Nasdaq</t>
        </is>
      </c>
      <c r="D1592" t="n">
        <v>1544522</v>
      </c>
      <c r="E1592" t="inlineStr">
        <is>
          <t>SEC</t>
        </is>
      </c>
    </row>
    <row r="1593">
      <c r="A1593" s="5">
        <f>HYPERLINK("https://finance.yahoo.com/quote/OBOCY","OBOCY")</f>
        <v/>
      </c>
      <c r="B1593" t="inlineStr">
        <is>
          <t>Ottobock SE &amp; Co. KGaA/ADR</t>
        </is>
      </c>
      <c r="C1593" t="inlineStr">
        <is>
          <t>OTC</t>
        </is>
      </c>
      <c r="D1593" t="n">
        <v>2094691</v>
      </c>
      <c r="E1593" t="inlineStr">
        <is>
          <t>SEC</t>
        </is>
      </c>
    </row>
    <row r="1594">
      <c r="A1594" s="5">
        <f>HYPERLINK("https://finance.yahoo.com/quote/MMYT","MMYT")</f>
        <v/>
      </c>
      <c r="B1594" t="inlineStr">
        <is>
          <t>MakeMyTrip Ltd</t>
        </is>
      </c>
      <c r="C1594" t="inlineStr">
        <is>
          <t>Nasdaq</t>
        </is>
      </c>
      <c r="D1594" t="n">
        <v>1495153</v>
      </c>
      <c r="E1594" t="inlineStr">
        <is>
          <t>SEC</t>
        </is>
      </c>
    </row>
    <row r="1595">
      <c r="A1595" s="5">
        <f>HYPERLINK("https://finance.yahoo.com/quote/VVV","VVV")</f>
        <v/>
      </c>
      <c r="B1595" t="inlineStr">
        <is>
          <t>VALVOLINE INC</t>
        </is>
      </c>
      <c r="C1595" t="inlineStr">
        <is>
          <t>NYSE</t>
        </is>
      </c>
      <c r="D1595" t="n">
        <v>1674910</v>
      </c>
      <c r="E1595" t="inlineStr">
        <is>
          <t>SEC</t>
        </is>
      </c>
    </row>
    <row r="1596">
      <c r="A1596" s="5">
        <f>HYPERLINK("https://finance.yahoo.com/quote/TKC","TKC")</f>
        <v/>
      </c>
      <c r="B1596" t="inlineStr">
        <is>
          <t>TURKCELL ILETISIM HIZMETLERI A S</t>
        </is>
      </c>
      <c r="C1596" t="inlineStr">
        <is>
          <t>NYSE</t>
        </is>
      </c>
      <c r="D1596" t="n">
        <v>1071321</v>
      </c>
      <c r="E1596" t="inlineStr">
        <is>
          <t>SEC</t>
        </is>
      </c>
    </row>
    <row r="1597">
      <c r="A1597" s="5">
        <f>HYPERLINK("https://finance.yahoo.com/quote/TNGX","TNGX")</f>
        <v/>
      </c>
      <c r="B1597" t="inlineStr">
        <is>
          <t>Tango Therapeutics, Inc.</t>
        </is>
      </c>
      <c r="C1597" t="inlineStr">
        <is>
          <t>Nasdaq</t>
        </is>
      </c>
      <c r="D1597" t="n">
        <v>1819133</v>
      </c>
      <c r="E1597" t="inlineStr">
        <is>
          <t>SEC</t>
        </is>
      </c>
    </row>
    <row r="1598">
      <c r="A1598" s="5">
        <f>HYPERLINK("https://finance.yahoo.com/quote/VSEC","VSEC")</f>
        <v/>
      </c>
      <c r="B1598" t="inlineStr">
        <is>
          <t>VSE CORP</t>
        </is>
      </c>
      <c r="C1598" t="inlineStr">
        <is>
          <t>Nasdaq</t>
        </is>
      </c>
      <c r="D1598" t="n">
        <v>102752</v>
      </c>
      <c r="E1598" t="inlineStr">
        <is>
          <t>SEC</t>
        </is>
      </c>
    </row>
    <row r="1599">
      <c r="A1599" s="5">
        <f>HYPERLINK("https://finance.yahoo.com/quote/CGAU","CGAU")</f>
        <v/>
      </c>
      <c r="B1599" t="inlineStr">
        <is>
          <t>Centerra Gold Inc.</t>
        </is>
      </c>
      <c r="C1599" t="inlineStr">
        <is>
          <t>NYSE</t>
        </is>
      </c>
      <c r="D1599" t="n">
        <v>1854640</v>
      </c>
      <c r="E1599" t="inlineStr">
        <is>
          <t>SEC</t>
        </is>
      </c>
    </row>
    <row r="1600">
      <c r="A1600" s="5">
        <f>HYPERLINK("https://finance.yahoo.com/quote/IRTC","IRTC")</f>
        <v/>
      </c>
      <c r="B1600" t="inlineStr">
        <is>
          <t>iRhythm Holdings, Inc.</t>
        </is>
      </c>
      <c r="C1600" t="inlineStr">
        <is>
          <t>Nasdaq</t>
        </is>
      </c>
      <c r="D1600" t="n">
        <v>1388658</v>
      </c>
      <c r="E1600" t="inlineStr">
        <is>
          <t>SEC</t>
        </is>
      </c>
    </row>
    <row r="1601">
      <c r="A1601" s="5">
        <f>HYPERLINK("https://finance.yahoo.com/quote/TNL","TNL")</f>
        <v/>
      </c>
      <c r="B1601" t="inlineStr">
        <is>
          <t>Travel &amp; Leisure Co.</t>
        </is>
      </c>
      <c r="C1601" t="inlineStr">
        <is>
          <t>NYSE</t>
        </is>
      </c>
      <c r="D1601" t="n">
        <v>1361658</v>
      </c>
      <c r="E1601" t="inlineStr">
        <is>
          <t>SEC</t>
        </is>
      </c>
    </row>
    <row r="1602">
      <c r="A1602" s="5">
        <f>HYPERLINK("https://finance.yahoo.com/quote/AZZ","AZZ")</f>
        <v/>
      </c>
      <c r="B1602" t="inlineStr">
        <is>
          <t>AZZ INC</t>
        </is>
      </c>
      <c r="C1602" t="inlineStr">
        <is>
          <t>NYSE</t>
        </is>
      </c>
      <c r="D1602" t="n">
        <v>8947</v>
      </c>
      <c r="E1602" t="inlineStr">
        <is>
          <t>SEC</t>
        </is>
      </c>
    </row>
    <row r="1603">
      <c r="A1603" s="5">
        <f>HYPERLINK("https://finance.yahoo.com/quote/PLNT","PLNT")</f>
        <v/>
      </c>
      <c r="B1603" t="inlineStr">
        <is>
          <t>Planet Fitness, Inc.</t>
        </is>
      </c>
      <c r="C1603" t="inlineStr">
        <is>
          <t>NYSE</t>
        </is>
      </c>
      <c r="D1603" t="n">
        <v>1637207</v>
      </c>
      <c r="E1603" t="inlineStr">
        <is>
          <t>SEC</t>
        </is>
      </c>
    </row>
    <row r="1604">
      <c r="A1604" s="5">
        <f>HYPERLINK("https://finance.yahoo.com/quote/SIM","SIM")</f>
        <v/>
      </c>
      <c r="B1604" t="inlineStr">
        <is>
          <t>GRUPO SIMEC, S.A.B. de C.V.</t>
        </is>
      </c>
      <c r="C1604" t="inlineStr">
        <is>
          <t>NYSE</t>
        </is>
      </c>
      <c r="D1604" t="n">
        <v>887153</v>
      </c>
      <c r="E1604" t="inlineStr">
        <is>
          <t>SEC</t>
        </is>
      </c>
    </row>
    <row r="1605">
      <c r="A1605" s="5">
        <f>HYPERLINK("https://finance.yahoo.com/quote/MRP","MRP")</f>
        <v/>
      </c>
      <c r="B1605" t="inlineStr">
        <is>
          <t>Millrose Properties, Inc.</t>
        </is>
      </c>
      <c r="C1605" t="inlineStr">
        <is>
          <t>NYSE</t>
        </is>
      </c>
      <c r="D1605" t="n">
        <v>2017206</v>
      </c>
      <c r="E1605" t="inlineStr">
        <is>
          <t>SEC</t>
        </is>
      </c>
    </row>
    <row r="1606">
      <c r="A1606" s="5">
        <f>HYPERLINK("https://finance.yahoo.com/quote/INDB","INDB")</f>
        <v/>
      </c>
      <c r="B1606" t="inlineStr">
        <is>
          <t>INDEPENDENT BANK CORP</t>
        </is>
      </c>
      <c r="C1606" t="inlineStr">
        <is>
          <t>Nasdaq</t>
        </is>
      </c>
      <c r="D1606" t="n">
        <v>776901</v>
      </c>
      <c r="E1606" t="inlineStr">
        <is>
          <t>SEC</t>
        </is>
      </c>
    </row>
    <row r="1607">
      <c r="A1607" s="5">
        <f>HYPERLINK("https://finance.yahoo.com/quote/SHTPY","SHTPY")</f>
        <v/>
      </c>
      <c r="B1607" t="inlineStr">
        <is>
          <t>SCHOTT Pharma AG &amp; Co. KGaA/ADR</t>
        </is>
      </c>
      <c r="C1607" t="inlineStr">
        <is>
          <t>OTC</t>
        </is>
      </c>
      <c r="D1607" t="n">
        <v>2018852</v>
      </c>
      <c r="E1607" t="inlineStr">
        <is>
          <t>SEC</t>
        </is>
      </c>
    </row>
    <row r="1608">
      <c r="A1608" s="5">
        <f>HYPERLINK("https://finance.yahoo.com/quote/MYRG","MYRG")</f>
        <v/>
      </c>
      <c r="B1608" t="inlineStr">
        <is>
          <t>MYR GROUP INC.</t>
        </is>
      </c>
      <c r="C1608" t="inlineStr">
        <is>
          <t>Nasdaq</t>
        </is>
      </c>
      <c r="D1608" t="n">
        <v>700923</v>
      </c>
      <c r="E1608" t="inlineStr">
        <is>
          <t>SEC</t>
        </is>
      </c>
    </row>
    <row r="1609">
      <c r="A1609" s="5">
        <f>HYPERLINK("https://finance.yahoo.com/quote/CAAP","CAAP")</f>
        <v/>
      </c>
      <c r="B1609" t="inlineStr">
        <is>
          <t>CORPORACION AMERICA AIRPORTS S.A.</t>
        </is>
      </c>
      <c r="C1609" t="inlineStr">
        <is>
          <t>NYSE</t>
        </is>
      </c>
      <c r="D1609" t="n">
        <v>1717393</v>
      </c>
      <c r="E1609" t="inlineStr">
        <is>
          <t>SEC</t>
        </is>
      </c>
    </row>
    <row r="1610">
      <c r="A1610" s="5">
        <f>HYPERLINK("https://finance.yahoo.com/quote/DHT","DHT")</f>
        <v/>
      </c>
      <c r="B1610" t="inlineStr">
        <is>
          <t>DHT Holdings, Inc.</t>
        </is>
      </c>
      <c r="C1610" t="inlineStr">
        <is>
          <t>NYSE</t>
        </is>
      </c>
      <c r="D1610" t="n">
        <v>1331284</v>
      </c>
      <c r="E1610" t="inlineStr">
        <is>
          <t>SEC</t>
        </is>
      </c>
    </row>
    <row r="1611">
      <c r="A1611" s="5">
        <f>HYPERLINK("https://finance.yahoo.com/quote/RLAY","RLAY")</f>
        <v/>
      </c>
      <c r="B1611" t="inlineStr">
        <is>
          <t>Relay Therapeutics, Inc.</t>
        </is>
      </c>
      <c r="C1611" t="inlineStr">
        <is>
          <t>Nasdaq</t>
        </is>
      </c>
      <c r="D1611" t="n">
        <v>1812364</v>
      </c>
      <c r="E1611" t="inlineStr">
        <is>
          <t>SEC</t>
        </is>
      </c>
    </row>
    <row r="1612">
      <c r="A1612" s="5">
        <f>HYPERLINK("https://finance.yahoo.com/quote/PVH","PVH")</f>
        <v/>
      </c>
      <c r="B1612" t="inlineStr">
        <is>
          <t>PVH CORP. /DE/</t>
        </is>
      </c>
      <c r="C1612" t="inlineStr">
        <is>
          <t>NYSE</t>
        </is>
      </c>
      <c r="D1612" t="n">
        <v>78239</v>
      </c>
      <c r="E1612" t="inlineStr">
        <is>
          <t>SEC</t>
        </is>
      </c>
    </row>
    <row r="1613">
      <c r="A1613" s="5">
        <f>HYPERLINK("https://finance.yahoo.com/quote/OLED","OLED")</f>
        <v/>
      </c>
      <c r="B1613" t="inlineStr">
        <is>
          <t>UNIVERSAL DISPLAY CORP \PA\</t>
        </is>
      </c>
      <c r="C1613" t="inlineStr">
        <is>
          <t>Nasdaq</t>
        </is>
      </c>
      <c r="D1613" t="n">
        <v>1005284</v>
      </c>
      <c r="E1613" t="inlineStr">
        <is>
          <t>SEC</t>
        </is>
      </c>
    </row>
    <row r="1614">
      <c r="A1614" s="5">
        <f>HYPERLINK("https://finance.yahoo.com/quote/CDP","CDP")</f>
        <v/>
      </c>
      <c r="B1614" t="inlineStr">
        <is>
          <t>COPT DEFENSE PROPERTIES</t>
        </is>
      </c>
      <c r="C1614" t="inlineStr">
        <is>
          <t>NYSE</t>
        </is>
      </c>
      <c r="D1614" t="n">
        <v>860546</v>
      </c>
      <c r="E1614" t="inlineStr">
        <is>
          <t>SEC</t>
        </is>
      </c>
    </row>
    <row r="1615">
      <c r="A1615" s="5">
        <f>HYPERLINK("https://finance.yahoo.com/quote/HP","HP")</f>
        <v/>
      </c>
      <c r="B1615" t="inlineStr">
        <is>
          <t>Helmerich &amp; Payne, Inc.</t>
        </is>
      </c>
      <c r="C1615" t="inlineStr">
        <is>
          <t>NYSE</t>
        </is>
      </c>
      <c r="D1615" t="n">
        <v>46765</v>
      </c>
      <c r="E1615" t="inlineStr">
        <is>
          <t>SEC</t>
        </is>
      </c>
    </row>
    <row r="1616">
      <c r="A1616" s="5">
        <f>HYPERLINK("https://finance.yahoo.com/quote/ARQT","ARQT")</f>
        <v/>
      </c>
      <c r="B1616" t="inlineStr">
        <is>
          <t>Arcutis Biotherapeutics, Inc.</t>
        </is>
      </c>
      <c r="C1616" t="inlineStr">
        <is>
          <t>Nasdaq</t>
        </is>
      </c>
      <c r="D1616" t="n">
        <v>1787306</v>
      </c>
      <c r="E1616" t="inlineStr">
        <is>
          <t>SEC</t>
        </is>
      </c>
    </row>
    <row r="1617">
      <c r="A1617" s="5">
        <f>HYPERLINK("https://finance.yahoo.com/quote/AWATY","AWATY")</f>
        <v/>
      </c>
      <c r="B1617" t="inlineStr">
        <is>
          <t>Air Water Inc./ADR</t>
        </is>
      </c>
      <c r="C1617" t="inlineStr">
        <is>
          <t>OTC</t>
        </is>
      </c>
      <c r="D1617" t="n">
        <v>2092258</v>
      </c>
      <c r="E1617" t="inlineStr">
        <is>
          <t>SEC</t>
        </is>
      </c>
    </row>
    <row r="1618">
      <c r="A1618" s="5">
        <f>HYPERLINK("https://finance.yahoo.com/quote/RGC","RGC")</f>
        <v/>
      </c>
      <c r="B1618" t="inlineStr">
        <is>
          <t>Regencell Bioscience Holdings Ltd</t>
        </is>
      </c>
      <c r="C1618" t="inlineStr">
        <is>
          <t>Nasdaq</t>
        </is>
      </c>
      <c r="D1618" t="n">
        <v>1829667</v>
      </c>
      <c r="E1618" t="inlineStr">
        <is>
          <t>SEC</t>
        </is>
      </c>
    </row>
    <row r="1619">
      <c r="A1619" s="5">
        <f>HYPERLINK("https://finance.yahoo.com/quote/SPHR","SPHR")</f>
        <v/>
      </c>
      <c r="B1619" t="inlineStr">
        <is>
          <t>Sphere Entertainment Co.</t>
        </is>
      </c>
      <c r="C1619" t="inlineStr">
        <is>
          <t>NYSE</t>
        </is>
      </c>
      <c r="D1619" t="n">
        <v>1795250</v>
      </c>
      <c r="E1619" t="inlineStr">
        <is>
          <t>SEC</t>
        </is>
      </c>
    </row>
    <row r="1620">
      <c r="A1620" s="5">
        <f>HYPERLINK("https://finance.yahoo.com/quote/PLSE","PLSE")</f>
        <v/>
      </c>
      <c r="B1620" t="inlineStr">
        <is>
          <t>PULSE BIOSCIENCES, INC.</t>
        </is>
      </c>
      <c r="C1620" t="inlineStr">
        <is>
          <t>Nasdaq</t>
        </is>
      </c>
      <c r="D1620" t="n">
        <v>1625101</v>
      </c>
      <c r="E1620" t="inlineStr">
        <is>
          <t>SEC</t>
        </is>
      </c>
    </row>
    <row r="1621">
      <c r="A1621" s="5">
        <f>HYPERLINK("https://finance.yahoo.com/quote/KLIC","KLIC")</f>
        <v/>
      </c>
      <c r="B1621" t="inlineStr">
        <is>
          <t>KULICKE &amp; SOFFA INDUSTRIES INC</t>
        </is>
      </c>
      <c r="C1621" t="inlineStr">
        <is>
          <t>Nasdaq</t>
        </is>
      </c>
      <c r="D1621" t="n">
        <v>56978</v>
      </c>
      <c r="E1621" t="inlineStr">
        <is>
          <t>SEC</t>
        </is>
      </c>
    </row>
    <row r="1622">
      <c r="A1622" s="5">
        <f>HYPERLINK("https://finance.yahoo.com/quote/FSLY","FSLY")</f>
        <v/>
      </c>
      <c r="B1622" t="inlineStr">
        <is>
          <t>Fastly, Inc.</t>
        </is>
      </c>
      <c r="C1622" t="inlineStr">
        <is>
          <t>Nasdaq</t>
        </is>
      </c>
      <c r="D1622" t="n">
        <v>1517413</v>
      </c>
      <c r="E1622" t="inlineStr">
        <is>
          <t>SEC</t>
        </is>
      </c>
    </row>
    <row r="1623">
      <c r="A1623" s="5">
        <f>HYPERLINK("https://finance.yahoo.com/quote/TAC","TAC")</f>
        <v/>
      </c>
      <c r="B1623" t="inlineStr">
        <is>
          <t>TRANSALTA CORP</t>
        </is>
      </c>
      <c r="C1623" t="inlineStr">
        <is>
          <t>NYSE</t>
        </is>
      </c>
      <c r="D1623" t="n">
        <v>1144800</v>
      </c>
      <c r="E1623" t="inlineStr">
        <is>
          <t>SEC</t>
        </is>
      </c>
    </row>
    <row r="1624">
      <c r="A1624" s="5">
        <f>HYPERLINK("https://finance.yahoo.com/quote/NP","NP")</f>
        <v/>
      </c>
      <c r="B1624" t="inlineStr">
        <is>
          <t>Neptune Insurance Holdings Inc.</t>
        </is>
      </c>
      <c r="C1624" t="inlineStr">
        <is>
          <t>NYSE</t>
        </is>
      </c>
      <c r="D1624" t="n">
        <v>2067129</v>
      </c>
      <c r="E1624" t="inlineStr">
        <is>
          <t>SEC</t>
        </is>
      </c>
    </row>
    <row r="1625">
      <c r="A1625" s="5">
        <f>HYPERLINK("https://finance.yahoo.com/quote/BWLP","BWLP")</f>
        <v/>
      </c>
      <c r="B1625" t="inlineStr">
        <is>
          <t>BW LPG Ltd</t>
        </is>
      </c>
      <c r="C1625" t="inlineStr">
        <is>
          <t>NYSE</t>
        </is>
      </c>
      <c r="D1625" t="n">
        <v>1649313</v>
      </c>
      <c r="E1625" t="inlineStr">
        <is>
          <t>SEC</t>
        </is>
      </c>
    </row>
    <row r="1626">
      <c r="A1626" s="5">
        <f>HYPERLINK("https://finance.yahoo.com/quote/JOE","JOE")</f>
        <v/>
      </c>
      <c r="B1626" t="inlineStr">
        <is>
          <t>ST JOE Co</t>
        </is>
      </c>
      <c r="C1626" t="inlineStr">
        <is>
          <t>NYSE</t>
        </is>
      </c>
      <c r="D1626" t="n">
        <v>745308</v>
      </c>
      <c r="E1626" t="inlineStr">
        <is>
          <t>SEC</t>
        </is>
      </c>
    </row>
    <row r="1627">
      <c r="A1627" s="5">
        <f>HYPERLINK("https://finance.yahoo.com/quote/RGTI","RGTI")</f>
        <v/>
      </c>
      <c r="B1627" t="inlineStr">
        <is>
          <t>Rigetti Computing, Inc.</t>
        </is>
      </c>
      <c r="C1627" t="inlineStr">
        <is>
          <t>Nasdaq</t>
        </is>
      </c>
      <c r="D1627" t="n">
        <v>1838359</v>
      </c>
      <c r="E1627" t="inlineStr">
        <is>
          <t>SEC</t>
        </is>
      </c>
    </row>
    <row r="1628">
      <c r="A1628" s="5">
        <f>HYPERLINK("https://finance.yahoo.com/quote/BTE","BTE")</f>
        <v/>
      </c>
      <c r="B1628" t="inlineStr">
        <is>
          <t>BAYTEX ENERGY CORP.</t>
        </is>
      </c>
      <c r="C1628" t="inlineStr">
        <is>
          <t>NYSE</t>
        </is>
      </c>
      <c r="D1628" t="n">
        <v>1279495</v>
      </c>
      <c r="E1628" t="inlineStr">
        <is>
          <t>SEC</t>
        </is>
      </c>
    </row>
    <row r="1629">
      <c r="A1629" s="5">
        <f>HYPERLINK("https://finance.yahoo.com/quote/AIR","AIR")</f>
        <v/>
      </c>
      <c r="B1629" t="inlineStr">
        <is>
          <t>AAR CORP</t>
        </is>
      </c>
      <c r="C1629" t="inlineStr">
        <is>
          <t>NYSE</t>
        </is>
      </c>
      <c r="D1629" t="n">
        <v>1750</v>
      </c>
      <c r="E1629" t="inlineStr">
        <is>
          <t>SEC</t>
        </is>
      </c>
    </row>
    <row r="1630">
      <c r="A1630" s="5">
        <f>HYPERLINK("https://finance.yahoo.com/quote/SLG","SLG")</f>
        <v/>
      </c>
      <c r="B1630" t="inlineStr">
        <is>
          <t>SL GREEN REALTY CORP</t>
        </is>
      </c>
      <c r="C1630" t="inlineStr">
        <is>
          <t>NYSE</t>
        </is>
      </c>
      <c r="D1630" t="n">
        <v>1040971</v>
      </c>
      <c r="E1630" t="inlineStr">
        <is>
          <t>SEC</t>
        </is>
      </c>
    </row>
    <row r="1631">
      <c r="A1631" s="5">
        <f>HYPERLINK("https://finance.yahoo.com/quote/PARR","PARR")</f>
        <v/>
      </c>
      <c r="B1631" t="inlineStr">
        <is>
          <t>PAR PACIFIC HOLDINGS, INC.</t>
        </is>
      </c>
      <c r="C1631" t="inlineStr">
        <is>
          <t>NYSE</t>
        </is>
      </c>
      <c r="D1631" t="n">
        <v>821483</v>
      </c>
      <c r="E1631" t="inlineStr">
        <is>
          <t>SEC</t>
        </is>
      </c>
    </row>
    <row r="1632">
      <c r="A1632" s="5">
        <f>HYPERLINK("https://finance.yahoo.com/quote/RSI","RSI")</f>
        <v/>
      </c>
      <c r="B1632" t="inlineStr">
        <is>
          <t>Rush Street Interactive, Inc.</t>
        </is>
      </c>
      <c r="C1632" t="inlineStr">
        <is>
          <t>NYSE</t>
        </is>
      </c>
      <c r="D1632" t="n">
        <v>1793659</v>
      </c>
      <c r="E1632" t="inlineStr">
        <is>
          <t>SEC</t>
        </is>
      </c>
    </row>
    <row r="1633">
      <c r="A1633" s="5">
        <f>HYPERLINK("https://finance.yahoo.com/quote/DPC","DPC")</f>
        <v/>
      </c>
      <c r="B1633" t="inlineStr">
        <is>
          <t>DPC Holdings PLC</t>
        </is>
      </c>
      <c r="C1633" t="inlineStr">
        <is>
          <t>NYSE</t>
        </is>
      </c>
      <c r="D1633" t="n">
        <v>2107018</v>
      </c>
      <c r="E1633" t="inlineStr">
        <is>
          <t>SEC</t>
        </is>
      </c>
    </row>
    <row r="1634">
      <c r="A1634" s="5">
        <f>HYPERLINK("https://finance.yahoo.com/quote/ITRI","ITRI")</f>
        <v/>
      </c>
      <c r="B1634" t="inlineStr">
        <is>
          <t>ITRON, INC.</t>
        </is>
      </c>
      <c r="C1634" t="inlineStr">
        <is>
          <t>Nasdaq</t>
        </is>
      </c>
      <c r="D1634" t="n">
        <v>780571</v>
      </c>
      <c r="E1634" t="inlineStr">
        <is>
          <t>SEC</t>
        </is>
      </c>
    </row>
    <row r="1635">
      <c r="A1635" s="5">
        <f>HYPERLINK("https://finance.yahoo.com/quote/VCYT","VCYT")</f>
        <v/>
      </c>
      <c r="B1635" t="inlineStr">
        <is>
          <t>VERACYTE, INC.</t>
        </is>
      </c>
      <c r="C1635" t="inlineStr">
        <is>
          <t>Nasdaq</t>
        </is>
      </c>
      <c r="D1635" t="n">
        <v>1384101</v>
      </c>
      <c r="E1635" t="inlineStr">
        <is>
          <t>SEC</t>
        </is>
      </c>
    </row>
    <row r="1636">
      <c r="A1636" s="5">
        <f>HYPERLINK("https://finance.yahoo.com/quote/OII","OII")</f>
        <v/>
      </c>
      <c r="B1636" t="inlineStr">
        <is>
          <t>OCEANEERING INTERNATIONAL INC</t>
        </is>
      </c>
      <c r="C1636" t="inlineStr">
        <is>
          <t>NYSE</t>
        </is>
      </c>
      <c r="D1636" t="n">
        <v>73756</v>
      </c>
      <c r="E1636" t="inlineStr">
        <is>
          <t>SEC</t>
        </is>
      </c>
    </row>
    <row r="1637">
      <c r="A1637" s="5">
        <f>HYPERLINK("https://finance.yahoo.com/quote/DNP","DNP")</f>
        <v/>
      </c>
      <c r="B1637" t="inlineStr">
        <is>
          <t>DNP SELECT INCOME FUND INC</t>
        </is>
      </c>
      <c r="C1637" t="inlineStr">
        <is>
          <t>NYSE</t>
        </is>
      </c>
      <c r="D1637" t="n">
        <v>806628</v>
      </c>
      <c r="E1637" t="inlineStr">
        <is>
          <t>SEC</t>
        </is>
      </c>
    </row>
    <row r="1638">
      <c r="A1638" s="5">
        <f>HYPERLINK("https://finance.yahoo.com/quote/BFH","BFH")</f>
        <v/>
      </c>
      <c r="B1638" t="inlineStr">
        <is>
          <t>BREAD FINANCIAL HOLDINGS, INC.</t>
        </is>
      </c>
      <c r="C1638" t="inlineStr">
        <is>
          <t>NYSE</t>
        </is>
      </c>
      <c r="D1638" t="n">
        <v>1101215</v>
      </c>
      <c r="E1638" t="inlineStr">
        <is>
          <t>SEC</t>
        </is>
      </c>
    </row>
    <row r="1639">
      <c r="A1639" s="5">
        <f>HYPERLINK("https://finance.yahoo.com/quote/BRC","BRC")</f>
        <v/>
      </c>
      <c r="B1639" t="inlineStr">
        <is>
          <t>BRADY CORP</t>
        </is>
      </c>
      <c r="C1639" t="inlineStr">
        <is>
          <t>NYSE</t>
        </is>
      </c>
      <c r="D1639" t="n">
        <v>746598</v>
      </c>
      <c r="E1639" t="inlineStr">
        <is>
          <t>SEC</t>
        </is>
      </c>
    </row>
    <row r="1640">
      <c r="A1640" s="5">
        <f>HYPERLINK("https://finance.yahoo.com/quote/ABCL","ABCL")</f>
        <v/>
      </c>
      <c r="B1640" t="inlineStr">
        <is>
          <t>AbCellera Biologics Inc.</t>
        </is>
      </c>
      <c r="C1640" t="inlineStr">
        <is>
          <t>Nasdaq</t>
        </is>
      </c>
      <c r="D1640" t="n">
        <v>1703057</v>
      </c>
      <c r="E1640" t="inlineStr">
        <is>
          <t>SEC</t>
        </is>
      </c>
    </row>
    <row r="1641">
      <c r="A1641" s="5">
        <f>HYPERLINK("https://finance.yahoo.com/quote/NVST","NVST")</f>
        <v/>
      </c>
      <c r="B1641" t="inlineStr">
        <is>
          <t>Envista Holdings Corp</t>
        </is>
      </c>
      <c r="C1641" t="inlineStr">
        <is>
          <t>NYSE</t>
        </is>
      </c>
      <c r="D1641" t="n">
        <v>1757073</v>
      </c>
      <c r="E1641" t="inlineStr">
        <is>
          <t>SEC</t>
        </is>
      </c>
    </row>
    <row r="1642">
      <c r="A1642" s="5">
        <f>HYPERLINK("https://finance.yahoo.com/quote/ALK","ALK")</f>
        <v/>
      </c>
      <c r="B1642" t="inlineStr">
        <is>
          <t>ALASKA AIR GROUP, INC.</t>
        </is>
      </c>
      <c r="C1642" t="inlineStr">
        <is>
          <t>NYSE</t>
        </is>
      </c>
      <c r="D1642" t="n">
        <v>766421</v>
      </c>
      <c r="E1642" t="inlineStr">
        <is>
          <t>SEC</t>
        </is>
      </c>
    </row>
    <row r="1643">
      <c r="A1643" s="5">
        <f>HYPERLINK("https://finance.yahoo.com/quote/RNST","RNST")</f>
        <v/>
      </c>
      <c r="B1643" t="inlineStr">
        <is>
          <t>RENASANT CORP</t>
        </is>
      </c>
      <c r="C1643" t="inlineStr">
        <is>
          <t>NYSE</t>
        </is>
      </c>
      <c r="D1643" t="n">
        <v>715072</v>
      </c>
      <c r="E1643" t="inlineStr">
        <is>
          <t>SEC</t>
        </is>
      </c>
    </row>
    <row r="1644">
      <c r="A1644" s="5">
        <f>HYPERLINK("https://finance.yahoo.com/quote/SUNC","SUNC")</f>
        <v/>
      </c>
      <c r="B1644" t="inlineStr">
        <is>
          <t>SunocoCorp LLC</t>
        </is>
      </c>
      <c r="C1644" t="inlineStr">
        <is>
          <t>TXSE</t>
        </is>
      </c>
      <c r="D1644" t="n">
        <v>2089661</v>
      </c>
      <c r="E1644" t="inlineStr">
        <is>
          <t>SEC</t>
        </is>
      </c>
    </row>
    <row r="1645">
      <c r="A1645" s="5">
        <f>HYPERLINK("https://finance.yahoo.com/quote/OTTR","OTTR")</f>
        <v/>
      </c>
      <c r="B1645" t="inlineStr">
        <is>
          <t>Otter Tail Corp</t>
        </is>
      </c>
      <c r="C1645" t="inlineStr">
        <is>
          <t>Nasdaq</t>
        </is>
      </c>
      <c r="D1645" t="n">
        <v>1466593</v>
      </c>
      <c r="E1645" t="inlineStr">
        <is>
          <t>SEC</t>
        </is>
      </c>
    </row>
    <row r="1646">
      <c r="A1646" s="5">
        <f>HYPERLINK("https://finance.yahoo.com/quote/LQDA","LQDA")</f>
        <v/>
      </c>
      <c r="B1646" t="inlineStr">
        <is>
          <t>Liquidia Corp</t>
        </is>
      </c>
      <c r="C1646" t="inlineStr">
        <is>
          <t>Nasdaq</t>
        </is>
      </c>
      <c r="D1646" t="n">
        <v>1819576</v>
      </c>
      <c r="E1646" t="inlineStr">
        <is>
          <t>SEC</t>
        </is>
      </c>
    </row>
    <row r="1647">
      <c r="A1647" s="5">
        <f>HYPERLINK("https://finance.yahoo.com/quote/CBT","CBT")</f>
        <v/>
      </c>
      <c r="B1647" t="inlineStr">
        <is>
          <t>CABOT CORP</t>
        </is>
      </c>
      <c r="C1647" t="inlineStr">
        <is>
          <t>NYSE</t>
        </is>
      </c>
      <c r="D1647" t="n">
        <v>16040</v>
      </c>
      <c r="E1647" t="inlineStr">
        <is>
          <t>SEC</t>
        </is>
      </c>
    </row>
    <row r="1648">
      <c r="A1648" s="5">
        <f>HYPERLINK("https://finance.yahoo.com/quote/APPN","APPN")</f>
        <v/>
      </c>
      <c r="B1648" t="inlineStr">
        <is>
          <t>APPIAN CORP</t>
        </is>
      </c>
      <c r="C1648" t="inlineStr">
        <is>
          <t>Nasdaq</t>
        </is>
      </c>
      <c r="D1648" t="n">
        <v>1441683</v>
      </c>
      <c r="E1648" t="inlineStr">
        <is>
          <t>SEC</t>
        </is>
      </c>
    </row>
    <row r="1649">
      <c r="A1649" s="5">
        <f>HYPERLINK("https://finance.yahoo.com/quote/DIOD","DIOD")</f>
        <v/>
      </c>
      <c r="B1649" t="inlineStr">
        <is>
          <t>DIODES INC /DEL/</t>
        </is>
      </c>
      <c r="C1649" t="inlineStr">
        <is>
          <t>Nasdaq</t>
        </is>
      </c>
      <c r="D1649" t="n">
        <v>29002</v>
      </c>
      <c r="E1649" t="inlineStr">
        <is>
          <t>SEC</t>
        </is>
      </c>
    </row>
    <row r="1650">
      <c r="A1650" s="5">
        <f>HYPERLINK("https://finance.yahoo.com/quote/PLMR","PLMR")</f>
        <v/>
      </c>
      <c r="B1650" t="inlineStr">
        <is>
          <t>Palomar Holdings, Inc.</t>
        </is>
      </c>
      <c r="C1650" t="inlineStr">
        <is>
          <t>Nasdaq</t>
        </is>
      </c>
      <c r="D1650" t="n">
        <v>1761312</v>
      </c>
      <c r="E1650" t="inlineStr">
        <is>
          <t>SEC</t>
        </is>
      </c>
    </row>
    <row r="1651">
      <c r="A1651" s="5">
        <f>HYPERLINK("https://finance.yahoo.com/quote/AVNT","AVNT")</f>
        <v/>
      </c>
      <c r="B1651" t="inlineStr">
        <is>
          <t>AVIENT CORP</t>
        </is>
      </c>
      <c r="C1651" t="inlineStr">
        <is>
          <t>NYSE</t>
        </is>
      </c>
      <c r="D1651" t="n">
        <v>1122976</v>
      </c>
      <c r="E1651" t="inlineStr">
        <is>
          <t>SEC</t>
        </is>
      </c>
    </row>
    <row r="1652">
      <c r="A1652" s="5">
        <f>HYPERLINK("https://finance.yahoo.com/quote/VAC","VAC")</f>
        <v/>
      </c>
      <c r="B1652" t="inlineStr">
        <is>
          <t>MARRIOTT VACATIONS WORLDWIDE Corp</t>
        </is>
      </c>
      <c r="C1652" t="inlineStr">
        <is>
          <t>NYSE</t>
        </is>
      </c>
      <c r="D1652" t="n">
        <v>1524358</v>
      </c>
      <c r="E1652" t="inlineStr">
        <is>
          <t>SEC</t>
        </is>
      </c>
    </row>
    <row r="1653">
      <c r="A1653" s="5">
        <f>HYPERLINK("https://finance.yahoo.com/quote/WSBC","WSBC")</f>
        <v/>
      </c>
      <c r="B1653" t="inlineStr">
        <is>
          <t>WESBANCO INC</t>
        </is>
      </c>
      <c r="C1653" t="inlineStr">
        <is>
          <t>Nasdaq</t>
        </is>
      </c>
      <c r="D1653" t="n">
        <v>203596</v>
      </c>
      <c r="E1653" t="inlineStr">
        <is>
          <t>SEC</t>
        </is>
      </c>
    </row>
    <row r="1654">
      <c r="A1654" s="5">
        <f>HYPERLINK("https://finance.yahoo.com/quote/BANF","BANF")</f>
        <v/>
      </c>
      <c r="B1654" t="inlineStr">
        <is>
          <t>BANCFIRST CORP /OK/</t>
        </is>
      </c>
      <c r="C1654" t="inlineStr">
        <is>
          <t>Nasdaq</t>
        </is>
      </c>
      <c r="D1654" t="n">
        <v>760498</v>
      </c>
      <c r="E1654" t="inlineStr">
        <is>
          <t>SEC</t>
        </is>
      </c>
    </row>
    <row r="1655">
      <c r="A1655" s="5">
        <f>HYPERLINK("https://finance.yahoo.com/quote/HYPMY","HYPMY")</f>
        <v/>
      </c>
      <c r="B1655" t="inlineStr">
        <is>
          <t>Hypermarcas S.A.</t>
        </is>
      </c>
      <c r="C1655" t="inlineStr">
        <is>
          <t>OTC</t>
        </is>
      </c>
      <c r="D1655" t="n">
        <v>1486749</v>
      </c>
      <c r="E1655" t="inlineStr">
        <is>
          <t>SEC</t>
        </is>
      </c>
    </row>
    <row r="1656">
      <c r="A1656" s="5">
        <f>HYPERLINK("https://finance.yahoo.com/quote/LIF","LIF")</f>
        <v/>
      </c>
      <c r="B1656" t="inlineStr">
        <is>
          <t>Life360, Inc.</t>
        </is>
      </c>
      <c r="C1656" t="inlineStr">
        <is>
          <t>Nasdaq</t>
        </is>
      </c>
      <c r="D1656" t="n">
        <v>1581760</v>
      </c>
      <c r="E1656" t="inlineStr">
        <is>
          <t>SEC</t>
        </is>
      </c>
    </row>
    <row r="1657">
      <c r="A1657" s="5">
        <f>HYPERLINK("https://finance.yahoo.com/quote/AKO-A","AKO-A")</f>
        <v/>
      </c>
      <c r="B1657" t="inlineStr">
        <is>
          <t>ANDINA BOTTLING CO INC</t>
        </is>
      </c>
      <c r="C1657" t="inlineStr">
        <is>
          <t>NYSE</t>
        </is>
      </c>
      <c r="D1657" t="n">
        <v>925261</v>
      </c>
      <c r="E1657" t="inlineStr">
        <is>
          <t>SEC</t>
        </is>
      </c>
    </row>
    <row r="1658">
      <c r="A1658" s="5">
        <f>HYPERLINK("https://finance.yahoo.com/quote/NHC","NHC")</f>
        <v/>
      </c>
      <c r="B1658" t="inlineStr">
        <is>
          <t>NATIONAL HEALTHCARE CORP</t>
        </is>
      </c>
      <c r="C1658" t="inlineStr">
        <is>
          <t>NYSE</t>
        </is>
      </c>
      <c r="D1658" t="n">
        <v>1047335</v>
      </c>
      <c r="E1658" t="inlineStr">
        <is>
          <t>SEC</t>
        </is>
      </c>
    </row>
    <row r="1659">
      <c r="A1659" s="5">
        <f>HYPERLINK("https://finance.yahoo.com/quote/LION","LION")</f>
        <v/>
      </c>
      <c r="B1659" t="inlineStr">
        <is>
          <t>Lionsgate Studios Corp.</t>
        </is>
      </c>
      <c r="C1659" t="inlineStr">
        <is>
          <t>NYSE</t>
        </is>
      </c>
      <c r="D1659" t="n">
        <v>2052959</v>
      </c>
      <c r="E1659" t="inlineStr">
        <is>
          <t>SEC</t>
        </is>
      </c>
    </row>
    <row r="1660">
      <c r="A1660" s="5">
        <f>HYPERLINK("https://finance.yahoo.com/quote/MIR","MIR")</f>
        <v/>
      </c>
      <c r="B1660" t="inlineStr">
        <is>
          <t>Mirion Technologies, Inc.</t>
        </is>
      </c>
      <c r="C1660" t="inlineStr">
        <is>
          <t>NYSE</t>
        </is>
      </c>
      <c r="D1660" t="n">
        <v>1809987</v>
      </c>
      <c r="E1660" t="inlineStr">
        <is>
          <t>SEC</t>
        </is>
      </c>
    </row>
    <row r="1661">
      <c r="A1661" s="5">
        <f>HYPERLINK("https://finance.yahoo.com/quote/SEB","SEB")</f>
        <v/>
      </c>
      <c r="B1661" t="inlineStr">
        <is>
          <t>SEABOARD CORP /DE/</t>
        </is>
      </c>
      <c r="C1661" t="inlineStr">
        <is>
          <t>NYSE</t>
        </is>
      </c>
      <c r="D1661" t="n">
        <v>88121</v>
      </c>
      <c r="E1661" t="inlineStr">
        <is>
          <t>SEC</t>
        </is>
      </c>
    </row>
    <row r="1662">
      <c r="A1662" s="5">
        <f>HYPERLINK("https://finance.yahoo.com/quote/SLM","SLM")</f>
        <v/>
      </c>
      <c r="B1662" t="inlineStr">
        <is>
          <t>SLM Corp</t>
        </is>
      </c>
      <c r="C1662" t="inlineStr">
        <is>
          <t>Nasdaq</t>
        </is>
      </c>
      <c r="D1662" t="n">
        <v>1032033</v>
      </c>
      <c r="E1662" t="inlineStr">
        <is>
          <t>SEC</t>
        </is>
      </c>
    </row>
    <row r="1663">
      <c r="A1663" s="5">
        <f>HYPERLINK("https://finance.yahoo.com/quote/LEGN","LEGN")</f>
        <v/>
      </c>
      <c r="B1663" t="inlineStr">
        <is>
          <t>Legend Biotech Corp</t>
        </is>
      </c>
      <c r="C1663" t="inlineStr">
        <is>
          <t>Nasdaq</t>
        </is>
      </c>
      <c r="D1663" t="n">
        <v>1801198</v>
      </c>
      <c r="E1663" t="inlineStr">
        <is>
          <t>SEC</t>
        </is>
      </c>
    </row>
    <row r="1664">
      <c r="A1664" s="5">
        <f>HYPERLINK("https://finance.yahoo.com/quote/UEC","UEC")</f>
        <v/>
      </c>
      <c r="B1664" t="inlineStr">
        <is>
          <t>URANIUM ENERGY CORP</t>
        </is>
      </c>
      <c r="C1664" t="inlineStr">
        <is>
          <t>NYSE</t>
        </is>
      </c>
      <c r="D1664" t="n">
        <v>1334933</v>
      </c>
      <c r="E1664" t="inlineStr">
        <is>
          <t>SEC</t>
        </is>
      </c>
    </row>
    <row r="1665">
      <c r="A1665" s="5">
        <f>HYPERLINK("https://finance.yahoo.com/quote/BNL","BNL")</f>
        <v/>
      </c>
      <c r="B1665" t="inlineStr">
        <is>
          <t>Broadstone Net Lease, Inc.</t>
        </is>
      </c>
      <c r="C1665" t="inlineStr">
        <is>
          <t>NYSE</t>
        </is>
      </c>
      <c r="D1665" t="n">
        <v>1424182</v>
      </c>
      <c r="E1665" t="inlineStr">
        <is>
          <t>SEC</t>
        </is>
      </c>
    </row>
    <row r="1666">
      <c r="A1666" s="5">
        <f>HYPERLINK("https://finance.yahoo.com/quote/ECO","ECO")</f>
        <v/>
      </c>
      <c r="B1666" t="inlineStr">
        <is>
          <t>Okeanis Eco Tankers Corp.</t>
        </is>
      </c>
      <c r="C1666" t="inlineStr">
        <is>
          <t>NYSE</t>
        </is>
      </c>
      <c r="D1666" t="n">
        <v>1964954</v>
      </c>
      <c r="E1666" t="inlineStr">
        <is>
          <t>SEC</t>
        </is>
      </c>
    </row>
    <row r="1667">
      <c r="A1667" s="5">
        <f>HYPERLINK("https://finance.yahoo.com/quote/EE","EE")</f>
        <v/>
      </c>
      <c r="B1667" t="inlineStr">
        <is>
          <t>Excelerate Energy, Inc.</t>
        </is>
      </c>
      <c r="C1667" t="inlineStr">
        <is>
          <t>NYSE</t>
        </is>
      </c>
      <c r="D1667" t="n">
        <v>1888447</v>
      </c>
      <c r="E1667" t="inlineStr">
        <is>
          <t>SEC</t>
        </is>
      </c>
    </row>
    <row r="1668">
      <c r="A1668" s="5">
        <f>HYPERLINK("https://finance.yahoo.com/quote/DORM","DORM")</f>
        <v/>
      </c>
      <c r="B1668" t="inlineStr">
        <is>
          <t>Dorman Products, Inc.</t>
        </is>
      </c>
      <c r="C1668" t="inlineStr">
        <is>
          <t>Nasdaq</t>
        </is>
      </c>
      <c r="D1668" t="n">
        <v>868780</v>
      </c>
      <c r="E1668" t="inlineStr">
        <is>
          <t>SEC</t>
        </is>
      </c>
    </row>
    <row r="1669">
      <c r="A1669" s="5">
        <f>HYPERLINK("https://finance.yahoo.com/quote/IPAR","IPAR")</f>
        <v/>
      </c>
      <c r="B1669" t="inlineStr">
        <is>
          <t>INTERPARFUMS INC</t>
        </is>
      </c>
      <c r="C1669" t="inlineStr">
        <is>
          <t>Nasdaq</t>
        </is>
      </c>
      <c r="D1669" t="n">
        <v>822663</v>
      </c>
      <c r="E1669" t="inlineStr">
        <is>
          <t>SEC</t>
        </is>
      </c>
    </row>
    <row r="1670">
      <c r="A1670" s="5">
        <f>HYPERLINK("https://finance.yahoo.com/quote/ASO","ASO")</f>
        <v/>
      </c>
      <c r="B1670" t="inlineStr">
        <is>
          <t>Academy Sports &amp; Outdoors, Inc.</t>
        </is>
      </c>
      <c r="C1670" t="inlineStr">
        <is>
          <t>Nasdaq</t>
        </is>
      </c>
      <c r="D1670" t="n">
        <v>1817358</v>
      </c>
      <c r="E1670" t="inlineStr">
        <is>
          <t>SEC</t>
        </is>
      </c>
    </row>
    <row r="1671">
      <c r="A1671" s="5">
        <f>HYPERLINK("https://finance.yahoo.com/quote/ONDS","ONDS")</f>
        <v/>
      </c>
      <c r="B1671" t="inlineStr">
        <is>
          <t>Ondas Inc.</t>
        </is>
      </c>
      <c r="C1671" t="inlineStr">
        <is>
          <t>Nasdaq</t>
        </is>
      </c>
      <c r="D1671" t="n">
        <v>1646188</v>
      </c>
      <c r="E1671" t="inlineStr">
        <is>
          <t>SEC</t>
        </is>
      </c>
    </row>
    <row r="1672">
      <c r="A1672" s="5">
        <f>HYPERLINK("https://finance.yahoo.com/quote/BMRRY","BMRRY")</f>
        <v/>
      </c>
      <c r="B1672" t="inlineStr">
        <is>
          <t>B&amp;M European Value Retail S.A./ADR</t>
        </is>
      </c>
      <c r="C1672" t="inlineStr">
        <is>
          <t>OTC</t>
        </is>
      </c>
      <c r="D1672" t="n">
        <v>1671235</v>
      </c>
      <c r="E1672" t="inlineStr">
        <is>
          <t>SEC</t>
        </is>
      </c>
    </row>
    <row r="1673">
      <c r="A1673" s="5">
        <f>HYPERLINK("https://finance.yahoo.com/quote/INTA","INTA")</f>
        <v/>
      </c>
      <c r="B1673" t="inlineStr">
        <is>
          <t>Intapp, Inc.</t>
        </is>
      </c>
      <c r="C1673" t="inlineStr">
        <is>
          <t>Nasdaq</t>
        </is>
      </c>
      <c r="D1673" t="n">
        <v>1565687</v>
      </c>
      <c r="E1673" t="inlineStr">
        <is>
          <t>SEC</t>
        </is>
      </c>
    </row>
    <row r="1674">
      <c r="A1674" s="5">
        <f>HYPERLINK("https://finance.yahoo.com/quote/EXPO","EXPO")</f>
        <v/>
      </c>
      <c r="B1674" t="inlineStr">
        <is>
          <t>EXPONENT INC</t>
        </is>
      </c>
      <c r="C1674" t="inlineStr">
        <is>
          <t>Nasdaq</t>
        </is>
      </c>
      <c r="D1674" t="n">
        <v>851520</v>
      </c>
      <c r="E1674" t="inlineStr">
        <is>
          <t>SEC</t>
        </is>
      </c>
    </row>
    <row r="1675">
      <c r="A1675" s="5">
        <f>HYPERLINK("https://finance.yahoo.com/quote/XXI","XXI")</f>
        <v/>
      </c>
      <c r="B1675" t="inlineStr">
        <is>
          <t>Twenty One Capital, Inc.</t>
        </is>
      </c>
      <c r="C1675" t="inlineStr">
        <is>
          <t>NYSE</t>
        </is>
      </c>
      <c r="D1675" t="n">
        <v>2070457</v>
      </c>
      <c r="E1675" t="inlineStr">
        <is>
          <t>SEC</t>
        </is>
      </c>
    </row>
    <row r="1676">
      <c r="A1676" s="5">
        <f>HYPERLINK("https://finance.yahoo.com/quote/ATMU","ATMU")</f>
        <v/>
      </c>
      <c r="B1676" t="inlineStr">
        <is>
          <t>Atmus Filtration Technologies Inc.</t>
        </is>
      </c>
      <c r="C1676" t="inlineStr">
        <is>
          <t>NYSE</t>
        </is>
      </c>
      <c r="D1676" t="n">
        <v>1921963</v>
      </c>
      <c r="E1676" t="inlineStr">
        <is>
          <t>SEC</t>
        </is>
      </c>
    </row>
    <row r="1677">
      <c r="A1677" s="5">
        <f>HYPERLINK("https://finance.yahoo.com/quote/CNS","CNS")</f>
        <v/>
      </c>
      <c r="B1677" t="inlineStr">
        <is>
          <t>COHEN &amp; STEERS, INC.</t>
        </is>
      </c>
      <c r="C1677" t="inlineStr">
        <is>
          <t>NYSE</t>
        </is>
      </c>
      <c r="D1677" t="n">
        <v>1284812</v>
      </c>
      <c r="E1677" t="inlineStr">
        <is>
          <t>SEC</t>
        </is>
      </c>
    </row>
    <row r="1678">
      <c r="A1678" s="5">
        <f>HYPERLINK("https://finance.yahoo.com/quote/USAC","USAC")</f>
        <v/>
      </c>
      <c r="B1678" t="inlineStr">
        <is>
          <t>USA Compression Partners, LP</t>
        </is>
      </c>
      <c r="C1678" t="inlineStr">
        <is>
          <t>TXSE</t>
        </is>
      </c>
      <c r="D1678" t="n">
        <v>1522727</v>
      </c>
      <c r="E1678" t="inlineStr">
        <is>
          <t>SEC</t>
        </is>
      </c>
    </row>
    <row r="1679">
      <c r="A1679" s="5">
        <f>HYPERLINK("https://finance.yahoo.com/quote/MSGE","MSGE")</f>
        <v/>
      </c>
      <c r="B1679" t="inlineStr">
        <is>
          <t>Madison Square Garden Entertainment Corp.</t>
        </is>
      </c>
      <c r="C1679" t="inlineStr">
        <is>
          <t>NYSE</t>
        </is>
      </c>
      <c r="D1679" t="n">
        <v>1952073</v>
      </c>
      <c r="E1679" t="inlineStr">
        <is>
          <t>SEC</t>
        </is>
      </c>
    </row>
    <row r="1680">
      <c r="A1680" s="5">
        <f>HYPERLINK("https://finance.yahoo.com/quote/WBI","WBI")</f>
        <v/>
      </c>
      <c r="B1680" t="inlineStr">
        <is>
          <t>WaterBridge Infrastructure LLC</t>
        </is>
      </c>
      <c r="C1680" t="inlineStr">
        <is>
          <t>NYSE</t>
        </is>
      </c>
      <c r="D1680" t="n">
        <v>2064947</v>
      </c>
      <c r="E1680" t="inlineStr">
        <is>
          <t>SEC</t>
        </is>
      </c>
    </row>
    <row r="1681">
      <c r="A1681" s="5">
        <f>HYPERLINK("https://finance.yahoo.com/quote/FA","FA")</f>
        <v/>
      </c>
      <c r="B1681" t="inlineStr">
        <is>
          <t>FIRST ADVANTAGE CORP</t>
        </is>
      </c>
      <c r="C1681" t="inlineStr">
        <is>
          <t>Nasdaq</t>
        </is>
      </c>
      <c r="D1681" t="n">
        <v>1210677</v>
      </c>
      <c r="E1681" t="inlineStr">
        <is>
          <t>SEC</t>
        </is>
      </c>
    </row>
    <row r="1682">
      <c r="A1682" s="5">
        <f>HYPERLINK("https://finance.yahoo.com/quote/ZGN","ZGN")</f>
        <v/>
      </c>
      <c r="B1682" t="inlineStr">
        <is>
          <t>Ermenegildo Zegna N.V.</t>
        </is>
      </c>
      <c r="C1682" t="inlineStr">
        <is>
          <t>NYSE</t>
        </is>
      </c>
      <c r="D1682" t="n">
        <v>1877787</v>
      </c>
      <c r="E1682" t="inlineStr">
        <is>
          <t>SEC</t>
        </is>
      </c>
    </row>
    <row r="1683">
      <c r="A1683" s="5">
        <f>HYPERLINK("https://finance.yahoo.com/quote/OGN","OGN")</f>
        <v/>
      </c>
      <c r="B1683" t="inlineStr">
        <is>
          <t>Organon &amp; Co.</t>
        </is>
      </c>
      <c r="C1683" t="inlineStr">
        <is>
          <t>NYSE</t>
        </is>
      </c>
      <c r="D1683" t="n">
        <v>1821825</v>
      </c>
      <c r="E1683" t="inlineStr">
        <is>
          <t>SEC</t>
        </is>
      </c>
    </row>
    <row r="1684">
      <c r="A1684" s="5">
        <f>HYPERLINK("https://finance.yahoo.com/quote/LAZ","LAZ")</f>
        <v/>
      </c>
      <c r="B1684" t="inlineStr">
        <is>
          <t>Lazard, Inc.</t>
        </is>
      </c>
      <c r="C1684" t="inlineStr">
        <is>
          <t>NYSE</t>
        </is>
      </c>
      <c r="D1684" t="n">
        <v>1311370</v>
      </c>
      <c r="E1684" t="inlineStr">
        <is>
          <t>SEC</t>
        </is>
      </c>
    </row>
    <row r="1685">
      <c r="A1685" s="5">
        <f>HYPERLINK("https://finance.yahoo.com/quote/CAR","CAR")</f>
        <v/>
      </c>
      <c r="B1685" t="inlineStr">
        <is>
          <t>AVIS BUDGET GROUP, INC.</t>
        </is>
      </c>
      <c r="C1685" t="inlineStr">
        <is>
          <t>Nasdaq</t>
        </is>
      </c>
      <c r="D1685" t="n">
        <v>723612</v>
      </c>
      <c r="E1685" t="inlineStr">
        <is>
          <t>SEC</t>
        </is>
      </c>
    </row>
    <row r="1686">
      <c r="A1686" s="5">
        <f>HYPERLINK("https://finance.yahoo.com/quote/IRT","IRT")</f>
        <v/>
      </c>
      <c r="B1686" t="inlineStr">
        <is>
          <t>INDEPENDENCE REALTY TRUST, INC.</t>
        </is>
      </c>
      <c r="C1686" t="inlineStr">
        <is>
          <t>NYSE</t>
        </is>
      </c>
      <c r="D1686" t="n">
        <v>1466085</v>
      </c>
      <c r="E1686" t="inlineStr">
        <is>
          <t>SEC</t>
        </is>
      </c>
    </row>
    <row r="1687">
      <c r="A1687" s="5">
        <f>HYPERLINK("https://finance.yahoo.com/quote/LXP","LXP")</f>
        <v/>
      </c>
      <c r="B1687" t="inlineStr">
        <is>
          <t>LXP Industrial Trust</t>
        </is>
      </c>
      <c r="C1687" t="inlineStr">
        <is>
          <t>NYSE</t>
        </is>
      </c>
      <c r="D1687" t="n">
        <v>910108</v>
      </c>
      <c r="E1687" t="inlineStr">
        <is>
          <t>SEC</t>
        </is>
      </c>
    </row>
    <row r="1688">
      <c r="A1688" s="5">
        <f>HYPERLINK("https://finance.yahoo.com/quote/GEO","GEO")</f>
        <v/>
      </c>
      <c r="B1688" t="inlineStr">
        <is>
          <t>GEO GROUP INC</t>
        </is>
      </c>
      <c r="C1688" t="inlineStr">
        <is>
          <t>NYSE</t>
        </is>
      </c>
      <c r="D1688" t="n">
        <v>923796</v>
      </c>
      <c r="E1688" t="inlineStr">
        <is>
          <t>SEC</t>
        </is>
      </c>
    </row>
    <row r="1689">
      <c r="A1689" s="5">
        <f>HYPERLINK("https://finance.yahoo.com/quote/CDNA","CDNA")</f>
        <v/>
      </c>
      <c r="B1689" t="inlineStr">
        <is>
          <t>CareDx, Inc.</t>
        </is>
      </c>
      <c r="C1689" t="inlineStr">
        <is>
          <t>Nasdaq</t>
        </is>
      </c>
      <c r="D1689" t="n">
        <v>1217234</v>
      </c>
      <c r="E1689" t="inlineStr">
        <is>
          <t>SEC</t>
        </is>
      </c>
    </row>
    <row r="1690">
      <c r="A1690" s="5">
        <f>HYPERLINK("https://finance.yahoo.com/quote/NIC","NIC")</f>
        <v/>
      </c>
      <c r="B1690" t="inlineStr">
        <is>
          <t>NICOLET BANKSHARES INC</t>
        </is>
      </c>
      <c r="C1690" t="inlineStr">
        <is>
          <t>NYSE</t>
        </is>
      </c>
      <c r="D1690" t="n">
        <v>1174850</v>
      </c>
      <c r="E1690" t="inlineStr">
        <is>
          <t>SEC</t>
        </is>
      </c>
    </row>
    <row r="1691">
      <c r="A1691" s="5">
        <f>HYPERLINK("https://finance.yahoo.com/quote/SKYW","SKYW")</f>
        <v/>
      </c>
      <c r="B1691" t="inlineStr">
        <is>
          <t>SKYWEST INC</t>
        </is>
      </c>
      <c r="C1691" t="inlineStr">
        <is>
          <t>Nasdaq</t>
        </is>
      </c>
      <c r="D1691" t="n">
        <v>793733</v>
      </c>
      <c r="E1691" t="inlineStr">
        <is>
          <t>SEC</t>
        </is>
      </c>
    </row>
    <row r="1692">
      <c r="A1692" s="5">
        <f>HYPERLINK("https://finance.yahoo.com/quote/THO","THO")</f>
        <v/>
      </c>
      <c r="B1692" t="inlineStr">
        <is>
          <t>THOR INDUSTRIES INC</t>
        </is>
      </c>
      <c r="C1692" t="inlineStr">
        <is>
          <t>NYSE</t>
        </is>
      </c>
      <c r="D1692" t="n">
        <v>730263</v>
      </c>
      <c r="E1692" t="inlineStr">
        <is>
          <t>SEC</t>
        </is>
      </c>
    </row>
    <row r="1693">
      <c r="A1693" s="5">
        <f>HYPERLINK("https://finance.yahoo.com/quote/HG","HG")</f>
        <v/>
      </c>
      <c r="B1693" t="inlineStr">
        <is>
          <t>Hamilton Insurance Group, Ltd.</t>
        </is>
      </c>
      <c r="C1693" t="inlineStr">
        <is>
          <t>NYSE</t>
        </is>
      </c>
      <c r="D1693" t="n">
        <v>1593275</v>
      </c>
      <c r="E1693" t="inlineStr">
        <is>
          <t>SEC</t>
        </is>
      </c>
    </row>
    <row r="1694">
      <c r="A1694" s="5">
        <f>HYPERLINK("https://finance.yahoo.com/quote/AMVOY","AMVOY")</f>
        <v/>
      </c>
      <c r="B1694" t="inlineStr">
        <is>
          <t>AUMOVIO SE</t>
        </is>
      </c>
      <c r="C1694" t="inlineStr">
        <is>
          <t>OTC</t>
        </is>
      </c>
      <c r="D1694" t="n">
        <v>2085236</v>
      </c>
      <c r="E1694" t="inlineStr">
        <is>
          <t>SEC</t>
        </is>
      </c>
    </row>
    <row r="1695">
      <c r="A1695" s="5">
        <f>HYPERLINK("https://finance.yahoo.com/quote/MANU","MANU")</f>
        <v/>
      </c>
      <c r="B1695" t="inlineStr">
        <is>
          <t>Manchester United plc</t>
        </is>
      </c>
      <c r="C1695" t="inlineStr">
        <is>
          <t>NYSE</t>
        </is>
      </c>
      <c r="D1695" t="n">
        <v>1549107</v>
      </c>
      <c r="E1695" t="inlineStr">
        <is>
          <t>SEC</t>
        </is>
      </c>
    </row>
    <row r="1696">
      <c r="A1696" s="5">
        <f>HYPERLINK("https://finance.yahoo.com/quote/ACMR","ACMR")</f>
        <v/>
      </c>
      <c r="B1696" t="inlineStr">
        <is>
          <t>ACM Research, Inc.</t>
        </is>
      </c>
      <c r="C1696" t="inlineStr">
        <is>
          <t>Nasdaq</t>
        </is>
      </c>
      <c r="D1696" t="n">
        <v>1680062</v>
      </c>
      <c r="E1696" t="inlineStr">
        <is>
          <t>SEC</t>
        </is>
      </c>
    </row>
    <row r="1697">
      <c r="A1697" s="5">
        <f>HYPERLINK("https://finance.yahoo.com/quote/USAR","USAR")</f>
        <v/>
      </c>
      <c r="B1697" t="inlineStr">
        <is>
          <t>USA Rare Earth, Inc.</t>
        </is>
      </c>
      <c r="C1697" t="inlineStr">
        <is>
          <t>Nasdaq</t>
        </is>
      </c>
      <c r="D1697" t="n">
        <v>1970622</v>
      </c>
      <c r="E1697" t="inlineStr">
        <is>
          <t>SEC</t>
        </is>
      </c>
    </row>
    <row r="1698">
      <c r="A1698" s="5">
        <f>HYPERLINK("https://finance.yahoo.com/quote/SKE","SKE")</f>
        <v/>
      </c>
      <c r="B1698" t="inlineStr">
        <is>
          <t>Skeena Resources Ltd</t>
        </is>
      </c>
      <c r="C1698" t="inlineStr">
        <is>
          <t>NYSE</t>
        </is>
      </c>
      <c r="D1698" t="n">
        <v>1713748</v>
      </c>
      <c r="E1698" t="inlineStr">
        <is>
          <t>SEC</t>
        </is>
      </c>
    </row>
    <row r="1699">
      <c r="A1699" s="5">
        <f>HYPERLINK("https://finance.yahoo.com/quote/POST","POST")</f>
        <v/>
      </c>
      <c r="B1699" t="inlineStr">
        <is>
          <t>Post Holdings, Inc.</t>
        </is>
      </c>
      <c r="C1699" t="inlineStr">
        <is>
          <t>NYSE</t>
        </is>
      </c>
      <c r="D1699" t="n">
        <v>1530950</v>
      </c>
      <c r="E1699" t="inlineStr">
        <is>
          <t>SEC</t>
        </is>
      </c>
    </row>
    <row r="1700">
      <c r="A1700" s="5">
        <f>HYPERLINK("https://finance.yahoo.com/quote/PRIM","PRIM")</f>
        <v/>
      </c>
      <c r="B1700" t="inlineStr">
        <is>
          <t>Primoris Services Corp</t>
        </is>
      </c>
      <c r="C1700" t="inlineStr">
        <is>
          <t>NYSE</t>
        </is>
      </c>
      <c r="D1700" t="n">
        <v>1361538</v>
      </c>
      <c r="E1700" t="inlineStr">
        <is>
          <t>SEC</t>
        </is>
      </c>
    </row>
    <row r="1701">
      <c r="A1701" s="5">
        <f>HYPERLINK("https://finance.yahoo.com/quote/SRAD","SRAD")</f>
        <v/>
      </c>
      <c r="B1701" t="inlineStr">
        <is>
          <t>Sportradar Group AG</t>
        </is>
      </c>
      <c r="C1701" t="inlineStr">
        <is>
          <t>Nasdaq</t>
        </is>
      </c>
      <c r="D1701" t="n">
        <v>1836470</v>
      </c>
      <c r="E1701" t="inlineStr">
        <is>
          <t>SEC</t>
        </is>
      </c>
    </row>
    <row r="1702">
      <c r="A1702" s="5">
        <f>HYPERLINK("https://finance.yahoo.com/quote/ZIM","ZIM")</f>
        <v/>
      </c>
      <c r="B1702" t="inlineStr">
        <is>
          <t>ZIM Integrated Shipping Services Ltd.</t>
        </is>
      </c>
      <c r="C1702" t="inlineStr">
        <is>
          <t>NYSE</t>
        </is>
      </c>
      <c r="D1702" t="n">
        <v>1654126</v>
      </c>
      <c r="E1702" t="inlineStr">
        <is>
          <t>SEC</t>
        </is>
      </c>
    </row>
    <row r="1703">
      <c r="A1703" s="5">
        <f>HYPERLINK("https://finance.yahoo.com/quote/CURB","CURB")</f>
        <v/>
      </c>
      <c r="B1703" t="inlineStr">
        <is>
          <t>Curbline Properties Corp.</t>
        </is>
      </c>
      <c r="C1703" t="inlineStr">
        <is>
          <t>NYSE</t>
        </is>
      </c>
      <c r="D1703" t="n">
        <v>2027317</v>
      </c>
      <c r="E1703" t="inlineStr">
        <is>
          <t>SEC</t>
        </is>
      </c>
    </row>
    <row r="1704">
      <c r="A1704" s="5">
        <f>HYPERLINK("https://finance.yahoo.com/quote/BATRA","BATRA")</f>
        <v/>
      </c>
      <c r="B1704" t="inlineStr">
        <is>
          <t>Atlanta Braves Holdings, Inc.</t>
        </is>
      </c>
      <c r="C1704" t="inlineStr">
        <is>
          <t>Nasdaq</t>
        </is>
      </c>
      <c r="D1704" t="n">
        <v>1958140</v>
      </c>
      <c r="E1704" t="inlineStr">
        <is>
          <t>SEC</t>
        </is>
      </c>
    </row>
    <row r="1705">
      <c r="A1705" s="5">
        <f>HYPERLINK("https://finance.yahoo.com/quote/AVPT","AVPT")</f>
        <v/>
      </c>
      <c r="B1705" t="inlineStr">
        <is>
          <t>AvePoint, Inc.</t>
        </is>
      </c>
      <c r="C1705" t="inlineStr">
        <is>
          <t>Nasdaq</t>
        </is>
      </c>
      <c r="D1705" t="n">
        <v>1777921</v>
      </c>
      <c r="E1705" t="inlineStr">
        <is>
          <t>SEC</t>
        </is>
      </c>
    </row>
    <row r="1706">
      <c r="A1706" s="5">
        <f>HYPERLINK("https://finance.yahoo.com/quote/NATL","NATL")</f>
        <v/>
      </c>
      <c r="B1706" t="inlineStr">
        <is>
          <t>NCR Atleos Corp</t>
        </is>
      </c>
      <c r="C1706" t="inlineStr">
        <is>
          <t>NYSE</t>
        </is>
      </c>
      <c r="D1706" t="n">
        <v>1974138</v>
      </c>
      <c r="E1706" t="inlineStr">
        <is>
          <t>SEC</t>
        </is>
      </c>
    </row>
    <row r="1707">
      <c r="A1707" s="5">
        <f>HYPERLINK("https://finance.yahoo.com/quote/BOOT","BOOT")</f>
        <v/>
      </c>
      <c r="B1707" t="inlineStr">
        <is>
          <t>Boot Barn Holdings, Inc.</t>
        </is>
      </c>
      <c r="C1707" t="inlineStr">
        <is>
          <t>NYSE</t>
        </is>
      </c>
      <c r="D1707" t="n">
        <v>1610250</v>
      </c>
      <c r="E1707" t="inlineStr">
        <is>
          <t>SEC</t>
        </is>
      </c>
    </row>
    <row r="1708">
      <c r="A1708" s="5">
        <f>HYPERLINK("https://finance.yahoo.com/quote/LMND","LMND")</f>
        <v/>
      </c>
      <c r="B1708" t="inlineStr">
        <is>
          <t>Lemonade, Inc.</t>
        </is>
      </c>
      <c r="C1708" t="inlineStr">
        <is>
          <t>NYSE</t>
        </is>
      </c>
      <c r="D1708" t="n">
        <v>1691421</v>
      </c>
      <c r="E1708" t="inlineStr">
        <is>
          <t>SEC</t>
        </is>
      </c>
    </row>
    <row r="1709">
      <c r="A1709" s="5">
        <f>HYPERLINK("https://finance.yahoo.com/quote/AYA","AYA")</f>
        <v/>
      </c>
      <c r="B1709" t="inlineStr">
        <is>
          <t>Aya Gold &amp; Silver Inc.</t>
        </is>
      </c>
      <c r="C1709" t="inlineStr">
        <is>
          <t>Nasdaq</t>
        </is>
      </c>
      <c r="D1709" t="n">
        <v>1826836</v>
      </c>
      <c r="E1709" t="inlineStr">
        <is>
          <t>SEC</t>
        </is>
      </c>
    </row>
    <row r="1710">
      <c r="A1710" s="5">
        <f>HYPERLINK("https://finance.yahoo.com/quote/TNET","TNET")</f>
        <v/>
      </c>
      <c r="B1710" t="inlineStr">
        <is>
          <t>TRINET GROUP, INC.</t>
        </is>
      </c>
      <c r="C1710" t="inlineStr">
        <is>
          <t>NYSE</t>
        </is>
      </c>
      <c r="D1710" t="n">
        <v>937098</v>
      </c>
      <c r="E1710" t="inlineStr">
        <is>
          <t>SEC</t>
        </is>
      </c>
    </row>
    <row r="1711">
      <c r="A1711" s="5">
        <f>HYPERLINK("https://finance.yahoo.com/quote/BFAM","BFAM")</f>
        <v/>
      </c>
      <c r="B1711" t="inlineStr">
        <is>
          <t>BRIGHT HORIZONS FAMILY SOLUTIONS INC.</t>
        </is>
      </c>
      <c r="C1711" t="inlineStr">
        <is>
          <t>NYSE</t>
        </is>
      </c>
      <c r="D1711" t="n">
        <v>1437578</v>
      </c>
      <c r="E1711" t="inlineStr">
        <is>
          <t>SEC</t>
        </is>
      </c>
    </row>
    <row r="1712">
      <c r="A1712" s="5">
        <f>HYPERLINK("https://finance.yahoo.com/quote/AXTI","AXTI")</f>
        <v/>
      </c>
      <c r="B1712" t="inlineStr">
        <is>
          <t>AXT INC</t>
        </is>
      </c>
      <c r="C1712" t="inlineStr">
        <is>
          <t>Nasdaq</t>
        </is>
      </c>
      <c r="D1712" t="n">
        <v>1051627</v>
      </c>
      <c r="E1712" t="inlineStr">
        <is>
          <t>SEC</t>
        </is>
      </c>
    </row>
    <row r="1713">
      <c r="A1713" s="5">
        <f>HYPERLINK("https://finance.yahoo.com/quote/AMLX","AMLX")</f>
        <v/>
      </c>
      <c r="B1713" t="inlineStr">
        <is>
          <t>Amylyx Pharmaceuticals, Inc.</t>
        </is>
      </c>
      <c r="C1713" t="inlineStr">
        <is>
          <t>Nasdaq</t>
        </is>
      </c>
      <c r="D1713" t="n">
        <v>1658551</v>
      </c>
      <c r="E1713" t="inlineStr">
        <is>
          <t>SEC</t>
        </is>
      </c>
    </row>
    <row r="1714">
      <c r="A1714" s="5">
        <f>HYPERLINK("https://finance.yahoo.com/quote/MWA","MWA")</f>
        <v/>
      </c>
      <c r="B1714" t="inlineStr">
        <is>
          <t>Mueller Water Products, Inc.</t>
        </is>
      </c>
      <c r="C1714" t="inlineStr">
        <is>
          <t>NYSE</t>
        </is>
      </c>
      <c r="D1714" t="n">
        <v>1350593</v>
      </c>
      <c r="E1714" t="inlineStr">
        <is>
          <t>SEC</t>
        </is>
      </c>
    </row>
    <row r="1715">
      <c r="A1715" s="5">
        <f>HYPERLINK("https://finance.yahoo.com/quote/FIBK","FIBK")</f>
        <v/>
      </c>
      <c r="B1715" t="inlineStr">
        <is>
          <t>FIRST INTERSTATE BANCSYSTEM INC</t>
        </is>
      </c>
      <c r="C1715" t="inlineStr">
        <is>
          <t>Nasdaq</t>
        </is>
      </c>
      <c r="D1715" t="n">
        <v>860413</v>
      </c>
      <c r="E1715" t="inlineStr">
        <is>
          <t>SEC</t>
        </is>
      </c>
    </row>
    <row r="1716">
      <c r="A1716" s="5">
        <f>HYPERLINK("https://finance.yahoo.com/quote/SMG","SMG")</f>
        <v/>
      </c>
      <c r="B1716" t="inlineStr">
        <is>
          <t>SCOTTS MIRACLE-GRO CO</t>
        </is>
      </c>
      <c r="C1716" t="inlineStr">
        <is>
          <t>NYSE</t>
        </is>
      </c>
      <c r="D1716" t="n">
        <v>825542</v>
      </c>
      <c r="E1716" t="inlineStr">
        <is>
          <t>SEC</t>
        </is>
      </c>
    </row>
    <row r="1717">
      <c r="A1717" s="5">
        <f>HYPERLINK("https://finance.yahoo.com/quote/FFBC","FFBC")</f>
        <v/>
      </c>
      <c r="B1717" t="inlineStr">
        <is>
          <t>FIRST FINANCIAL BANCORP /OH/</t>
        </is>
      </c>
      <c r="C1717" t="inlineStr">
        <is>
          <t>Nasdaq</t>
        </is>
      </c>
      <c r="D1717" t="n">
        <v>708955</v>
      </c>
      <c r="E1717" t="inlineStr">
        <is>
          <t>SEC</t>
        </is>
      </c>
    </row>
    <row r="1718">
      <c r="A1718" s="5">
        <f>HYPERLINK("https://finance.yahoo.com/quote/XENE","XENE")</f>
        <v/>
      </c>
      <c r="B1718" t="inlineStr">
        <is>
          <t>Xenon Pharmaceuticals Inc.</t>
        </is>
      </c>
      <c r="C1718" t="inlineStr">
        <is>
          <t>Nasdaq</t>
        </is>
      </c>
      <c r="D1718" t="n">
        <v>1582313</v>
      </c>
      <c r="E1718" t="inlineStr">
        <is>
          <t>SEC</t>
        </is>
      </c>
    </row>
    <row r="1719">
      <c r="A1719" s="5">
        <f>HYPERLINK("https://finance.yahoo.com/quote/TNK","TNK")</f>
        <v/>
      </c>
      <c r="B1719" t="inlineStr">
        <is>
          <t>TEEKAY TANKERS LTD.</t>
        </is>
      </c>
      <c r="C1719" t="inlineStr">
        <is>
          <t>NYSE</t>
        </is>
      </c>
      <c r="D1719" t="n">
        <v>1419945</v>
      </c>
      <c r="E1719" t="inlineStr">
        <is>
          <t>SEC</t>
        </is>
      </c>
    </row>
    <row r="1720">
      <c r="A1720" s="5">
        <f>HYPERLINK("https://finance.yahoo.com/quote/AGYS","AGYS")</f>
        <v/>
      </c>
      <c r="B1720" t="inlineStr">
        <is>
          <t>AGILYSYS INC</t>
        </is>
      </c>
      <c r="C1720" t="inlineStr">
        <is>
          <t>Nasdaq</t>
        </is>
      </c>
      <c r="D1720" t="n">
        <v>78749</v>
      </c>
      <c r="E1720" t="inlineStr">
        <is>
          <t>SEC</t>
        </is>
      </c>
    </row>
    <row r="1721">
      <c r="A1721" s="5">
        <f>HYPERLINK("https://finance.yahoo.com/quote/WIX","WIX")</f>
        <v/>
      </c>
      <c r="B1721" t="inlineStr">
        <is>
          <t>Wix.com Ltd.</t>
        </is>
      </c>
      <c r="C1721" t="inlineStr">
        <is>
          <t>Nasdaq</t>
        </is>
      </c>
      <c r="D1721" t="n">
        <v>1576789</v>
      </c>
      <c r="E1721" t="inlineStr">
        <is>
          <t>SEC</t>
        </is>
      </c>
    </row>
    <row r="1722">
      <c r="A1722" s="5">
        <f>HYPERLINK("https://finance.yahoo.com/quote/HIW","HIW")</f>
        <v/>
      </c>
      <c r="B1722" t="inlineStr">
        <is>
          <t>HIGHWOODS PROPERTIES, INC.</t>
        </is>
      </c>
      <c r="C1722" t="inlineStr">
        <is>
          <t>NYSE</t>
        </is>
      </c>
      <c r="D1722" t="n">
        <v>921082</v>
      </c>
      <c r="E1722" t="inlineStr">
        <is>
          <t>SEC</t>
        </is>
      </c>
    </row>
    <row r="1723">
      <c r="A1723" s="5">
        <f>HYPERLINK("https://finance.yahoo.com/quote/HNI","HNI")</f>
        <v/>
      </c>
      <c r="B1723" t="inlineStr">
        <is>
          <t>HNI CORP</t>
        </is>
      </c>
      <c r="C1723" t="inlineStr">
        <is>
          <t>NYSE</t>
        </is>
      </c>
      <c r="D1723" t="n">
        <v>48287</v>
      </c>
      <c r="E1723" t="inlineStr">
        <is>
          <t>SEC</t>
        </is>
      </c>
    </row>
    <row r="1724">
      <c r="A1724" s="5">
        <f>HYPERLINK("https://finance.yahoo.com/quote/ACAD","ACAD")</f>
        <v/>
      </c>
      <c r="B1724" t="inlineStr">
        <is>
          <t>ACADIA PHARMACEUTICALS INC</t>
        </is>
      </c>
      <c r="C1724" t="inlineStr">
        <is>
          <t>Nasdaq</t>
        </is>
      </c>
      <c r="D1724" t="n">
        <v>1070494</v>
      </c>
      <c r="E1724" t="inlineStr">
        <is>
          <t>SEC</t>
        </is>
      </c>
    </row>
    <row r="1725">
      <c r="A1725" s="5">
        <f>HYPERLINK("https://finance.yahoo.com/quote/CPK","CPK")</f>
        <v/>
      </c>
      <c r="B1725" t="inlineStr">
        <is>
          <t>CHESAPEAKE UTILITIES CORP</t>
        </is>
      </c>
      <c r="C1725" t="inlineStr">
        <is>
          <t>NYSE</t>
        </is>
      </c>
      <c r="D1725" t="n">
        <v>19745</v>
      </c>
      <c r="E1725" t="inlineStr">
        <is>
          <t>SEC</t>
        </is>
      </c>
    </row>
    <row r="1726">
      <c r="A1726" s="5">
        <f>HYPERLINK("https://finance.yahoo.com/quote/AWR","AWR")</f>
        <v/>
      </c>
      <c r="B1726" t="inlineStr">
        <is>
          <t>AMERICAN STATES WATER CO</t>
        </is>
      </c>
      <c r="C1726" t="inlineStr">
        <is>
          <t>NYSE</t>
        </is>
      </c>
      <c r="D1726" t="n">
        <v>1056903</v>
      </c>
      <c r="E1726" t="inlineStr">
        <is>
          <t>SEC</t>
        </is>
      </c>
    </row>
    <row r="1727">
      <c r="A1727" s="5">
        <f>HYPERLINK("https://finance.yahoo.com/quote/FIGS","FIGS")</f>
        <v/>
      </c>
      <c r="B1727" t="inlineStr">
        <is>
          <t>FIGS, Inc.</t>
        </is>
      </c>
      <c r="C1727" t="inlineStr">
        <is>
          <t>NYSE</t>
        </is>
      </c>
      <c r="D1727" t="n">
        <v>1846576</v>
      </c>
      <c r="E1727" t="inlineStr">
        <is>
          <t>SEC</t>
        </is>
      </c>
    </row>
    <row r="1728">
      <c r="A1728" s="5">
        <f>HYPERLINK("https://finance.yahoo.com/quote/SFNC","SFNC")</f>
        <v/>
      </c>
      <c r="B1728" t="inlineStr">
        <is>
          <t>SIMMONS FIRST NATIONAL CORP</t>
        </is>
      </c>
      <c r="C1728" t="inlineStr">
        <is>
          <t>Nasdaq</t>
        </is>
      </c>
      <c r="D1728" t="n">
        <v>90498</v>
      </c>
      <c r="E1728" t="inlineStr">
        <is>
          <t>SEC</t>
        </is>
      </c>
    </row>
    <row r="1729">
      <c r="A1729" s="5">
        <f>HYPERLINK("https://finance.yahoo.com/quote/MIAX","MIAX")</f>
        <v/>
      </c>
      <c r="B1729" t="inlineStr">
        <is>
          <t>MIAMI INTERNATIONAL HOLDINGS, INC.</t>
        </is>
      </c>
      <c r="C1729" t="inlineStr">
        <is>
          <t>NYSE</t>
        </is>
      </c>
      <c r="D1729" t="n">
        <v>1438472</v>
      </c>
      <c r="E1729" t="inlineStr">
        <is>
          <t>SEC</t>
        </is>
      </c>
    </row>
    <row r="1730">
      <c r="A1730" s="5">
        <f>HYPERLINK("https://finance.yahoo.com/quote/FIZZ","FIZZ")</f>
        <v/>
      </c>
      <c r="B1730" t="inlineStr">
        <is>
          <t>NATIONAL BEVERAGE CORP</t>
        </is>
      </c>
      <c r="C1730" t="inlineStr">
        <is>
          <t>Nasdaq</t>
        </is>
      </c>
      <c r="D1730" t="n">
        <v>69891</v>
      </c>
      <c r="E1730" t="inlineStr">
        <is>
          <t>SEC</t>
        </is>
      </c>
    </row>
    <row r="1731">
      <c r="A1731" s="5">
        <f>HYPERLINK("https://finance.yahoo.com/quote/SMGSY","SMGSY")</f>
        <v/>
      </c>
      <c r="B1731" t="inlineStr">
        <is>
          <t>SMG Swiss Marketplace Group AG/ADR</t>
        </is>
      </c>
      <c r="C1731" t="inlineStr">
        <is>
          <t>OTC</t>
        </is>
      </c>
      <c r="D1731" t="n">
        <v>2093227</v>
      </c>
      <c r="E1731" t="inlineStr">
        <is>
          <t>SEC</t>
        </is>
      </c>
    </row>
    <row r="1732">
      <c r="A1732" s="5">
        <f>HYPERLINK("https://finance.yahoo.com/quote/SBLK","SBLK")</f>
        <v/>
      </c>
      <c r="B1732" t="inlineStr">
        <is>
          <t>Star Bulk Carriers Corp.</t>
        </is>
      </c>
      <c r="C1732" t="inlineStr">
        <is>
          <t>Nasdaq</t>
        </is>
      </c>
      <c r="D1732" t="n">
        <v>1386716</v>
      </c>
      <c r="E1732" t="inlineStr">
        <is>
          <t>SEC</t>
        </is>
      </c>
    </row>
    <row r="1733">
      <c r="A1733" s="5">
        <f>HYPERLINK("https://finance.yahoo.com/quote/ARLP","ARLP")</f>
        <v/>
      </c>
      <c r="B1733" t="inlineStr">
        <is>
          <t>ALLIANCE RESOURCE PARTNERS LP</t>
        </is>
      </c>
      <c r="C1733" t="inlineStr">
        <is>
          <t>Nasdaq</t>
        </is>
      </c>
      <c r="D1733" t="n">
        <v>1086600</v>
      </c>
      <c r="E1733" t="inlineStr">
        <is>
          <t>SEC</t>
        </is>
      </c>
    </row>
    <row r="1734">
      <c r="A1734" s="5">
        <f>HYPERLINK("https://finance.yahoo.com/quote/GNW","GNW")</f>
        <v/>
      </c>
      <c r="B1734" t="inlineStr">
        <is>
          <t>GENWORTH FINANCIAL INC</t>
        </is>
      </c>
      <c r="C1734" t="inlineStr">
        <is>
          <t>NYSE</t>
        </is>
      </c>
      <c r="D1734" t="n">
        <v>1276520</v>
      </c>
      <c r="E1734" t="inlineStr">
        <is>
          <t>SEC</t>
        </is>
      </c>
    </row>
    <row r="1735">
      <c r="A1735" s="5">
        <f>HYPERLINK("https://finance.yahoo.com/quote/IDYA","IDYA")</f>
        <v/>
      </c>
      <c r="B1735" t="inlineStr">
        <is>
          <t>IDEAYA Biosciences, Inc.</t>
        </is>
      </c>
      <c r="C1735" t="inlineStr">
        <is>
          <t>Nasdaq</t>
        </is>
      </c>
      <c r="D1735" t="n">
        <v>1676725</v>
      </c>
      <c r="E1735" t="inlineStr">
        <is>
          <t>SEC</t>
        </is>
      </c>
    </row>
    <row r="1736">
      <c r="A1736" s="5">
        <f>HYPERLINK("https://finance.yahoo.com/quote/MCHB","MCHB")</f>
        <v/>
      </c>
      <c r="B1736" t="inlineStr">
        <is>
          <t>Mechanics Bancorp</t>
        </is>
      </c>
      <c r="C1736" t="inlineStr">
        <is>
          <t>Nasdaq</t>
        </is>
      </c>
      <c r="D1736" t="n">
        <v>1518715</v>
      </c>
      <c r="E1736" t="inlineStr">
        <is>
          <t>SEC</t>
        </is>
      </c>
    </row>
    <row r="1737">
      <c r="A1737" s="5">
        <f>HYPERLINK("https://finance.yahoo.com/quote/VTMX","VTMX")</f>
        <v/>
      </c>
      <c r="B1737" t="inlineStr">
        <is>
          <t>Vesta Real Estate Corporation, S.A.B. de C.V.</t>
        </is>
      </c>
      <c r="C1737" t="inlineStr">
        <is>
          <t>NYSE</t>
        </is>
      </c>
      <c r="D1737" t="n">
        <v>1969373</v>
      </c>
      <c r="E1737" t="inlineStr">
        <is>
          <t>SEC</t>
        </is>
      </c>
    </row>
    <row r="1738">
      <c r="A1738" s="5">
        <f>HYPERLINK("https://finance.yahoo.com/quote/CIFR","CIFR")</f>
        <v/>
      </c>
      <c r="B1738" t="inlineStr">
        <is>
          <t>Cipher Digital Inc.</t>
        </is>
      </c>
      <c r="C1738" t="inlineStr">
        <is>
          <t>Nasdaq</t>
        </is>
      </c>
      <c r="D1738" t="n">
        <v>1819989</v>
      </c>
      <c r="E1738" t="inlineStr">
        <is>
          <t>SEC</t>
        </is>
      </c>
    </row>
    <row r="1739">
      <c r="A1739" s="5">
        <f>HYPERLINK("https://finance.yahoo.com/quote/ADOOY","ADOOY")</f>
        <v/>
      </c>
      <c r="B1739" t="inlineStr">
        <is>
          <t>Adaro Energy PT/ADR/</t>
        </is>
      </c>
      <c r="C1739" t="inlineStr">
        <is>
          <t>OTC</t>
        </is>
      </c>
      <c r="D1739" t="n">
        <v>1489079</v>
      </c>
      <c r="E1739" t="inlineStr">
        <is>
          <t>SEC</t>
        </is>
      </c>
    </row>
    <row r="1740">
      <c r="A1740" s="5">
        <f>HYPERLINK("https://finance.yahoo.com/quote/IRON","IRON")</f>
        <v/>
      </c>
      <c r="B1740" t="inlineStr">
        <is>
          <t>Disc Medicine, Inc.</t>
        </is>
      </c>
      <c r="C1740" t="inlineStr">
        <is>
          <t>Nasdaq</t>
        </is>
      </c>
      <c r="D1740" t="n">
        <v>1816736</v>
      </c>
      <c r="E1740" t="inlineStr">
        <is>
          <t>SEC</t>
        </is>
      </c>
    </row>
    <row r="1741">
      <c r="A1741" s="5">
        <f>HYPERLINK("https://finance.yahoo.com/quote/ASH","ASH")</f>
        <v/>
      </c>
      <c r="B1741" t="inlineStr">
        <is>
          <t>ASHLAND INC.</t>
        </is>
      </c>
      <c r="C1741" t="inlineStr">
        <is>
          <t>NYSE</t>
        </is>
      </c>
      <c r="D1741" t="n">
        <v>1674862</v>
      </c>
      <c r="E1741" t="inlineStr">
        <is>
          <t>SEC</t>
        </is>
      </c>
    </row>
    <row r="1742">
      <c r="A1742" s="5">
        <f>HYPERLINK("https://finance.yahoo.com/quote/ORCRY","ORCRY")</f>
        <v/>
      </c>
      <c r="B1742" t="inlineStr">
        <is>
          <t>Organo Corporation/ADR</t>
        </is>
      </c>
      <c r="C1742" t="inlineStr">
        <is>
          <t>OTC</t>
        </is>
      </c>
      <c r="D1742" t="n">
        <v>2142762</v>
      </c>
      <c r="E1742" t="inlineStr">
        <is>
          <t>SEC</t>
        </is>
      </c>
    </row>
    <row r="1743">
      <c r="A1743" s="5">
        <f>HYPERLINK("https://finance.yahoo.com/quote/SLDE","SLDE")</f>
        <v/>
      </c>
      <c r="B1743" t="inlineStr">
        <is>
          <t>Slide Insurance Holdings, Inc.</t>
        </is>
      </c>
      <c r="C1743" t="inlineStr">
        <is>
          <t>Nasdaq</t>
        </is>
      </c>
      <c r="D1743" t="n">
        <v>1886428</v>
      </c>
      <c r="E1743" t="inlineStr">
        <is>
          <t>SEC</t>
        </is>
      </c>
    </row>
    <row r="1744">
      <c r="A1744" s="5">
        <f>HYPERLINK("https://finance.yahoo.com/quote/ACLS","ACLS")</f>
        <v/>
      </c>
      <c r="B1744" t="inlineStr">
        <is>
          <t>AXCELIS TECHNOLOGIES INC</t>
        </is>
      </c>
      <c r="C1744" t="inlineStr">
        <is>
          <t>Nasdaq</t>
        </is>
      </c>
      <c r="D1744" t="n">
        <v>1113232</v>
      </c>
      <c r="E1744" t="inlineStr">
        <is>
          <t>SEC</t>
        </is>
      </c>
    </row>
    <row r="1745">
      <c r="A1745" s="5">
        <f>HYPERLINK("https://finance.yahoo.com/quote/GPGI","GPGI")</f>
        <v/>
      </c>
      <c r="B1745" t="inlineStr">
        <is>
          <t>GPGI, Inc.</t>
        </is>
      </c>
      <c r="C1745" t="inlineStr">
        <is>
          <t>NYSE</t>
        </is>
      </c>
      <c r="D1745" t="n">
        <v>1823144</v>
      </c>
      <c r="E1745" t="inlineStr">
        <is>
          <t>SEC</t>
        </is>
      </c>
    </row>
    <row r="1746">
      <c r="A1746" s="5">
        <f>HYPERLINK("https://finance.yahoo.com/quote/MMS","MMS")</f>
        <v/>
      </c>
      <c r="B1746" t="inlineStr">
        <is>
          <t>MAXIMUS, INC.</t>
        </is>
      </c>
      <c r="C1746" t="inlineStr">
        <is>
          <t>NYSE</t>
        </is>
      </c>
      <c r="D1746" t="n">
        <v>1032220</v>
      </c>
      <c r="E1746" t="inlineStr">
        <is>
          <t>SEC</t>
        </is>
      </c>
    </row>
    <row r="1747">
      <c r="A1747" s="5">
        <f>HYPERLINK("https://finance.yahoo.com/quote/SPSC","SPSC")</f>
        <v/>
      </c>
      <c r="B1747" t="inlineStr">
        <is>
          <t>SPS COMMERCE INC</t>
        </is>
      </c>
      <c r="C1747" t="inlineStr">
        <is>
          <t>Nasdaq</t>
        </is>
      </c>
      <c r="D1747" t="n">
        <v>1092699</v>
      </c>
      <c r="E1747" t="inlineStr">
        <is>
          <t>SEC</t>
        </is>
      </c>
    </row>
    <row r="1748">
      <c r="A1748" s="5">
        <f>HYPERLINK("https://finance.yahoo.com/quote/DKL","DKL")</f>
        <v/>
      </c>
      <c r="B1748" t="inlineStr">
        <is>
          <t>Delek Logistics Partners, LP</t>
        </is>
      </c>
      <c r="C1748" t="inlineStr">
        <is>
          <t>NYSE</t>
        </is>
      </c>
      <c r="D1748" t="n">
        <v>1552797</v>
      </c>
      <c r="E1748" t="inlineStr">
        <is>
          <t>SEC</t>
        </is>
      </c>
    </row>
    <row r="1749">
      <c r="A1749" s="5">
        <f>HYPERLINK("https://finance.yahoo.com/quote/PK","PK")</f>
        <v/>
      </c>
      <c r="B1749" t="inlineStr">
        <is>
          <t>Park Hotels &amp; Resorts Inc.</t>
        </is>
      </c>
      <c r="C1749" t="inlineStr">
        <is>
          <t>NYSE</t>
        </is>
      </c>
      <c r="D1749" t="n">
        <v>1617406</v>
      </c>
      <c r="E1749" t="inlineStr">
        <is>
          <t>SEC</t>
        </is>
      </c>
    </row>
    <row r="1750">
      <c r="A1750" s="5">
        <f>HYPERLINK("https://finance.yahoo.com/quote/CXT","CXT")</f>
        <v/>
      </c>
      <c r="B1750" t="inlineStr">
        <is>
          <t>Crane NXT, Co.</t>
        </is>
      </c>
      <c r="C1750" t="inlineStr">
        <is>
          <t>NYSE</t>
        </is>
      </c>
      <c r="D1750" t="n">
        <v>25445</v>
      </c>
      <c r="E1750" t="inlineStr">
        <is>
          <t>SEC</t>
        </is>
      </c>
    </row>
    <row r="1751">
      <c r="A1751" s="5">
        <f>HYPERLINK("https://finance.yahoo.com/quote/MGNI","MGNI")</f>
        <v/>
      </c>
      <c r="B1751" t="inlineStr">
        <is>
          <t>MAGNITE, INC.</t>
        </is>
      </c>
      <c r="C1751" t="inlineStr">
        <is>
          <t>Nasdaq</t>
        </is>
      </c>
      <c r="D1751" t="n">
        <v>1595974</v>
      </c>
      <c r="E1751" t="inlineStr">
        <is>
          <t>SEC</t>
        </is>
      </c>
    </row>
    <row r="1752">
      <c r="A1752" s="5">
        <f>HYPERLINK("https://finance.yahoo.com/quote/PRK","PRK")</f>
        <v/>
      </c>
      <c r="B1752" t="inlineStr">
        <is>
          <t>PARK NATIONAL CORP /OH/</t>
        </is>
      </c>
      <c r="C1752" t="inlineStr">
        <is>
          <t>NYSE</t>
        </is>
      </c>
      <c r="D1752" t="n">
        <v>805676</v>
      </c>
      <c r="E1752" t="inlineStr">
        <is>
          <t>SEC</t>
        </is>
      </c>
    </row>
    <row r="1753">
      <c r="A1753" s="5">
        <f>HYPERLINK("https://finance.yahoo.com/quote/LRN","LRN")</f>
        <v/>
      </c>
      <c r="B1753" t="inlineStr">
        <is>
          <t>Stride, Inc.</t>
        </is>
      </c>
      <c r="C1753" t="inlineStr">
        <is>
          <t>NYSE</t>
        </is>
      </c>
      <c r="D1753" t="n">
        <v>1157408</v>
      </c>
      <c r="E1753" t="inlineStr">
        <is>
          <t>SEC</t>
        </is>
      </c>
    </row>
    <row r="1754">
      <c r="A1754" s="5">
        <f>HYPERLINK("https://finance.yahoo.com/quote/PFSI","PFSI")</f>
        <v/>
      </c>
      <c r="B1754" t="inlineStr">
        <is>
          <t>PennyMac Financial Services, Inc.</t>
        </is>
      </c>
      <c r="C1754" t="inlineStr">
        <is>
          <t>NYSE</t>
        </is>
      </c>
      <c r="D1754" t="n">
        <v>1745916</v>
      </c>
      <c r="E1754" t="inlineStr">
        <is>
          <t>SEC</t>
        </is>
      </c>
    </row>
    <row r="1755">
      <c r="A1755" s="5">
        <f>HYPERLINK("https://finance.yahoo.com/quote/CBU","CBU")</f>
        <v/>
      </c>
      <c r="B1755" t="inlineStr">
        <is>
          <t>COMMUNITY FINANCIAL SYSTEM, INC.</t>
        </is>
      </c>
      <c r="C1755" t="inlineStr">
        <is>
          <t>NYSE</t>
        </is>
      </c>
      <c r="D1755" t="n">
        <v>723188</v>
      </c>
      <c r="E1755" t="inlineStr">
        <is>
          <t>SEC</t>
        </is>
      </c>
    </row>
    <row r="1756">
      <c r="A1756" s="5">
        <f>HYPERLINK("https://finance.yahoo.com/quote/AAMI","AAMI")</f>
        <v/>
      </c>
      <c r="B1756" t="inlineStr">
        <is>
          <t>Acadian Asset Management Inc.</t>
        </is>
      </c>
      <c r="C1756" t="inlineStr">
        <is>
          <t>NYSE</t>
        </is>
      </c>
      <c r="D1756" t="n">
        <v>1748824</v>
      </c>
      <c r="E1756" t="inlineStr">
        <is>
          <t>SEC</t>
        </is>
      </c>
    </row>
    <row r="1757">
      <c r="A1757" s="5">
        <f>HYPERLINK("https://finance.yahoo.com/quote/NHI","NHI")</f>
        <v/>
      </c>
      <c r="B1757" t="inlineStr">
        <is>
          <t>NATIONAL HEALTH INVESTORS INC</t>
        </is>
      </c>
      <c r="C1757" t="inlineStr">
        <is>
          <t>NYSE</t>
        </is>
      </c>
      <c r="D1757" t="n">
        <v>877860</v>
      </c>
      <c r="E1757" t="inlineStr">
        <is>
          <t>SEC</t>
        </is>
      </c>
    </row>
    <row r="1758">
      <c r="A1758" s="5">
        <f>HYPERLINK("https://finance.yahoo.com/quote/NGXXF","NGXXF")</f>
        <v/>
      </c>
      <c r="B1758" t="inlineStr">
        <is>
          <t>NGEx Minerals Ltd.</t>
        </is>
      </c>
      <c r="C1758" t="inlineStr">
        <is>
          <t>OTC</t>
        </is>
      </c>
      <c r="D1758" t="n">
        <v>2044153</v>
      </c>
      <c r="E1758" t="inlineStr">
        <is>
          <t>SEC</t>
        </is>
      </c>
    </row>
    <row r="1759">
      <c r="A1759" s="5">
        <f>HYPERLINK("https://finance.yahoo.com/quote/SDRL","SDRL")</f>
        <v/>
      </c>
      <c r="B1759" t="inlineStr">
        <is>
          <t>SEADRILL Ltd</t>
        </is>
      </c>
      <c r="C1759" t="inlineStr">
        <is>
          <t>NYSE</t>
        </is>
      </c>
      <c r="D1759" t="n">
        <v>1737706</v>
      </c>
      <c r="E1759" t="inlineStr">
        <is>
          <t>SEC</t>
        </is>
      </c>
    </row>
    <row r="1760">
      <c r="A1760" s="5">
        <f>HYPERLINK("https://finance.yahoo.com/quote/SBCF","SBCF")</f>
        <v/>
      </c>
      <c r="B1760" t="inlineStr">
        <is>
          <t>SEACOAST BANKING CORP OF FLORIDA</t>
        </is>
      </c>
      <c r="C1760" t="inlineStr">
        <is>
          <t>Nasdaq</t>
        </is>
      </c>
      <c r="D1760" t="n">
        <v>730708</v>
      </c>
      <c r="E1760" t="inlineStr">
        <is>
          <t>SEC</t>
        </is>
      </c>
    </row>
    <row r="1761">
      <c r="A1761" s="5">
        <f>HYPERLINK("https://finance.yahoo.com/quote/TDC","TDC")</f>
        <v/>
      </c>
      <c r="B1761" t="inlineStr">
        <is>
          <t>TERADATA CORP /DE/</t>
        </is>
      </c>
      <c r="C1761" t="inlineStr">
        <is>
          <t>NYSE</t>
        </is>
      </c>
      <c r="D1761" t="n">
        <v>816761</v>
      </c>
      <c r="E1761" t="inlineStr">
        <is>
          <t>SEC</t>
        </is>
      </c>
    </row>
    <row r="1762">
      <c r="A1762" s="5">
        <f>HYPERLINK("https://finance.yahoo.com/quote/COCO","COCO")</f>
        <v/>
      </c>
      <c r="B1762" t="inlineStr">
        <is>
          <t>Vita Coco Company, Inc.</t>
        </is>
      </c>
      <c r="C1762" t="inlineStr">
        <is>
          <t>Nasdaq</t>
        </is>
      </c>
      <c r="D1762" t="n">
        <v>1482981</v>
      </c>
      <c r="E1762" t="inlineStr">
        <is>
          <t>SEC</t>
        </is>
      </c>
    </row>
    <row r="1763">
      <c r="A1763" s="5">
        <f>HYPERLINK("https://finance.yahoo.com/quote/WING","WING")</f>
        <v/>
      </c>
      <c r="B1763" t="inlineStr">
        <is>
          <t>Wingstop Inc.</t>
        </is>
      </c>
      <c r="C1763" t="inlineStr">
        <is>
          <t>Nasdaq</t>
        </is>
      </c>
      <c r="D1763" t="n">
        <v>1636222</v>
      </c>
      <c r="E1763" t="inlineStr">
        <is>
          <t>SEC</t>
        </is>
      </c>
    </row>
    <row r="1764">
      <c r="A1764" s="5">
        <f>HYPERLINK("https://finance.yahoo.com/quote/ARIS","ARIS")</f>
        <v/>
      </c>
      <c r="B1764" t="inlineStr">
        <is>
          <t>Aris Mining Corp</t>
        </is>
      </c>
      <c r="C1764" t="inlineStr">
        <is>
          <t>NYSE</t>
        </is>
      </c>
      <c r="D1764" t="n">
        <v>1964504</v>
      </c>
      <c r="E1764" t="inlineStr">
        <is>
          <t>SEC</t>
        </is>
      </c>
    </row>
    <row r="1765">
      <c r="A1765" s="5">
        <f>HYPERLINK("https://finance.yahoo.com/quote/USLM","USLM")</f>
        <v/>
      </c>
      <c r="B1765" t="inlineStr">
        <is>
          <t>UNITED STATES LIME &amp; MINERALS INC</t>
        </is>
      </c>
      <c r="C1765" t="inlineStr">
        <is>
          <t>Nasdaq</t>
        </is>
      </c>
      <c r="D1765" t="n">
        <v>82020</v>
      </c>
      <c r="E1765" t="inlineStr">
        <is>
          <t>SEC</t>
        </is>
      </c>
    </row>
    <row r="1766">
      <c r="A1766" s="5">
        <f>HYPERLINK("https://finance.yahoo.com/quote/AB","AB")</f>
        <v/>
      </c>
      <c r="B1766" t="inlineStr">
        <is>
          <t>ALLIANCEBERNSTEIN HOLDING L.P.</t>
        </is>
      </c>
      <c r="C1766" t="inlineStr">
        <is>
          <t>NYSE</t>
        </is>
      </c>
      <c r="D1766" t="n">
        <v>825313</v>
      </c>
      <c r="E1766" t="inlineStr">
        <is>
          <t>SEC</t>
        </is>
      </c>
    </row>
    <row r="1767">
      <c r="A1767" s="5">
        <f>HYPERLINK("https://finance.yahoo.com/quote/KD","KD")</f>
        <v/>
      </c>
      <c r="B1767" t="inlineStr">
        <is>
          <t>Kyndryl Holdings, Inc.</t>
        </is>
      </c>
      <c r="C1767" t="inlineStr">
        <is>
          <t>NYSE</t>
        </is>
      </c>
      <c r="D1767" t="n">
        <v>1867072</v>
      </c>
      <c r="E1767" t="inlineStr">
        <is>
          <t>SEC</t>
        </is>
      </c>
    </row>
    <row r="1768">
      <c r="A1768" s="5">
        <f>HYPERLINK("https://finance.yahoo.com/quote/WRBY","WRBY")</f>
        <v/>
      </c>
      <c r="B1768" t="inlineStr">
        <is>
          <t>Warby Parker Inc.</t>
        </is>
      </c>
      <c r="C1768" t="inlineStr">
        <is>
          <t>NYSE</t>
        </is>
      </c>
      <c r="D1768" t="n">
        <v>1504776</v>
      </c>
      <c r="E1768" t="inlineStr">
        <is>
          <t>SEC</t>
        </is>
      </c>
    </row>
    <row r="1769">
      <c r="A1769" s="5">
        <f>HYPERLINK("https://finance.yahoo.com/quote/CELC","CELC")</f>
        <v/>
      </c>
      <c r="B1769" t="inlineStr">
        <is>
          <t>Celcuity Inc.</t>
        </is>
      </c>
      <c r="C1769" t="inlineStr">
        <is>
          <t>Nasdaq</t>
        </is>
      </c>
      <c r="D1769" t="n">
        <v>1603454</v>
      </c>
      <c r="E1769" t="inlineStr">
        <is>
          <t>SEC</t>
        </is>
      </c>
    </row>
    <row r="1770">
      <c r="A1770" s="5">
        <f>HYPERLINK("https://finance.yahoo.com/quote/WT","WT")</f>
        <v/>
      </c>
      <c r="B1770" t="inlineStr">
        <is>
          <t>WisdomTree, Inc.</t>
        </is>
      </c>
      <c r="C1770" t="inlineStr">
        <is>
          <t>NYSE</t>
        </is>
      </c>
      <c r="D1770" t="n">
        <v>880631</v>
      </c>
      <c r="E1770" t="inlineStr">
        <is>
          <t>SEC</t>
        </is>
      </c>
    </row>
    <row r="1771">
      <c r="A1771" s="5">
        <f>HYPERLINK("https://finance.yahoo.com/quote/NMIH","NMIH")</f>
        <v/>
      </c>
      <c r="B1771" t="inlineStr">
        <is>
          <t>NMI Holdings, Inc.</t>
        </is>
      </c>
      <c r="C1771" t="inlineStr">
        <is>
          <t>Nasdaq</t>
        </is>
      </c>
      <c r="D1771" t="n">
        <v>1547903</v>
      </c>
      <c r="E1771" t="inlineStr">
        <is>
          <t>SEC</t>
        </is>
      </c>
    </row>
    <row r="1772">
      <c r="A1772" s="5">
        <f>HYPERLINK("https://finance.yahoo.com/quote/CSTM","CSTM")</f>
        <v/>
      </c>
      <c r="B1772" t="inlineStr">
        <is>
          <t>CONSTELLIUM SE</t>
        </is>
      </c>
      <c r="C1772" t="inlineStr">
        <is>
          <t>NYSE</t>
        </is>
      </c>
      <c r="D1772" t="n">
        <v>1563411</v>
      </c>
      <c r="E1772" t="inlineStr">
        <is>
          <t>SEC</t>
        </is>
      </c>
    </row>
    <row r="1773">
      <c r="A1773" s="5">
        <f>HYPERLINK("https://finance.yahoo.com/quote/BSM","BSM")</f>
        <v/>
      </c>
      <c r="B1773" t="inlineStr">
        <is>
          <t>Black Stone Minerals, L.P.</t>
        </is>
      </c>
      <c r="C1773" t="inlineStr">
        <is>
          <t>NYSE</t>
        </is>
      </c>
      <c r="D1773" t="n">
        <v>1621434</v>
      </c>
      <c r="E1773" t="inlineStr">
        <is>
          <t>SEC</t>
        </is>
      </c>
    </row>
    <row r="1774">
      <c r="A1774" s="5">
        <f>HYPERLINK("https://finance.yahoo.com/quote/TARS","TARS")</f>
        <v/>
      </c>
      <c r="B1774" t="inlineStr">
        <is>
          <t>Tarsus Pharmaceuticals, Inc.</t>
        </is>
      </c>
      <c r="C1774" t="inlineStr">
        <is>
          <t>Nasdaq</t>
        </is>
      </c>
      <c r="D1774" t="n">
        <v>1819790</v>
      </c>
      <c r="E1774" t="inlineStr">
        <is>
          <t>SEC</t>
        </is>
      </c>
    </row>
    <row r="1775">
      <c r="A1775" s="5">
        <f>HYPERLINK("https://finance.yahoo.com/quote/OSIS","OSIS")</f>
        <v/>
      </c>
      <c r="B1775" t="inlineStr">
        <is>
          <t>OSI SYSTEMS INC</t>
        </is>
      </c>
      <c r="C1775" t="inlineStr">
        <is>
          <t>Nasdaq</t>
        </is>
      </c>
      <c r="D1775" t="n">
        <v>1039065</v>
      </c>
      <c r="E1775" t="inlineStr">
        <is>
          <t>SEC</t>
        </is>
      </c>
    </row>
    <row r="1776">
      <c r="A1776" s="5">
        <f>HYPERLINK("https://finance.yahoo.com/quote/ADX","ADX")</f>
        <v/>
      </c>
      <c r="B1776" t="inlineStr">
        <is>
          <t>ADAMS DIVERSIFIED EQUITY FUND, INC.</t>
        </is>
      </c>
      <c r="C1776" t="inlineStr">
        <is>
          <t>NYSE</t>
        </is>
      </c>
      <c r="D1776" t="n">
        <v>2230</v>
      </c>
      <c r="E1776" t="inlineStr">
        <is>
          <t>SEC</t>
        </is>
      </c>
    </row>
    <row r="1777">
      <c r="A1777" s="5">
        <f>HYPERLINK("https://finance.yahoo.com/quote/CSQ","CSQ")</f>
        <v/>
      </c>
      <c r="B1777" t="inlineStr">
        <is>
          <t>CALAMOS STRATEGIC TOTAL RETURN FUND</t>
        </is>
      </c>
      <c r="C1777" t="inlineStr">
        <is>
          <t>Nasdaq</t>
        </is>
      </c>
      <c r="D1777" t="n">
        <v>1275214</v>
      </c>
      <c r="E1777" t="inlineStr">
        <is>
          <t>SEC</t>
        </is>
      </c>
    </row>
    <row r="1778">
      <c r="A1778" s="5">
        <f>HYPERLINK("https://finance.yahoo.com/quote/SHOO","SHOO")</f>
        <v/>
      </c>
      <c r="B1778" t="inlineStr">
        <is>
          <t>STEVEN MADDEN, LTD.</t>
        </is>
      </c>
      <c r="C1778" t="inlineStr">
        <is>
          <t>Nasdaq</t>
        </is>
      </c>
      <c r="D1778" t="n">
        <v>913241</v>
      </c>
      <c r="E1778" t="inlineStr">
        <is>
          <t>SEC</t>
        </is>
      </c>
    </row>
    <row r="1779">
      <c r="A1779" s="5">
        <f>HYPERLINK("https://finance.yahoo.com/quote/INTR","INTR")</f>
        <v/>
      </c>
      <c r="B1779" t="inlineStr">
        <is>
          <t>Inter &amp; Co, Inc.</t>
        </is>
      </c>
      <c r="C1779" t="inlineStr">
        <is>
          <t>Nasdaq</t>
        </is>
      </c>
      <c r="D1779" t="n">
        <v>1864163</v>
      </c>
      <c r="E1779" t="inlineStr">
        <is>
          <t>SEC</t>
        </is>
      </c>
    </row>
    <row r="1780">
      <c r="A1780" s="5">
        <f>HYPERLINK("https://finance.yahoo.com/quote/WOR","WOR")</f>
        <v/>
      </c>
      <c r="B1780" t="inlineStr">
        <is>
          <t>WORTHINGTON ENTERPRISES, INC.</t>
        </is>
      </c>
      <c r="C1780" t="inlineStr">
        <is>
          <t>NYSE</t>
        </is>
      </c>
      <c r="D1780" t="n">
        <v>108516</v>
      </c>
      <c r="E1780" t="inlineStr">
        <is>
          <t>SEC</t>
        </is>
      </c>
    </row>
    <row r="1781">
      <c r="A1781" s="5">
        <f>HYPERLINK("https://finance.yahoo.com/quote/PII","PII")</f>
        <v/>
      </c>
      <c r="B1781" t="inlineStr">
        <is>
          <t>Polaris Inc.</t>
        </is>
      </c>
      <c r="C1781" t="inlineStr">
        <is>
          <t>NYSE</t>
        </is>
      </c>
      <c r="D1781" t="n">
        <v>931015</v>
      </c>
      <c r="E1781" t="inlineStr">
        <is>
          <t>SEC</t>
        </is>
      </c>
    </row>
    <row r="1782">
      <c r="A1782" s="5">
        <f>HYPERLINK("https://finance.yahoo.com/quote/ERO","ERO")</f>
        <v/>
      </c>
      <c r="B1782" t="inlineStr">
        <is>
          <t>Ero Copper Corp.</t>
        </is>
      </c>
      <c r="C1782" t="inlineStr">
        <is>
          <t>NYSE</t>
        </is>
      </c>
      <c r="D1782" t="n">
        <v>1853860</v>
      </c>
      <c r="E1782" t="inlineStr">
        <is>
          <t>SEC</t>
        </is>
      </c>
    </row>
    <row r="1783">
      <c r="A1783" s="5">
        <f>HYPERLINK("https://finance.yahoo.com/quote/AVA","AVA")</f>
        <v/>
      </c>
      <c r="B1783" t="inlineStr">
        <is>
          <t>AVISTA CORP</t>
        </is>
      </c>
      <c r="C1783" t="inlineStr">
        <is>
          <t>NYSE</t>
        </is>
      </c>
      <c r="D1783" t="n">
        <v>104918</v>
      </c>
      <c r="E1783" t="inlineStr">
        <is>
          <t>SEC</t>
        </is>
      </c>
    </row>
    <row r="1784">
      <c r="A1784" s="5">
        <f>HYPERLINK("https://finance.yahoo.com/quote/GBDC","GBDC")</f>
        <v/>
      </c>
      <c r="B1784" t="inlineStr">
        <is>
          <t>GOLUB CAPITAL BDC, Inc.</t>
        </is>
      </c>
      <c r="C1784" t="inlineStr">
        <is>
          <t>Nasdaq</t>
        </is>
      </c>
      <c r="D1784" t="n">
        <v>1476765</v>
      </c>
      <c r="E1784" t="inlineStr">
        <is>
          <t>SEC</t>
        </is>
      </c>
    </row>
    <row r="1785">
      <c r="A1785" s="5">
        <f>HYPERLINK("https://finance.yahoo.com/quote/ABM","ABM")</f>
        <v/>
      </c>
      <c r="B1785" t="inlineStr">
        <is>
          <t>ABM INDUSTRIES INC /DE/</t>
        </is>
      </c>
      <c r="C1785" t="inlineStr">
        <is>
          <t>NYSE</t>
        </is>
      </c>
      <c r="D1785" t="n">
        <v>771497</v>
      </c>
      <c r="E1785" t="inlineStr">
        <is>
          <t>SEC</t>
        </is>
      </c>
    </row>
    <row r="1786">
      <c r="A1786" s="5">
        <f>HYPERLINK("https://finance.yahoo.com/quote/PAGS","PAGS")</f>
        <v/>
      </c>
      <c r="B1786" t="inlineStr">
        <is>
          <t>PagSeguro Digital Ltd.</t>
        </is>
      </c>
      <c r="C1786" t="inlineStr">
        <is>
          <t>NYSE</t>
        </is>
      </c>
      <c r="D1786" t="n">
        <v>1712807</v>
      </c>
      <c r="E1786" t="inlineStr">
        <is>
          <t>SEC</t>
        </is>
      </c>
    </row>
    <row r="1787">
      <c r="A1787" s="5">
        <f>HYPERLINK("https://finance.yahoo.com/quote/ALRM","ALRM")</f>
        <v/>
      </c>
      <c r="B1787" t="inlineStr">
        <is>
          <t>Alarm.com Holdings, Inc.</t>
        </is>
      </c>
      <c r="C1787" t="inlineStr">
        <is>
          <t>Nasdaq</t>
        </is>
      </c>
      <c r="D1787" t="n">
        <v>1459200</v>
      </c>
      <c r="E1787" t="inlineStr">
        <is>
          <t>SEC</t>
        </is>
      </c>
    </row>
    <row r="1788">
      <c r="A1788" s="5">
        <f>HYPERLINK("https://finance.yahoo.com/quote/KAI","KAI")</f>
        <v/>
      </c>
      <c r="B1788" t="inlineStr">
        <is>
          <t>KADANT INC</t>
        </is>
      </c>
      <c r="C1788" t="inlineStr">
        <is>
          <t>NYSE</t>
        </is>
      </c>
      <c r="D1788" t="n">
        <v>886346</v>
      </c>
      <c r="E1788" t="inlineStr">
        <is>
          <t>SEC</t>
        </is>
      </c>
    </row>
    <row r="1789">
      <c r="A1789" s="5">
        <f>HYPERLINK("https://finance.yahoo.com/quote/COLM","COLM")</f>
        <v/>
      </c>
      <c r="B1789" t="inlineStr">
        <is>
          <t>COLUMBIA SPORTSWEAR CO</t>
        </is>
      </c>
      <c r="C1789" t="inlineStr">
        <is>
          <t>Nasdaq</t>
        </is>
      </c>
      <c r="D1789" t="n">
        <v>1050797</v>
      </c>
      <c r="E1789" t="inlineStr">
        <is>
          <t>SEC</t>
        </is>
      </c>
    </row>
    <row r="1790">
      <c r="A1790" s="5">
        <f>HYPERLINK("https://finance.yahoo.com/quote/YETI","YETI")</f>
        <v/>
      </c>
      <c r="B1790" t="inlineStr">
        <is>
          <t>YETI Holdings, Inc.</t>
        </is>
      </c>
      <c r="C1790" t="inlineStr">
        <is>
          <t>NYSE</t>
        </is>
      </c>
      <c r="D1790" t="n">
        <v>1670592</v>
      </c>
      <c r="E1790" t="inlineStr">
        <is>
          <t>SEC</t>
        </is>
      </c>
    </row>
    <row r="1791">
      <c r="A1791" s="5">
        <f>HYPERLINK("https://finance.yahoo.com/quote/CENX","CENX")</f>
        <v/>
      </c>
      <c r="B1791" t="inlineStr">
        <is>
          <t>CENTURY ALUMINUM CO</t>
        </is>
      </c>
      <c r="C1791" t="inlineStr">
        <is>
          <t>Nasdaq</t>
        </is>
      </c>
      <c r="D1791" t="n">
        <v>949157</v>
      </c>
      <c r="E1791" t="inlineStr">
        <is>
          <t>SEC</t>
        </is>
      </c>
    </row>
    <row r="1792">
      <c r="A1792" s="5">
        <f>HYPERLINK("https://finance.yahoo.com/quote/VKTX","VKTX")</f>
        <v/>
      </c>
      <c r="B1792" t="inlineStr">
        <is>
          <t>Viking Therapeutics, Inc.</t>
        </is>
      </c>
      <c r="C1792" t="inlineStr">
        <is>
          <t>Nasdaq</t>
        </is>
      </c>
      <c r="D1792" t="n">
        <v>1607678</v>
      </c>
      <c r="E1792" t="inlineStr">
        <is>
          <t>SEC</t>
        </is>
      </c>
    </row>
    <row r="1793">
      <c r="A1793" s="5">
        <f>HYPERLINK("https://finance.yahoo.com/quote/VIA","VIA")</f>
        <v/>
      </c>
      <c r="B1793" t="inlineStr">
        <is>
          <t>Via Transportation, Inc.</t>
        </is>
      </c>
      <c r="C1793" t="inlineStr">
        <is>
          <t>NYSE</t>
        </is>
      </c>
      <c r="D1793" t="n">
        <v>1603015</v>
      </c>
      <c r="E1793" t="inlineStr">
        <is>
          <t>SEC</t>
        </is>
      </c>
    </row>
    <row r="1794">
      <c r="A1794" s="5">
        <f>HYPERLINK("https://finance.yahoo.com/quote/MHO","MHO")</f>
        <v/>
      </c>
      <c r="B1794" t="inlineStr">
        <is>
          <t>M/I HOMES, INC.</t>
        </is>
      </c>
      <c r="C1794" t="inlineStr">
        <is>
          <t>NYSE</t>
        </is>
      </c>
      <c r="D1794" t="n">
        <v>799292</v>
      </c>
      <c r="E1794" t="inlineStr">
        <is>
          <t>SEC</t>
        </is>
      </c>
    </row>
    <row r="1795">
      <c r="A1795" s="5">
        <f>HYPERLINK("https://finance.yahoo.com/quote/BKU","BKU")</f>
        <v/>
      </c>
      <c r="B1795" t="inlineStr">
        <is>
          <t>BankUnited, Inc.</t>
        </is>
      </c>
      <c r="C1795" t="inlineStr">
        <is>
          <t>NYSE</t>
        </is>
      </c>
      <c r="D1795" t="n">
        <v>1504008</v>
      </c>
      <c r="E1795" t="inlineStr">
        <is>
          <t>SEC</t>
        </is>
      </c>
    </row>
    <row r="1796">
      <c r="A1796" s="5">
        <f>HYPERLINK("https://finance.yahoo.com/quote/HURN","HURN")</f>
        <v/>
      </c>
      <c r="B1796" t="inlineStr">
        <is>
          <t>Huron Consulting Group Inc.</t>
        </is>
      </c>
      <c r="C1796" t="inlineStr">
        <is>
          <t>Nasdaq</t>
        </is>
      </c>
      <c r="D1796" t="n">
        <v>1289848</v>
      </c>
      <c r="E1796" t="inlineStr">
        <is>
          <t>SEC</t>
        </is>
      </c>
    </row>
    <row r="1797">
      <c r="A1797" s="5">
        <f>HYPERLINK("https://finance.yahoo.com/quote/TLX","TLX")</f>
        <v/>
      </c>
      <c r="B1797" t="inlineStr">
        <is>
          <t>Telix Pharmaceuticals Ltd</t>
        </is>
      </c>
      <c r="C1797" t="inlineStr">
        <is>
          <t>Nasdaq</t>
        </is>
      </c>
      <c r="D1797" t="n">
        <v>2007191</v>
      </c>
      <c r="E1797" t="inlineStr">
        <is>
          <t>SEC</t>
        </is>
      </c>
    </row>
    <row r="1798">
      <c r="A1798" s="5">
        <f>HYPERLINK("https://finance.yahoo.com/quote/FRPT","FRPT")</f>
        <v/>
      </c>
      <c r="B1798" t="inlineStr">
        <is>
          <t>Freshpet, Inc.</t>
        </is>
      </c>
      <c r="C1798" t="inlineStr">
        <is>
          <t>Nasdaq</t>
        </is>
      </c>
      <c r="D1798" t="n">
        <v>1611647</v>
      </c>
      <c r="E1798" t="inlineStr">
        <is>
          <t>SEC</t>
        </is>
      </c>
    </row>
    <row r="1799">
      <c r="A1799" s="5">
        <f>HYPERLINK("https://finance.yahoo.com/quote/KYIV","KYIV")</f>
        <v/>
      </c>
      <c r="B1799" t="inlineStr">
        <is>
          <t>Kyivstar Group Ltd.</t>
        </is>
      </c>
      <c r="C1799" t="inlineStr">
        <is>
          <t>Nasdaq</t>
        </is>
      </c>
      <c r="D1799" t="n">
        <v>2062440</v>
      </c>
      <c r="E1799" t="inlineStr">
        <is>
          <t>SEC</t>
        </is>
      </c>
    </row>
    <row r="1800">
      <c r="A1800" s="5">
        <f>HYPERLINK("https://finance.yahoo.com/quote/ABG","ABG")</f>
        <v/>
      </c>
      <c r="B1800" t="inlineStr">
        <is>
          <t>ASBURY AUTOMOTIVE GROUP INC</t>
        </is>
      </c>
      <c r="C1800" t="inlineStr">
        <is>
          <t>NYSE</t>
        </is>
      </c>
      <c r="D1800" t="n">
        <v>1144980</v>
      </c>
      <c r="E1800" t="inlineStr">
        <is>
          <t>SEC</t>
        </is>
      </c>
    </row>
    <row r="1801">
      <c r="A1801" s="5">
        <f>HYPERLINK("https://finance.yahoo.com/quote/UTG","UTG")</f>
        <v/>
      </c>
      <c r="B1801" t="inlineStr">
        <is>
          <t>REAVES UTILITY INCOME FUND</t>
        </is>
      </c>
      <c r="C1801" t="inlineStr">
        <is>
          <t>NYSE</t>
        </is>
      </c>
      <c r="D1801" t="n">
        <v>1263994</v>
      </c>
      <c r="E1801" t="inlineStr">
        <is>
          <t>SEC</t>
        </is>
      </c>
    </row>
    <row r="1802">
      <c r="A1802" s="5">
        <f>HYPERLINK("https://finance.yahoo.com/quote/FHB","FHB")</f>
        <v/>
      </c>
      <c r="B1802" t="inlineStr">
        <is>
          <t>FIRST HAWAIIAN, INC.</t>
        </is>
      </c>
      <c r="C1802" t="inlineStr">
        <is>
          <t>Nasdaq</t>
        </is>
      </c>
      <c r="D1802" t="n">
        <v>36377</v>
      </c>
      <c r="E1802" t="inlineStr">
        <is>
          <t>SEC</t>
        </is>
      </c>
    </row>
    <row r="1803">
      <c r="A1803" s="5">
        <f>HYPERLINK("https://finance.yahoo.com/quote/BULL","BULL")</f>
        <v/>
      </c>
      <c r="B1803" t="inlineStr">
        <is>
          <t>Webull Corp</t>
        </is>
      </c>
      <c r="C1803" t="inlineStr">
        <is>
          <t>Nasdaq</t>
        </is>
      </c>
      <c r="D1803" t="n">
        <v>1866364</v>
      </c>
      <c r="E1803" t="inlineStr">
        <is>
          <t>SEC</t>
        </is>
      </c>
    </row>
    <row r="1804">
      <c r="A1804" s="5">
        <f>HYPERLINK("https://finance.yahoo.com/quote/HTGC","HTGC")</f>
        <v/>
      </c>
      <c r="B1804" t="inlineStr">
        <is>
          <t>Hercules Capital, Inc.</t>
        </is>
      </c>
      <c r="C1804" t="inlineStr">
        <is>
          <t>NYSE</t>
        </is>
      </c>
      <c r="D1804" t="n">
        <v>1280784</v>
      </c>
      <c r="E1804" t="inlineStr">
        <is>
          <t>SEC</t>
        </is>
      </c>
    </row>
    <row r="1805">
      <c r="A1805" s="5">
        <f>HYPERLINK("https://finance.yahoo.com/quote/FOUR","FOUR")</f>
        <v/>
      </c>
      <c r="B1805" t="inlineStr">
        <is>
          <t>Shift4 Payments, Inc.</t>
        </is>
      </c>
      <c r="C1805" t="inlineStr">
        <is>
          <t>NYSE</t>
        </is>
      </c>
      <c r="D1805" t="n">
        <v>1794669</v>
      </c>
      <c r="E1805" t="inlineStr">
        <is>
          <t>SEC</t>
        </is>
      </c>
    </row>
    <row r="1806">
      <c r="A1806" s="5">
        <f>HYPERLINK("https://finance.yahoo.com/quote/FLY","FLY")</f>
        <v/>
      </c>
      <c r="B1806" t="inlineStr">
        <is>
          <t>Firefly Aerospace Inc.</t>
        </is>
      </c>
      <c r="C1806" t="inlineStr">
        <is>
          <t>Nasdaq</t>
        </is>
      </c>
      <c r="D1806" t="n">
        <v>1860160</v>
      </c>
      <c r="E1806" t="inlineStr">
        <is>
          <t>SEC</t>
        </is>
      </c>
    </row>
    <row r="1807">
      <c r="A1807" s="5">
        <f>HYPERLINK("https://finance.yahoo.com/quote/TALO","TALO")</f>
        <v/>
      </c>
      <c r="B1807" t="inlineStr">
        <is>
          <t>TALOS ENERGY INC.</t>
        </is>
      </c>
      <c r="C1807" t="inlineStr">
        <is>
          <t>NYSE</t>
        </is>
      </c>
      <c r="D1807" t="n">
        <v>1724965</v>
      </c>
      <c r="E1807" t="inlineStr">
        <is>
          <t>SEC</t>
        </is>
      </c>
    </row>
    <row r="1808">
      <c r="A1808" s="5">
        <f>HYPERLINK("https://finance.yahoo.com/quote/AGO","AGO")</f>
        <v/>
      </c>
      <c r="B1808" t="inlineStr">
        <is>
          <t>ASSURED GUARANTY LTD</t>
        </is>
      </c>
      <c r="C1808" t="inlineStr">
        <is>
          <t>NYSE</t>
        </is>
      </c>
      <c r="D1808" t="n">
        <v>1273813</v>
      </c>
      <c r="E1808" t="inlineStr">
        <is>
          <t>SEC</t>
        </is>
      </c>
    </row>
    <row r="1809">
      <c r="A1809" s="5">
        <f>HYPERLINK("https://finance.yahoo.com/quote/NEA","NEA")</f>
        <v/>
      </c>
      <c r="B1809" t="inlineStr">
        <is>
          <t>Nuveen AMT-Free Quality Municipal Income Fund</t>
        </is>
      </c>
      <c r="C1809" t="inlineStr">
        <is>
          <t>NYSE</t>
        </is>
      </c>
      <c r="D1809" t="n">
        <v>1195737</v>
      </c>
      <c r="E1809" t="inlineStr">
        <is>
          <t>SEC</t>
        </is>
      </c>
    </row>
    <row r="1810">
      <c r="A1810" s="5">
        <f>HYPERLINK("https://finance.yahoo.com/quote/IPGP","IPGP")</f>
        <v/>
      </c>
      <c r="B1810" t="inlineStr">
        <is>
          <t>IPG PHOTONICS CORP</t>
        </is>
      </c>
      <c r="C1810" t="inlineStr">
        <is>
          <t>Nasdaq</t>
        </is>
      </c>
      <c r="D1810" t="n">
        <v>1111928</v>
      </c>
      <c r="E1810" t="inlineStr">
        <is>
          <t>SEC</t>
        </is>
      </c>
    </row>
    <row r="1811">
      <c r="A1811" s="5">
        <f>HYPERLINK("https://finance.yahoo.com/quote/CLBT","CLBT")</f>
        <v/>
      </c>
      <c r="B1811" t="inlineStr">
        <is>
          <t>Cellebrite DI Ltd.</t>
        </is>
      </c>
      <c r="C1811" t="inlineStr">
        <is>
          <t>Nasdaq</t>
        </is>
      </c>
      <c r="D1811" t="n">
        <v>1854587</v>
      </c>
      <c r="E1811" t="inlineStr">
        <is>
          <t>SEC</t>
        </is>
      </c>
    </row>
    <row r="1812">
      <c r="A1812" s="5">
        <f>HYPERLINK("https://finance.yahoo.com/quote/ACHR","ACHR")</f>
        <v/>
      </c>
      <c r="B1812" t="inlineStr">
        <is>
          <t>Archer Aviation Inc.</t>
        </is>
      </c>
      <c r="C1812" t="inlineStr">
        <is>
          <t>NYSE</t>
        </is>
      </c>
      <c r="D1812" t="n">
        <v>1824502</v>
      </c>
      <c r="E1812" t="inlineStr">
        <is>
          <t>SEC</t>
        </is>
      </c>
    </row>
    <row r="1813">
      <c r="A1813" s="5">
        <f>HYPERLINK("https://finance.yahoo.com/quote/KNF","KNF")</f>
        <v/>
      </c>
      <c r="B1813" t="inlineStr">
        <is>
          <t>Knife River Corp</t>
        </is>
      </c>
      <c r="C1813" t="inlineStr">
        <is>
          <t>NYSE</t>
        </is>
      </c>
      <c r="D1813" t="n">
        <v>1955520</v>
      </c>
      <c r="E1813" t="inlineStr">
        <is>
          <t>SEC</t>
        </is>
      </c>
    </row>
    <row r="1814">
      <c r="A1814" s="5">
        <f>HYPERLINK("https://finance.yahoo.com/quote/CBZ","CBZ")</f>
        <v/>
      </c>
      <c r="B1814" t="inlineStr">
        <is>
          <t>CBIZ, Inc.</t>
        </is>
      </c>
      <c r="C1814" t="inlineStr">
        <is>
          <t>NYSE</t>
        </is>
      </c>
      <c r="D1814" t="n">
        <v>944148</v>
      </c>
      <c r="E1814" t="inlineStr">
        <is>
          <t>SEC</t>
        </is>
      </c>
    </row>
    <row r="1815">
      <c r="A1815" s="5">
        <f>HYPERLINK("https://finance.yahoo.com/quote/PFS","PFS")</f>
        <v/>
      </c>
      <c r="B1815" t="inlineStr">
        <is>
          <t>PROVIDENT FINANCIAL SERVICES INC</t>
        </is>
      </c>
      <c r="C1815" t="inlineStr">
        <is>
          <t>NYSE</t>
        </is>
      </c>
      <c r="D1815" t="n">
        <v>1178970</v>
      </c>
      <c r="E1815" t="inlineStr">
        <is>
          <t>SEC</t>
        </is>
      </c>
    </row>
    <row r="1816">
      <c r="A1816" s="5">
        <f>HYPERLINK("https://finance.yahoo.com/quote/ELVN","ELVN")</f>
        <v/>
      </c>
      <c r="B1816" t="inlineStr">
        <is>
          <t>Enliven Therapeutics, Inc.</t>
        </is>
      </c>
      <c r="C1816" t="inlineStr">
        <is>
          <t>Nasdaq</t>
        </is>
      </c>
      <c r="D1816" t="n">
        <v>1672619</v>
      </c>
      <c r="E1816" t="inlineStr">
        <is>
          <t>SEC</t>
        </is>
      </c>
    </row>
    <row r="1817">
      <c r="A1817" s="5">
        <f>HYPERLINK("https://finance.yahoo.com/quote/HOG","HOG")</f>
        <v/>
      </c>
      <c r="B1817" t="inlineStr">
        <is>
          <t>HARLEY-DAVIDSON, INC.</t>
        </is>
      </c>
      <c r="C1817" t="inlineStr">
        <is>
          <t>NYSE</t>
        </is>
      </c>
      <c r="D1817" t="n">
        <v>793952</v>
      </c>
      <c r="E1817" t="inlineStr">
        <is>
          <t>SEC</t>
        </is>
      </c>
    </row>
    <row r="1818">
      <c r="A1818" s="5">
        <f>HYPERLINK("https://finance.yahoo.com/quote/SPNT","SPNT")</f>
        <v/>
      </c>
      <c r="B1818" t="inlineStr">
        <is>
          <t>SiriusPoint Ltd</t>
        </is>
      </c>
      <c r="C1818" t="inlineStr">
        <is>
          <t>NYSE</t>
        </is>
      </c>
      <c r="D1818" t="n">
        <v>1576018</v>
      </c>
      <c r="E1818" t="inlineStr">
        <is>
          <t>SEC</t>
        </is>
      </c>
    </row>
    <row r="1819">
      <c r="A1819" s="5">
        <f>HYPERLINK("https://finance.yahoo.com/quote/NOG","NOG")</f>
        <v/>
      </c>
      <c r="B1819" t="inlineStr">
        <is>
          <t>NORTHERN OIL &amp; GAS, INC.</t>
        </is>
      </c>
      <c r="C1819" t="inlineStr">
        <is>
          <t>NYSE</t>
        </is>
      </c>
      <c r="D1819" t="n">
        <v>1104485</v>
      </c>
      <c r="E1819" t="inlineStr">
        <is>
          <t>SEC</t>
        </is>
      </c>
    </row>
    <row r="1820">
      <c r="A1820" s="5">
        <f>HYPERLINK("https://finance.yahoo.com/quote/ATRC","ATRC")</f>
        <v/>
      </c>
      <c r="B1820" t="inlineStr">
        <is>
          <t>AtriCure, Inc.</t>
        </is>
      </c>
      <c r="C1820" t="inlineStr">
        <is>
          <t>Nasdaq</t>
        </is>
      </c>
      <c r="D1820" t="n">
        <v>1323885</v>
      </c>
      <c r="E1820" t="inlineStr">
        <is>
          <t>SEC</t>
        </is>
      </c>
    </row>
    <row r="1821">
      <c r="A1821" s="5">
        <f>HYPERLINK("https://finance.yahoo.com/quote/PBLS","PBLS")</f>
        <v/>
      </c>
      <c r="B1821" t="inlineStr">
        <is>
          <t>Parabilis Medicines, Inc.</t>
        </is>
      </c>
      <c r="C1821" t="inlineStr">
        <is>
          <t>Nasdaq</t>
        </is>
      </c>
      <c r="D1821" t="n">
        <v>1657677</v>
      </c>
      <c r="E1821" t="inlineStr">
        <is>
          <t>SEC</t>
        </is>
      </c>
    </row>
    <row r="1822">
      <c r="A1822" s="5">
        <f>HYPERLINK("https://finance.yahoo.com/quote/CXW","CXW")</f>
        <v/>
      </c>
      <c r="B1822" t="inlineStr">
        <is>
          <t>CoreCivic, Inc.</t>
        </is>
      </c>
      <c r="C1822" t="inlineStr">
        <is>
          <t>NYSE</t>
        </is>
      </c>
      <c r="D1822" t="n">
        <v>1070985</v>
      </c>
      <c r="E1822" t="inlineStr">
        <is>
          <t>SEC</t>
        </is>
      </c>
    </row>
    <row r="1823">
      <c r="A1823" s="5">
        <f>HYPERLINK("https://finance.yahoo.com/quote/CECO","CECO")</f>
        <v/>
      </c>
      <c r="B1823" t="inlineStr">
        <is>
          <t>CECO ENVIRONMENTAL CORP</t>
        </is>
      </c>
      <c r="C1823" t="inlineStr">
        <is>
          <t>TXSE</t>
        </is>
      </c>
      <c r="D1823" t="n">
        <v>3197</v>
      </c>
      <c r="E1823" t="inlineStr">
        <is>
          <t>SEC</t>
        </is>
      </c>
    </row>
    <row r="1824">
      <c r="A1824" s="5">
        <f>HYPERLINK("https://finance.yahoo.com/quote/MZTI","MZTI")</f>
        <v/>
      </c>
      <c r="B1824" t="inlineStr">
        <is>
          <t>MARZETTI CO</t>
        </is>
      </c>
      <c r="C1824" t="inlineStr">
        <is>
          <t>Nasdaq</t>
        </is>
      </c>
      <c r="D1824" t="n">
        <v>57515</v>
      </c>
      <c r="E1824" t="inlineStr">
        <is>
          <t>SEC</t>
        </is>
      </c>
    </row>
    <row r="1825">
      <c r="A1825" s="5">
        <f>HYPERLINK("https://finance.yahoo.com/quote/AEO","AEO")</f>
        <v/>
      </c>
      <c r="B1825" t="inlineStr">
        <is>
          <t>AMERICAN EAGLE OUTFITTERS INC</t>
        </is>
      </c>
      <c r="C1825" t="inlineStr">
        <is>
          <t>NYSE</t>
        </is>
      </c>
      <c r="D1825" t="n">
        <v>919012</v>
      </c>
      <c r="E1825" t="inlineStr">
        <is>
          <t>SEC</t>
        </is>
      </c>
    </row>
    <row r="1826">
      <c r="A1826" s="5">
        <f>HYPERLINK("https://finance.yahoo.com/quote/SXI","SXI")</f>
        <v/>
      </c>
      <c r="B1826" t="inlineStr">
        <is>
          <t>STANDEX INTERNATIONAL CORP/DE/</t>
        </is>
      </c>
      <c r="C1826" t="inlineStr">
        <is>
          <t>NYSE</t>
        </is>
      </c>
      <c r="D1826" t="n">
        <v>310354</v>
      </c>
      <c r="E1826" t="inlineStr">
        <is>
          <t>SEC</t>
        </is>
      </c>
    </row>
    <row r="1827">
      <c r="A1827" s="5">
        <f>HYPERLINK("https://finance.yahoo.com/quote/CWT","CWT")</f>
        <v/>
      </c>
      <c r="B1827" t="inlineStr">
        <is>
          <t>CALIFORNIA WATER SERVICE GROUP</t>
        </is>
      </c>
      <c r="C1827" t="inlineStr">
        <is>
          <t>NYSE</t>
        </is>
      </c>
      <c r="D1827" t="n">
        <v>1035201</v>
      </c>
      <c r="E1827" t="inlineStr">
        <is>
          <t>SEC</t>
        </is>
      </c>
    </row>
    <row r="1828">
      <c r="A1828" s="5">
        <f>HYPERLINK("https://finance.yahoo.com/quote/IMAX","IMAX")</f>
        <v/>
      </c>
      <c r="B1828" t="inlineStr">
        <is>
          <t>IMAX CORP</t>
        </is>
      </c>
      <c r="C1828" t="inlineStr">
        <is>
          <t>NYSE</t>
        </is>
      </c>
      <c r="D1828" t="n">
        <v>921582</v>
      </c>
      <c r="E1828" t="inlineStr">
        <is>
          <t>SEC</t>
        </is>
      </c>
    </row>
    <row r="1829">
      <c r="A1829" s="5">
        <f>HYPERLINK("https://finance.yahoo.com/quote/CALM","CALM")</f>
        <v/>
      </c>
      <c r="B1829" t="inlineStr">
        <is>
          <t>CAL-MAINE FOODS INC</t>
        </is>
      </c>
      <c r="C1829" t="inlineStr">
        <is>
          <t>Nasdaq</t>
        </is>
      </c>
      <c r="D1829" t="n">
        <v>16160</v>
      </c>
      <c r="E1829" t="inlineStr">
        <is>
          <t>SEC</t>
        </is>
      </c>
    </row>
    <row r="1830">
      <c r="A1830" s="5">
        <f>HYPERLINK("https://finance.yahoo.com/quote/WSC","WSC")</f>
        <v/>
      </c>
      <c r="B1830" t="inlineStr">
        <is>
          <t>WillScot Holdings Corp</t>
        </is>
      </c>
      <c r="C1830" t="inlineStr">
        <is>
          <t>Nasdaq</t>
        </is>
      </c>
      <c r="D1830" t="n">
        <v>1647088</v>
      </c>
      <c r="E1830" t="inlineStr">
        <is>
          <t>SEC</t>
        </is>
      </c>
    </row>
    <row r="1831">
      <c r="A1831" s="5">
        <f>HYPERLINK("https://finance.yahoo.com/quote/ACHC","ACHC")</f>
        <v/>
      </c>
      <c r="B1831" t="inlineStr">
        <is>
          <t>Acadia Healthcare Company, Inc.</t>
        </is>
      </c>
      <c r="C1831" t="inlineStr">
        <is>
          <t>Nasdaq</t>
        </is>
      </c>
      <c r="D1831" t="n">
        <v>1520697</v>
      </c>
      <c r="E1831" t="inlineStr">
        <is>
          <t>SEC</t>
        </is>
      </c>
    </row>
    <row r="1832">
      <c r="A1832" s="5">
        <f>HYPERLINK("https://finance.yahoo.com/quote/ASST","ASST")</f>
        <v/>
      </c>
      <c r="B1832" t="inlineStr">
        <is>
          <t>Strive, Inc.</t>
        </is>
      </c>
      <c r="C1832" t="inlineStr">
        <is>
          <t>Nasdaq</t>
        </is>
      </c>
      <c r="D1832" t="n">
        <v>1920406</v>
      </c>
      <c r="E1832" t="inlineStr">
        <is>
          <t>SEC</t>
        </is>
      </c>
    </row>
    <row r="1833">
      <c r="A1833" s="5">
        <f>HYPERLINK("https://finance.yahoo.com/quote/MNSO","MNSO")</f>
        <v/>
      </c>
      <c r="B1833" t="inlineStr">
        <is>
          <t>MINISO Group Holding Ltd</t>
        </is>
      </c>
      <c r="C1833" t="inlineStr">
        <is>
          <t>NYSE</t>
        </is>
      </c>
      <c r="D1833" t="n">
        <v>1815846</v>
      </c>
      <c r="E1833" t="inlineStr">
        <is>
          <t>SEC</t>
        </is>
      </c>
    </row>
    <row r="1834">
      <c r="A1834" s="5">
        <f>HYPERLINK("https://finance.yahoo.com/quote/AMBA","AMBA")</f>
        <v/>
      </c>
      <c r="B1834" t="inlineStr">
        <is>
          <t>AMBARELLA INC</t>
        </is>
      </c>
      <c r="C1834" t="inlineStr">
        <is>
          <t>Nasdaq</t>
        </is>
      </c>
      <c r="D1834" t="n">
        <v>1280263</v>
      </c>
      <c r="E1834" t="inlineStr">
        <is>
          <t>SEC</t>
        </is>
      </c>
    </row>
    <row r="1835">
      <c r="A1835" s="5">
        <f>HYPERLINK("https://finance.yahoo.com/quote/VGNT","VGNT")</f>
        <v/>
      </c>
      <c r="B1835" t="inlineStr">
        <is>
          <t>Versigent PLC</t>
        </is>
      </c>
      <c r="C1835" t="inlineStr">
        <is>
          <t>NYSE</t>
        </is>
      </c>
      <c r="D1835" t="n">
        <v>2078008</v>
      </c>
      <c r="E1835" t="inlineStr">
        <is>
          <t>SEC</t>
        </is>
      </c>
    </row>
    <row r="1836">
      <c r="A1836" s="5">
        <f>HYPERLINK("https://finance.yahoo.com/quote/EXTR","EXTR")</f>
        <v/>
      </c>
      <c r="B1836" t="inlineStr">
        <is>
          <t>EXTREME NETWORKS INC</t>
        </is>
      </c>
      <c r="C1836" t="inlineStr">
        <is>
          <t>Nasdaq</t>
        </is>
      </c>
      <c r="D1836" t="n">
        <v>1078271</v>
      </c>
      <c r="E1836" t="inlineStr">
        <is>
          <t>SEC</t>
        </is>
      </c>
    </row>
    <row r="1837">
      <c r="A1837" s="5">
        <f>HYPERLINK("https://finance.yahoo.com/quote/GPOR","GPOR")</f>
        <v/>
      </c>
      <c r="B1837" t="inlineStr">
        <is>
          <t>GULFPORT ENERGY CORP</t>
        </is>
      </c>
      <c r="C1837" t="inlineStr">
        <is>
          <t>NYSE</t>
        </is>
      </c>
      <c r="D1837" t="n">
        <v>874499</v>
      </c>
      <c r="E1837" t="inlineStr">
        <is>
          <t>SEC</t>
        </is>
      </c>
    </row>
    <row r="1838">
      <c r="A1838" s="5">
        <f>HYPERLINK("https://finance.yahoo.com/quote/DNLI","DNLI")</f>
        <v/>
      </c>
      <c r="B1838" t="inlineStr">
        <is>
          <t>Denali Therapeutics Inc.</t>
        </is>
      </c>
      <c r="C1838" t="inlineStr">
        <is>
          <t>Nasdaq</t>
        </is>
      </c>
      <c r="D1838" t="n">
        <v>1714899</v>
      </c>
      <c r="E1838" t="inlineStr">
        <is>
          <t>SEC</t>
        </is>
      </c>
    </row>
    <row r="1839">
      <c r="A1839" s="5">
        <f>HYPERLINK("https://finance.yahoo.com/quote/CLBK","CLBK")</f>
        <v/>
      </c>
      <c r="B1839" t="inlineStr">
        <is>
          <t>Columbia Financial, Inc./MD/</t>
        </is>
      </c>
      <c r="C1839" t="inlineStr">
        <is>
          <t>Nasdaq</t>
        </is>
      </c>
      <c r="D1839" t="n">
        <v>2115119</v>
      </c>
      <c r="E1839" t="inlineStr">
        <is>
          <t>SEC</t>
        </is>
      </c>
    </row>
    <row r="1840">
      <c r="A1840" s="5">
        <f>HYPERLINK("https://finance.yahoo.com/quote/AVAH","AVAH")</f>
        <v/>
      </c>
      <c r="B1840" t="inlineStr">
        <is>
          <t>Aveanna Healthcare Holdings, Inc.</t>
        </is>
      </c>
      <c r="C1840" t="inlineStr">
        <is>
          <t>Nasdaq</t>
        </is>
      </c>
      <c r="D1840" t="n">
        <v>1832332</v>
      </c>
      <c r="E1840" t="inlineStr">
        <is>
          <t>SEC</t>
        </is>
      </c>
    </row>
    <row r="1841">
      <c r="A1841" s="5">
        <f>HYPERLINK("https://finance.yahoo.com/quote/PTRN","PTRN")</f>
        <v/>
      </c>
      <c r="B1841" t="inlineStr">
        <is>
          <t>Pattern Group Inc.</t>
        </is>
      </c>
      <c r="C1841" t="inlineStr">
        <is>
          <t>Nasdaq</t>
        </is>
      </c>
      <c r="D1841" t="n">
        <v>1811935</v>
      </c>
      <c r="E1841" t="inlineStr">
        <is>
          <t>SEC</t>
        </is>
      </c>
    </row>
    <row r="1842">
      <c r="A1842" s="5">
        <f>HYPERLINK("https://finance.yahoo.com/quote/AD","AD")</f>
        <v/>
      </c>
      <c r="B1842" t="inlineStr">
        <is>
          <t>ARRAY DIGITAL INFRASTRUCTURE, INC.</t>
        </is>
      </c>
      <c r="C1842" t="inlineStr">
        <is>
          <t>NYSE</t>
        </is>
      </c>
      <c r="D1842" t="n">
        <v>821130</v>
      </c>
      <c r="E1842" t="inlineStr">
        <is>
          <t>SEC</t>
        </is>
      </c>
    </row>
    <row r="1843">
      <c r="A1843" s="5">
        <f>HYPERLINK("https://finance.yahoo.com/quote/DYN","DYN")</f>
        <v/>
      </c>
      <c r="B1843" t="inlineStr">
        <is>
          <t>Dyne Therapeutics, Inc.</t>
        </is>
      </c>
      <c r="C1843" t="inlineStr">
        <is>
          <t>Nasdaq</t>
        </is>
      </c>
      <c r="D1843" t="n">
        <v>1818794</v>
      </c>
      <c r="E1843" t="inlineStr">
        <is>
          <t>SEC</t>
        </is>
      </c>
    </row>
    <row r="1844">
      <c r="A1844" s="5">
        <f>HYPERLINK("https://finance.yahoo.com/quote/CUBI","CUBI")</f>
        <v/>
      </c>
      <c r="B1844" t="inlineStr">
        <is>
          <t>Customers Bancorp, Inc.</t>
        </is>
      </c>
      <c r="C1844" t="inlineStr">
        <is>
          <t>NYSE</t>
        </is>
      </c>
      <c r="D1844" t="n">
        <v>1488813</v>
      </c>
      <c r="E1844" t="inlineStr">
        <is>
          <t>SEC</t>
        </is>
      </c>
    </row>
    <row r="1845">
      <c r="A1845" s="5">
        <f>HYPERLINK("https://finance.yahoo.com/quote/GPI","GPI")</f>
        <v/>
      </c>
      <c r="B1845" t="inlineStr">
        <is>
          <t>GROUP 1 AUTOMOTIVE INC</t>
        </is>
      </c>
      <c r="C1845" t="inlineStr">
        <is>
          <t>NYSE</t>
        </is>
      </c>
      <c r="D1845" t="n">
        <v>1031203</v>
      </c>
      <c r="E1845" t="inlineStr">
        <is>
          <t>SEC</t>
        </is>
      </c>
    </row>
    <row r="1846">
      <c r="A1846" s="5">
        <f>HYPERLINK("https://finance.yahoo.com/quote/DAN","DAN")</f>
        <v/>
      </c>
      <c r="B1846" t="inlineStr">
        <is>
          <t>DANA Inc</t>
        </is>
      </c>
      <c r="C1846" t="inlineStr">
        <is>
          <t>NYSE</t>
        </is>
      </c>
      <c r="D1846" t="n">
        <v>26780</v>
      </c>
      <c r="E1846" t="inlineStr">
        <is>
          <t>SEC</t>
        </is>
      </c>
    </row>
    <row r="1847">
      <c r="A1847" s="5">
        <f>HYPERLINK("https://finance.yahoo.com/quote/FSK","FSK")</f>
        <v/>
      </c>
      <c r="B1847" t="inlineStr">
        <is>
          <t>FS KKR Capital Corp</t>
        </is>
      </c>
      <c r="C1847" t="inlineStr">
        <is>
          <t>NYSE</t>
        </is>
      </c>
      <c r="D1847" t="n">
        <v>1422183</v>
      </c>
      <c r="E1847" t="inlineStr">
        <is>
          <t>SEC</t>
        </is>
      </c>
    </row>
    <row r="1848">
      <c r="A1848" s="5">
        <f>HYPERLINK("https://finance.yahoo.com/quote/PRVA","PRVA")</f>
        <v/>
      </c>
      <c r="B1848" t="inlineStr">
        <is>
          <t>Privia Health Group, Inc.</t>
        </is>
      </c>
      <c r="C1848" t="inlineStr">
        <is>
          <t>Nasdaq</t>
        </is>
      </c>
      <c r="D1848" t="n">
        <v>1759655</v>
      </c>
      <c r="E1848" t="inlineStr">
        <is>
          <t>SEC</t>
        </is>
      </c>
    </row>
    <row r="1849">
      <c r="A1849" s="5">
        <f>HYPERLINK("https://finance.yahoo.com/quote/PPLI","PPLI")</f>
        <v/>
      </c>
      <c r="B1849" t="inlineStr">
        <is>
          <t>People Inc</t>
        </is>
      </c>
      <c r="C1849" t="inlineStr">
        <is>
          <t>Nasdaq</t>
        </is>
      </c>
      <c r="D1849" t="n">
        <v>1800227</v>
      </c>
      <c r="E1849" t="inlineStr">
        <is>
          <t>SEC</t>
        </is>
      </c>
    </row>
    <row r="1850">
      <c r="A1850" s="5">
        <f>HYPERLINK("https://finance.yahoo.com/quote/NTCT","NTCT")</f>
        <v/>
      </c>
      <c r="B1850" t="inlineStr">
        <is>
          <t>NETSCOUT SYSTEMS INC</t>
        </is>
      </c>
      <c r="C1850" t="inlineStr">
        <is>
          <t>Nasdaq</t>
        </is>
      </c>
      <c r="D1850" t="n">
        <v>1078075</v>
      </c>
      <c r="E1850" t="inlineStr">
        <is>
          <t>SEC</t>
        </is>
      </c>
    </row>
    <row r="1851">
      <c r="A1851" s="5">
        <f>HYPERLINK("https://finance.yahoo.com/quote/MGRC","MGRC")</f>
        <v/>
      </c>
      <c r="B1851" t="inlineStr">
        <is>
          <t>MCGRATH RENTCORP</t>
        </is>
      </c>
      <c r="C1851" t="inlineStr">
        <is>
          <t>Nasdaq</t>
        </is>
      </c>
      <c r="D1851" t="n">
        <v>752714</v>
      </c>
      <c r="E1851" t="inlineStr">
        <is>
          <t>SEC</t>
        </is>
      </c>
    </row>
    <row r="1852">
      <c r="A1852" s="5">
        <f>HYPERLINK("https://finance.yahoo.com/quote/IHS","IHS")</f>
        <v/>
      </c>
      <c r="B1852" t="inlineStr">
        <is>
          <t>IHS Holding Ltd</t>
        </is>
      </c>
      <c r="C1852" t="inlineStr">
        <is>
          <t>NYSE</t>
        </is>
      </c>
      <c r="D1852" t="n">
        <v>1876183</v>
      </c>
      <c r="E1852" t="inlineStr">
        <is>
          <t>SEC</t>
        </is>
      </c>
    </row>
    <row r="1853">
      <c r="A1853" s="5">
        <f>HYPERLINK("https://finance.yahoo.com/quote/DNOW","DNOW")</f>
        <v/>
      </c>
      <c r="B1853" t="inlineStr">
        <is>
          <t>DNOW Inc.</t>
        </is>
      </c>
      <c r="C1853" t="inlineStr">
        <is>
          <t>NYSE</t>
        </is>
      </c>
      <c r="D1853" t="n">
        <v>1599617</v>
      </c>
      <c r="E1853" t="inlineStr">
        <is>
          <t>SEC</t>
        </is>
      </c>
    </row>
    <row r="1854">
      <c r="A1854" s="5">
        <f>HYPERLINK("https://finance.yahoo.com/quote/KBH","KBH")</f>
        <v/>
      </c>
      <c r="B1854" t="inlineStr">
        <is>
          <t>KB HOME</t>
        </is>
      </c>
      <c r="C1854" t="inlineStr">
        <is>
          <t>NYSE</t>
        </is>
      </c>
      <c r="D1854" t="n">
        <v>795266</v>
      </c>
      <c r="E1854" t="inlineStr">
        <is>
          <t>SEC</t>
        </is>
      </c>
    </row>
    <row r="1855">
      <c r="A1855" s="5">
        <f>HYPERLINK("https://finance.yahoo.com/quote/BANC","BANC")</f>
        <v/>
      </c>
      <c r="B1855" t="inlineStr">
        <is>
          <t>BANC OF CALIFORNIA, INC.</t>
        </is>
      </c>
      <c r="C1855" t="inlineStr">
        <is>
          <t>NYSE</t>
        </is>
      </c>
      <c r="D1855" t="n">
        <v>1169770</v>
      </c>
      <c r="E1855" t="inlineStr">
        <is>
          <t>SEC</t>
        </is>
      </c>
    </row>
    <row r="1856">
      <c r="A1856" s="5">
        <f>HYPERLINK("https://finance.yahoo.com/quote/DGII","DGII")</f>
        <v/>
      </c>
      <c r="B1856" t="inlineStr">
        <is>
          <t>DIGI INTERNATIONAL INC</t>
        </is>
      </c>
      <c r="C1856" t="inlineStr">
        <is>
          <t>Nasdaq</t>
        </is>
      </c>
      <c r="D1856" t="n">
        <v>854775</v>
      </c>
      <c r="E1856" t="inlineStr">
        <is>
          <t>SEC</t>
        </is>
      </c>
    </row>
    <row r="1857">
      <c r="A1857" s="5">
        <f>HYPERLINK("https://finance.yahoo.com/quote/ARCB","ARCB")</f>
        <v/>
      </c>
      <c r="B1857" t="inlineStr">
        <is>
          <t>ARCBEST CORP /TX/</t>
        </is>
      </c>
      <c r="C1857" t="inlineStr">
        <is>
          <t>Nasdaq</t>
        </is>
      </c>
      <c r="D1857" t="n">
        <v>894405</v>
      </c>
      <c r="E1857" t="inlineStr">
        <is>
          <t>SEC</t>
        </is>
      </c>
    </row>
    <row r="1858">
      <c r="A1858" s="5">
        <f>HYPERLINK("https://finance.yahoo.com/quote/COTY","COTY")</f>
        <v/>
      </c>
      <c r="B1858" t="inlineStr">
        <is>
          <t>COTY INC.</t>
        </is>
      </c>
      <c r="C1858" t="inlineStr">
        <is>
          <t>NYSE</t>
        </is>
      </c>
      <c r="D1858" t="n">
        <v>1024305</v>
      </c>
      <c r="E1858" t="inlineStr">
        <is>
          <t>SEC</t>
        </is>
      </c>
    </row>
    <row r="1859">
      <c r="A1859" s="5">
        <f>HYPERLINK("https://finance.yahoo.com/quote/DRH","DRH")</f>
        <v/>
      </c>
      <c r="B1859" t="inlineStr">
        <is>
          <t>DiamondRock Hospitality Co</t>
        </is>
      </c>
      <c r="C1859" t="inlineStr">
        <is>
          <t>Nasdaq</t>
        </is>
      </c>
      <c r="D1859" t="n">
        <v>1298946</v>
      </c>
      <c r="E1859" t="inlineStr">
        <is>
          <t>SEC</t>
        </is>
      </c>
    </row>
    <row r="1860">
      <c r="A1860" s="5">
        <f>HYPERLINK("https://finance.yahoo.com/quote/CENT","CENT")</f>
        <v/>
      </c>
      <c r="B1860" t="inlineStr">
        <is>
          <t>CENTRAL GARDEN &amp; PET CO</t>
        </is>
      </c>
      <c r="C1860" t="inlineStr">
        <is>
          <t>Nasdaq</t>
        </is>
      </c>
      <c r="D1860" t="n">
        <v>887733</v>
      </c>
      <c r="E1860" t="inlineStr">
        <is>
          <t>SEC</t>
        </is>
      </c>
    </row>
    <row r="1861">
      <c r="A1861" s="5">
        <f>HYPERLINK("https://finance.yahoo.com/quote/UNFI","UNFI")</f>
        <v/>
      </c>
      <c r="B1861" t="inlineStr">
        <is>
          <t>UNITED NATURAL FOODS INC</t>
        </is>
      </c>
      <c r="C1861" t="inlineStr">
        <is>
          <t>NYSE</t>
        </is>
      </c>
      <c r="D1861" t="n">
        <v>1020859</v>
      </c>
      <c r="E1861" t="inlineStr">
        <is>
          <t>SEC</t>
        </is>
      </c>
    </row>
    <row r="1862">
      <c r="A1862" s="5">
        <f>HYPERLINK("https://finance.yahoo.com/quote/AAP","AAP")</f>
        <v/>
      </c>
      <c r="B1862" t="inlineStr">
        <is>
          <t>ADVANCE AUTO PARTS INC</t>
        </is>
      </c>
      <c r="C1862" t="inlineStr">
        <is>
          <t>NYSE</t>
        </is>
      </c>
      <c r="D1862" t="n">
        <v>1158449</v>
      </c>
      <c r="E1862" t="inlineStr">
        <is>
          <t>SEC</t>
        </is>
      </c>
    </row>
    <row r="1863">
      <c r="A1863" s="5">
        <f>HYPERLINK("https://finance.yahoo.com/quote/KN","KN")</f>
        <v/>
      </c>
      <c r="B1863" t="inlineStr">
        <is>
          <t>Knowles Corp</t>
        </is>
      </c>
      <c r="C1863" t="inlineStr">
        <is>
          <t>NYSE</t>
        </is>
      </c>
      <c r="D1863" t="n">
        <v>1587523</v>
      </c>
      <c r="E1863" t="inlineStr">
        <is>
          <t>SEC</t>
        </is>
      </c>
    </row>
    <row r="1864">
      <c r="A1864" s="5">
        <f>HYPERLINK("https://finance.yahoo.com/quote/FIVN","FIVN")</f>
        <v/>
      </c>
      <c r="B1864" t="inlineStr">
        <is>
          <t>Five9, Inc.</t>
        </is>
      </c>
      <c r="C1864" t="inlineStr">
        <is>
          <t>Nasdaq</t>
        </is>
      </c>
      <c r="D1864" t="n">
        <v>1288847</v>
      </c>
      <c r="E1864" t="inlineStr">
        <is>
          <t>SEC</t>
        </is>
      </c>
    </row>
    <row r="1865">
      <c r="A1865" s="5">
        <f>HYPERLINK("https://finance.yahoo.com/quote/PENG","PENG")</f>
        <v/>
      </c>
      <c r="B1865" t="inlineStr">
        <is>
          <t>Penguin Solutions, Inc.</t>
        </is>
      </c>
      <c r="C1865" t="inlineStr">
        <is>
          <t>Nasdaq</t>
        </is>
      </c>
      <c r="D1865" t="n">
        <v>1616533</v>
      </c>
      <c r="E1865" t="inlineStr">
        <is>
          <t>SEC</t>
        </is>
      </c>
    </row>
    <row r="1866">
      <c r="A1866" s="5">
        <f>HYPERLINK("https://finance.yahoo.com/quote/NMRK","NMRK")</f>
        <v/>
      </c>
      <c r="B1866" t="inlineStr">
        <is>
          <t>NEWMARK GROUP, INC.</t>
        </is>
      </c>
      <c r="C1866" t="inlineStr">
        <is>
          <t>Nasdaq</t>
        </is>
      </c>
      <c r="D1866" t="n">
        <v>1690680</v>
      </c>
      <c r="E1866" t="inlineStr">
        <is>
          <t>SEC</t>
        </is>
      </c>
    </row>
    <row r="1867">
      <c r="A1867" s="5">
        <f>HYPERLINK("https://finance.yahoo.com/quote/CARG","CARG")</f>
        <v/>
      </c>
      <c r="B1867" t="inlineStr">
        <is>
          <t>CarGurus, Inc.</t>
        </is>
      </c>
      <c r="C1867" t="inlineStr">
        <is>
          <t>Nasdaq</t>
        </is>
      </c>
      <c r="D1867" t="n">
        <v>1494259</v>
      </c>
      <c r="E1867" t="inlineStr">
        <is>
          <t>SEC</t>
        </is>
      </c>
    </row>
    <row r="1868">
      <c r="A1868" s="5">
        <f>HYPERLINK("https://finance.yahoo.com/quote/IOND","IOND")</f>
        <v/>
      </c>
      <c r="B1868" t="inlineStr">
        <is>
          <t>Ionic Digital Inc.</t>
        </is>
      </c>
      <c r="C1868" t="inlineStr">
        <is>
          <t>Nasdaq</t>
        </is>
      </c>
      <c r="D1868" t="n">
        <v>2007691</v>
      </c>
      <c r="E1868" t="inlineStr">
        <is>
          <t>SEC</t>
        </is>
      </c>
    </row>
    <row r="1869">
      <c r="A1869" s="5">
        <f>HYPERLINK("https://finance.yahoo.com/quote/BTU","BTU")</f>
        <v/>
      </c>
      <c r="B1869" t="inlineStr">
        <is>
          <t>PEABODY ENERGY CORP</t>
        </is>
      </c>
      <c r="C1869" t="inlineStr">
        <is>
          <t>NYSE</t>
        </is>
      </c>
      <c r="D1869" t="n">
        <v>1064728</v>
      </c>
      <c r="E1869" t="inlineStr">
        <is>
          <t>SEC</t>
        </is>
      </c>
    </row>
    <row r="1870">
      <c r="A1870" s="5">
        <f>HYPERLINK("https://finance.yahoo.com/quote/LFTO","LFTO")</f>
        <v/>
      </c>
      <c r="B1870" t="inlineStr">
        <is>
          <t>Liftoff Mobile, Inc.</t>
        </is>
      </c>
      <c r="C1870" t="inlineStr">
        <is>
          <t>Nasdaq</t>
        </is>
      </c>
      <c r="D1870" t="n">
        <v>1850351</v>
      </c>
      <c r="E1870" t="inlineStr">
        <is>
          <t>SEC</t>
        </is>
      </c>
    </row>
    <row r="1871">
      <c r="A1871" s="5">
        <f>HYPERLINK("https://finance.yahoo.com/quote/SHAK","SHAK")</f>
        <v/>
      </c>
      <c r="B1871" t="inlineStr">
        <is>
          <t>Shake Shack Inc.</t>
        </is>
      </c>
      <c r="C1871" t="inlineStr">
        <is>
          <t>NYSE</t>
        </is>
      </c>
      <c r="D1871" t="n">
        <v>1620533</v>
      </c>
      <c r="E1871" t="inlineStr">
        <is>
          <t>SEC</t>
        </is>
      </c>
    </row>
    <row r="1872">
      <c r="A1872" s="5">
        <f>HYPERLINK("https://finance.yahoo.com/quote/MH","MH")</f>
        <v/>
      </c>
      <c r="B1872" t="inlineStr">
        <is>
          <t>McGraw Hill, Inc.</t>
        </is>
      </c>
      <c r="C1872" t="inlineStr">
        <is>
          <t>NYSE</t>
        </is>
      </c>
      <c r="D1872" t="n">
        <v>1951070</v>
      </c>
      <c r="E1872" t="inlineStr">
        <is>
          <t>SEC</t>
        </is>
      </c>
    </row>
    <row r="1873">
      <c r="A1873" s="5">
        <f>HYPERLINK("https://finance.yahoo.com/quote/EFXT","EFXT")</f>
        <v/>
      </c>
      <c r="B1873" t="inlineStr">
        <is>
          <t>Enerflex Ltd.</t>
        </is>
      </c>
      <c r="C1873" t="inlineStr">
        <is>
          <t>NYSE</t>
        </is>
      </c>
      <c r="D1873" t="n">
        <v>1904856</v>
      </c>
      <c r="E1873" t="inlineStr">
        <is>
          <t>SEC</t>
        </is>
      </c>
    </row>
    <row r="1874">
      <c r="A1874" s="5">
        <f>HYPERLINK("https://finance.yahoo.com/quote/BOH","BOH")</f>
        <v/>
      </c>
      <c r="B1874" t="inlineStr">
        <is>
          <t>BANK OF HAWAII CORP</t>
        </is>
      </c>
      <c r="C1874" t="inlineStr">
        <is>
          <t>NYSE</t>
        </is>
      </c>
      <c r="D1874" t="n">
        <v>46195</v>
      </c>
      <c r="E1874" t="inlineStr">
        <is>
          <t>SEC</t>
        </is>
      </c>
    </row>
    <row r="1875">
      <c r="A1875" s="5">
        <f>HYPERLINK("https://finance.yahoo.com/quote/LIFE","LIFE")</f>
        <v/>
      </c>
      <c r="B1875" t="inlineStr">
        <is>
          <t>Ethos Technologies Inc.</t>
        </is>
      </c>
      <c r="C1875" t="inlineStr">
        <is>
          <t>Nasdaq</t>
        </is>
      </c>
      <c r="D1875" t="n">
        <v>1788451</v>
      </c>
      <c r="E1875" t="inlineStr">
        <is>
          <t>SEC</t>
        </is>
      </c>
    </row>
    <row r="1876">
      <c r="A1876" s="5">
        <f>HYPERLINK("https://finance.yahoo.com/quote/WDFC","WDFC")</f>
        <v/>
      </c>
      <c r="B1876" t="inlineStr">
        <is>
          <t>WD 40 CO</t>
        </is>
      </c>
      <c r="C1876" t="inlineStr">
        <is>
          <t>Nasdaq</t>
        </is>
      </c>
      <c r="D1876" t="n">
        <v>105132</v>
      </c>
      <c r="E1876" t="inlineStr">
        <is>
          <t>SEC</t>
        </is>
      </c>
    </row>
    <row r="1877">
      <c r="A1877" s="5">
        <f>HYPERLINK("https://finance.yahoo.com/quote/MARA","MARA")</f>
        <v/>
      </c>
      <c r="B1877" t="inlineStr">
        <is>
          <t>MARA Holdings, Inc.</t>
        </is>
      </c>
      <c r="C1877" t="inlineStr">
        <is>
          <t>Nasdaq</t>
        </is>
      </c>
      <c r="D1877" t="n">
        <v>1507605</v>
      </c>
      <c r="E1877" t="inlineStr">
        <is>
          <t>SEC</t>
        </is>
      </c>
    </row>
    <row r="1878">
      <c r="A1878" s="5">
        <f>HYPERLINK("https://finance.yahoo.com/quote/KSS","KSS")</f>
        <v/>
      </c>
      <c r="B1878" t="inlineStr">
        <is>
          <t>KOHLS Corp</t>
        </is>
      </c>
      <c r="C1878" t="inlineStr">
        <is>
          <t>NYSE</t>
        </is>
      </c>
      <c r="D1878" t="n">
        <v>885639</v>
      </c>
      <c r="E1878" t="inlineStr">
        <is>
          <t>SEC</t>
        </is>
      </c>
    </row>
    <row r="1879">
      <c r="A1879" s="5">
        <f>HYPERLINK("https://finance.yahoo.com/quote/HGV","HGV")</f>
        <v/>
      </c>
      <c r="B1879" t="inlineStr">
        <is>
          <t>Hilton Grand Vacations Inc.</t>
        </is>
      </c>
      <c r="C1879" t="inlineStr">
        <is>
          <t>NYSE</t>
        </is>
      </c>
      <c r="D1879" t="n">
        <v>1674168</v>
      </c>
      <c r="E1879" t="inlineStr">
        <is>
          <t>SEC</t>
        </is>
      </c>
    </row>
    <row r="1880">
      <c r="A1880" s="5">
        <f>HYPERLINK("https://finance.yahoo.com/quote/ACCV","ACCV")</f>
        <v/>
      </c>
      <c r="B1880" t="inlineStr">
        <is>
          <t>Accelevation Holdings Corp.</t>
        </is>
      </c>
      <c r="C1880" t="inlineStr">
        <is>
          <t>Nasdaq</t>
        </is>
      </c>
      <c r="D1880" t="n">
        <v>2141406</v>
      </c>
      <c r="E1880" t="inlineStr">
        <is>
          <t>SEC</t>
        </is>
      </c>
    </row>
    <row r="1881">
      <c r="A1881" s="5">
        <f>HYPERLINK("https://finance.yahoo.com/quote/AAUC","AAUC")</f>
        <v/>
      </c>
      <c r="B1881" t="inlineStr">
        <is>
          <t>Allied Gold Corp</t>
        </is>
      </c>
      <c r="C1881" t="inlineStr">
        <is>
          <t>NYSE</t>
        </is>
      </c>
      <c r="D1881" t="n">
        <v>1993344</v>
      </c>
      <c r="E1881" t="inlineStr">
        <is>
          <t>SEC</t>
        </is>
      </c>
    </row>
    <row r="1882">
      <c r="A1882" s="5">
        <f>HYPERLINK("https://finance.yahoo.com/quote/CWK","CWK")</f>
        <v/>
      </c>
      <c r="B1882" t="inlineStr">
        <is>
          <t>Cushman &amp; Wakefield Ltd.</t>
        </is>
      </c>
      <c r="C1882" t="inlineStr">
        <is>
          <t>NYSE</t>
        </is>
      </c>
      <c r="D1882" t="n">
        <v>1628369</v>
      </c>
      <c r="E1882" t="inlineStr">
        <is>
          <t>SEC</t>
        </is>
      </c>
    </row>
    <row r="1883">
      <c r="A1883" s="5">
        <f>HYPERLINK("https://finance.yahoo.com/quote/MGEE","MGEE")</f>
        <v/>
      </c>
      <c r="B1883" t="inlineStr">
        <is>
          <t>MGE ENERGY INC</t>
        </is>
      </c>
      <c r="C1883" t="inlineStr">
        <is>
          <t>Nasdaq</t>
        </is>
      </c>
      <c r="D1883" t="n">
        <v>1161728</v>
      </c>
      <c r="E1883" t="inlineStr">
        <is>
          <t>SEC</t>
        </is>
      </c>
    </row>
    <row r="1884">
      <c r="A1884" s="5">
        <f>HYPERLINK("https://finance.yahoo.com/quote/NRIX","NRIX")</f>
        <v/>
      </c>
      <c r="B1884" t="inlineStr">
        <is>
          <t>Nurix Therapeutics, Inc.</t>
        </is>
      </c>
      <c r="C1884" t="inlineStr">
        <is>
          <t>Nasdaq</t>
        </is>
      </c>
      <c r="D1884" t="n">
        <v>1549595</v>
      </c>
      <c r="E1884" t="inlineStr">
        <is>
          <t>SEC</t>
        </is>
      </c>
    </row>
    <row r="1885">
      <c r="A1885" s="5">
        <f>HYPERLINK("https://finance.yahoo.com/quote/AMBP","AMBP")</f>
        <v/>
      </c>
      <c r="B1885" t="inlineStr">
        <is>
          <t>Ardagh Metal Packaging S.A.</t>
        </is>
      </c>
      <c r="C1885" t="inlineStr">
        <is>
          <t>NYSE</t>
        </is>
      </c>
      <c r="D1885" t="n">
        <v>1845097</v>
      </c>
      <c r="E1885" t="inlineStr">
        <is>
          <t>SEC</t>
        </is>
      </c>
    </row>
    <row r="1886">
      <c r="A1886" s="5">
        <f>HYPERLINK("https://finance.yahoo.com/quote/TGB","TGB")</f>
        <v/>
      </c>
      <c r="B1886" t="inlineStr">
        <is>
          <t>Trekor Metals Ltd</t>
        </is>
      </c>
      <c r="C1886" t="inlineStr">
        <is>
          <t>NYSE</t>
        </is>
      </c>
      <c r="D1886" t="n">
        <v>878518</v>
      </c>
      <c r="E1886" t="inlineStr">
        <is>
          <t>SEC</t>
        </is>
      </c>
    </row>
    <row r="1887">
      <c r="A1887" s="5">
        <f>HYPERLINK("https://finance.yahoo.com/quote/HWKN","HWKN")</f>
        <v/>
      </c>
      <c r="B1887" t="inlineStr">
        <is>
          <t>HAWKINS INC</t>
        </is>
      </c>
      <c r="C1887" t="inlineStr">
        <is>
          <t>Nasdaq</t>
        </is>
      </c>
      <c r="D1887" t="n">
        <v>46250</v>
      </c>
      <c r="E1887" t="inlineStr">
        <is>
          <t>SEC</t>
        </is>
      </c>
    </row>
    <row r="1888">
      <c r="A1888" s="5">
        <f>HYPERLINK("https://finance.yahoo.com/quote/GRBK","GRBK")</f>
        <v/>
      </c>
      <c r="B1888" t="inlineStr">
        <is>
          <t>Green Brick Partners, Inc.</t>
        </is>
      </c>
      <c r="C1888" t="inlineStr">
        <is>
          <t>NYSE</t>
        </is>
      </c>
      <c r="D1888" t="n">
        <v>1373670</v>
      </c>
      <c r="E1888" t="inlineStr">
        <is>
          <t>SEC</t>
        </is>
      </c>
    </row>
    <row r="1889">
      <c r="A1889" s="5">
        <f>HYPERLINK("https://finance.yahoo.com/quote/NBTB","NBTB")</f>
        <v/>
      </c>
      <c r="B1889" t="inlineStr">
        <is>
          <t>NBT BANCORP INC</t>
        </is>
      </c>
      <c r="C1889" t="inlineStr">
        <is>
          <t>Nasdaq</t>
        </is>
      </c>
      <c r="D1889" t="n">
        <v>790359</v>
      </c>
      <c r="E1889" t="inlineStr">
        <is>
          <t>SEC</t>
        </is>
      </c>
    </row>
    <row r="1890">
      <c r="A1890" s="5">
        <f>HYPERLINK("https://finance.yahoo.com/quote/FXCNY","FXCNY")</f>
        <v/>
      </c>
      <c r="B1890" t="inlineStr">
        <is>
          <t>FIH Mobile Ltd</t>
        </is>
      </c>
      <c r="C1890" t="inlineStr">
        <is>
          <t>OTC</t>
        </is>
      </c>
      <c r="D1890" t="n">
        <v>1164009</v>
      </c>
      <c r="E1890" t="inlineStr">
        <is>
          <t>SEC</t>
        </is>
      </c>
    </row>
    <row r="1891">
      <c r="A1891" s="5">
        <f>HYPERLINK("https://finance.yahoo.com/quote/FSM","FSM")</f>
        <v/>
      </c>
      <c r="B1891" t="inlineStr">
        <is>
          <t>FORTUNA MINING CORP.</t>
        </is>
      </c>
      <c r="C1891" t="inlineStr">
        <is>
          <t>NYSE</t>
        </is>
      </c>
      <c r="D1891" t="n">
        <v>1341335</v>
      </c>
      <c r="E1891" t="inlineStr">
        <is>
          <t>SEC</t>
        </is>
      </c>
    </row>
    <row r="1892">
      <c r="A1892" s="5">
        <f>HYPERLINK("https://finance.yahoo.com/quote/AKR","AKR")</f>
        <v/>
      </c>
      <c r="B1892" t="inlineStr">
        <is>
          <t>ACADIA REALTY TRUST</t>
        </is>
      </c>
      <c r="C1892" t="inlineStr">
        <is>
          <t>NYSE</t>
        </is>
      </c>
      <c r="D1892" t="n">
        <v>899629</v>
      </c>
      <c r="E1892" t="inlineStr">
        <is>
          <t>SEC</t>
        </is>
      </c>
    </row>
    <row r="1893">
      <c r="A1893" s="5">
        <f>HYPERLINK("https://finance.yahoo.com/quote/WLY","WLY")</f>
        <v/>
      </c>
      <c r="B1893" t="inlineStr">
        <is>
          <t>JOHN WILEY &amp; SONS, INC.</t>
        </is>
      </c>
      <c r="C1893" t="inlineStr">
        <is>
          <t>NYSE</t>
        </is>
      </c>
      <c r="D1893" t="n">
        <v>107140</v>
      </c>
      <c r="E1893" t="inlineStr">
        <is>
          <t>SEC</t>
        </is>
      </c>
    </row>
    <row r="1894">
      <c r="A1894" s="5">
        <f>HYPERLINK("https://finance.yahoo.com/quote/ASAN","ASAN")</f>
        <v/>
      </c>
      <c r="B1894" t="inlineStr">
        <is>
          <t>Asana, Inc.</t>
        </is>
      </c>
      <c r="C1894" t="inlineStr">
        <is>
          <t>NYSE</t>
        </is>
      </c>
      <c r="D1894" t="n">
        <v>1477720</v>
      </c>
      <c r="E1894" t="inlineStr">
        <is>
          <t>SEC</t>
        </is>
      </c>
    </row>
    <row r="1895">
      <c r="A1895" s="5">
        <f>HYPERLINK("https://finance.yahoo.com/quote/SII","SII")</f>
        <v/>
      </c>
      <c r="B1895" t="inlineStr">
        <is>
          <t>SPROTT INC.</t>
        </is>
      </c>
      <c r="C1895" t="inlineStr">
        <is>
          <t>NYSE</t>
        </is>
      </c>
      <c r="D1895" t="n">
        <v>1512920</v>
      </c>
      <c r="E1895" t="inlineStr">
        <is>
          <t>SEC</t>
        </is>
      </c>
    </row>
    <row r="1896">
      <c r="A1896" s="5">
        <f>HYPERLINK("https://finance.yahoo.com/quote/BCC","BCC")</f>
        <v/>
      </c>
      <c r="B1896" t="inlineStr">
        <is>
          <t>BOISE CASCADE Co</t>
        </is>
      </c>
      <c r="C1896" t="inlineStr">
        <is>
          <t>NYSE</t>
        </is>
      </c>
      <c r="D1896" t="n">
        <v>1328581</v>
      </c>
      <c r="E1896" t="inlineStr">
        <is>
          <t>SEC</t>
        </is>
      </c>
    </row>
    <row r="1897">
      <c r="A1897" s="5">
        <f>HYPERLINK("https://finance.yahoo.com/quote/REZI","REZI")</f>
        <v/>
      </c>
      <c r="B1897" t="inlineStr">
        <is>
          <t>RESIDEO TECHNOLOGIES, INC.</t>
        </is>
      </c>
      <c r="C1897" t="inlineStr">
        <is>
          <t>NYSE</t>
        </is>
      </c>
      <c r="D1897" t="n">
        <v>1740332</v>
      </c>
      <c r="E1897" t="inlineStr">
        <is>
          <t>SEC</t>
        </is>
      </c>
    </row>
    <row r="1898">
      <c r="A1898" s="5">
        <f>HYPERLINK("https://finance.yahoo.com/quote/SKWD","SKWD")</f>
        <v/>
      </c>
      <c r="B1898" t="inlineStr">
        <is>
          <t>Skyward Specialty Insurance Group, Inc.</t>
        </is>
      </c>
      <c r="C1898" t="inlineStr">
        <is>
          <t>Nasdaq</t>
        </is>
      </c>
      <c r="D1898" t="n">
        <v>1519449</v>
      </c>
      <c r="E1898" t="inlineStr">
        <is>
          <t>SEC</t>
        </is>
      </c>
    </row>
    <row r="1899">
      <c r="A1899" s="5">
        <f>HYPERLINK("https://finance.yahoo.com/quote/TRMK","TRMK")</f>
        <v/>
      </c>
      <c r="B1899" t="inlineStr">
        <is>
          <t>TRUSTMARK CORP</t>
        </is>
      </c>
      <c r="C1899" t="inlineStr">
        <is>
          <t>Nasdaq</t>
        </is>
      </c>
      <c r="D1899" t="n">
        <v>36146</v>
      </c>
      <c r="E1899" t="inlineStr">
        <is>
          <t>SEC</t>
        </is>
      </c>
    </row>
    <row r="1900">
      <c r="A1900" s="5">
        <f>HYPERLINK("https://finance.yahoo.com/quote/MRVI","MRVI")</f>
        <v/>
      </c>
      <c r="B1900" t="inlineStr">
        <is>
          <t>MARAVAI LIFESCIENCES HOLDINGS, INC.</t>
        </is>
      </c>
      <c r="C1900" t="inlineStr">
        <is>
          <t>Nasdaq</t>
        </is>
      </c>
      <c r="D1900" t="n">
        <v>1823239</v>
      </c>
      <c r="E1900" t="inlineStr">
        <is>
          <t>SEC</t>
        </is>
      </c>
    </row>
    <row r="1901">
      <c r="A1901" s="5">
        <f>HYPERLINK("https://finance.yahoo.com/quote/FG","FG")</f>
        <v/>
      </c>
      <c r="B1901" t="inlineStr">
        <is>
          <t>F&amp;G Annuities &amp; Life, Inc.</t>
        </is>
      </c>
      <c r="C1901" t="inlineStr">
        <is>
          <t>NYSE</t>
        </is>
      </c>
      <c r="D1901" t="n">
        <v>1934850</v>
      </c>
      <c r="E1901" t="inlineStr">
        <is>
          <t>SEC</t>
        </is>
      </c>
    </row>
    <row r="1902">
      <c r="A1902" s="5">
        <f>HYPERLINK("https://finance.yahoo.com/quote/HAYW","HAYW")</f>
        <v/>
      </c>
      <c r="B1902" t="inlineStr">
        <is>
          <t>Hayward Holdings, Inc.</t>
        </is>
      </c>
      <c r="C1902" t="inlineStr">
        <is>
          <t>NYSE</t>
        </is>
      </c>
      <c r="D1902" t="n">
        <v>1834622</v>
      </c>
      <c r="E1902" t="inlineStr">
        <is>
          <t>SEC</t>
        </is>
      </c>
    </row>
    <row r="1903">
      <c r="A1903" s="5">
        <f>HYPERLINK("https://finance.yahoo.com/quote/DX","DX")</f>
        <v/>
      </c>
      <c r="B1903" t="inlineStr">
        <is>
          <t>DYNEX CAPITAL INC</t>
        </is>
      </c>
      <c r="C1903" t="inlineStr">
        <is>
          <t>NYSE</t>
        </is>
      </c>
      <c r="D1903" t="n">
        <v>826675</v>
      </c>
      <c r="E1903" t="inlineStr">
        <is>
          <t>SEC</t>
        </is>
      </c>
    </row>
    <row r="1904">
      <c r="A1904" s="5">
        <f>HYPERLINK("https://finance.yahoo.com/quote/ZLAB","ZLAB")</f>
        <v/>
      </c>
      <c r="B1904" t="inlineStr">
        <is>
          <t>Zai Lab Ltd</t>
        </is>
      </c>
      <c r="C1904" t="inlineStr">
        <is>
          <t>Nasdaq</t>
        </is>
      </c>
      <c r="D1904" t="n">
        <v>1704292</v>
      </c>
      <c r="E1904" t="inlineStr">
        <is>
          <t>SEC</t>
        </is>
      </c>
    </row>
    <row r="1905">
      <c r="A1905" s="5">
        <f>HYPERLINK("https://finance.yahoo.com/quote/LBTYA","LBTYA")</f>
        <v/>
      </c>
      <c r="B1905" t="inlineStr">
        <is>
          <t>Liberty Global Ltd.</t>
        </is>
      </c>
      <c r="C1905" t="inlineStr">
        <is>
          <t>Nasdaq</t>
        </is>
      </c>
      <c r="D1905" t="n">
        <v>1570585</v>
      </c>
      <c r="E1905" t="inlineStr">
        <is>
          <t>SEC</t>
        </is>
      </c>
    </row>
    <row r="1906">
      <c r="A1906" s="5">
        <f>HYPERLINK("https://finance.yahoo.com/quote/NEOG","NEOG")</f>
        <v/>
      </c>
      <c r="B1906" t="inlineStr">
        <is>
          <t>NEOGEN CORP</t>
        </is>
      </c>
      <c r="C1906" t="inlineStr">
        <is>
          <t>Nasdaq</t>
        </is>
      </c>
      <c r="D1906" t="n">
        <v>711377</v>
      </c>
      <c r="E1906" t="inlineStr">
        <is>
          <t>SEC</t>
        </is>
      </c>
    </row>
    <row r="1907">
      <c r="A1907" s="5">
        <f>HYPERLINK("https://finance.yahoo.com/quote/KWR","KWR")</f>
        <v/>
      </c>
      <c r="B1907" t="inlineStr">
        <is>
          <t>QUAKER CHEMICAL CORP</t>
        </is>
      </c>
      <c r="C1907" t="inlineStr">
        <is>
          <t>NYSE</t>
        </is>
      </c>
      <c r="D1907" t="n">
        <v>81362</v>
      </c>
      <c r="E1907" t="inlineStr">
        <is>
          <t>SEC</t>
        </is>
      </c>
    </row>
    <row r="1908">
      <c r="A1908" s="5">
        <f>HYPERLINK("https://finance.yahoo.com/quote/FUL","FUL")</f>
        <v/>
      </c>
      <c r="B1908" t="inlineStr">
        <is>
          <t>FULLER H B CO</t>
        </is>
      </c>
      <c r="C1908" t="inlineStr">
        <is>
          <t>NYSE</t>
        </is>
      </c>
      <c r="D1908" t="n">
        <v>39368</v>
      </c>
      <c r="E1908" t="inlineStr">
        <is>
          <t>SEC</t>
        </is>
      </c>
    </row>
    <row r="1909">
      <c r="A1909" s="5">
        <f>HYPERLINK("https://finance.yahoo.com/quote/FBNC","FBNC")</f>
        <v/>
      </c>
      <c r="B1909" t="inlineStr">
        <is>
          <t>FIRST BANCORP /NC/</t>
        </is>
      </c>
      <c r="C1909" t="inlineStr">
        <is>
          <t>Nasdaq</t>
        </is>
      </c>
      <c r="D1909" t="n">
        <v>811589</v>
      </c>
      <c r="E1909" t="inlineStr">
        <is>
          <t>SEC</t>
        </is>
      </c>
    </row>
    <row r="1910">
      <c r="A1910" s="5">
        <f>HYPERLINK("https://finance.yahoo.com/quote/NG","NG")</f>
        <v/>
      </c>
      <c r="B1910" t="inlineStr">
        <is>
          <t>NOVAGOLD RESOURCES INC</t>
        </is>
      </c>
      <c r="C1910" t="inlineStr">
        <is>
          <t>NYSE</t>
        </is>
      </c>
      <c r="D1910" t="n">
        <v>1173420</v>
      </c>
      <c r="E1910" t="inlineStr">
        <is>
          <t>SEC</t>
        </is>
      </c>
    </row>
    <row r="1911">
      <c r="A1911" s="5">
        <f>HYPERLINK("https://finance.yahoo.com/quote/SA","SA")</f>
        <v/>
      </c>
      <c r="B1911" t="inlineStr">
        <is>
          <t>SEABRIDGE GOLD INC</t>
        </is>
      </c>
      <c r="C1911" t="inlineStr">
        <is>
          <t>NYSE</t>
        </is>
      </c>
      <c r="D1911" t="n">
        <v>1231346</v>
      </c>
      <c r="E1911" t="inlineStr">
        <is>
          <t>SEC</t>
        </is>
      </c>
    </row>
    <row r="1912">
      <c r="A1912" s="5">
        <f>HYPERLINK("https://finance.yahoo.com/quote/UE","UE")</f>
        <v/>
      </c>
      <c r="B1912" t="inlineStr">
        <is>
          <t>Urban Edge Properties</t>
        </is>
      </c>
      <c r="C1912" t="inlineStr">
        <is>
          <t>NYSE</t>
        </is>
      </c>
      <c r="D1912" t="n">
        <v>1611547</v>
      </c>
      <c r="E1912" t="inlineStr">
        <is>
          <t>SEC</t>
        </is>
      </c>
    </row>
    <row r="1913">
      <c r="A1913" s="5">
        <f>HYPERLINK("https://finance.yahoo.com/quote/FBK","FBK")</f>
        <v/>
      </c>
      <c r="B1913" t="inlineStr">
        <is>
          <t>FB Financial Corp</t>
        </is>
      </c>
      <c r="C1913" t="inlineStr">
        <is>
          <t>NYSE</t>
        </is>
      </c>
      <c r="D1913" t="n">
        <v>1649749</v>
      </c>
      <c r="E1913" t="inlineStr">
        <is>
          <t>SEC</t>
        </is>
      </c>
    </row>
    <row r="1914">
      <c r="A1914" s="5">
        <f>HYPERLINK("https://finance.yahoo.com/quote/BBAR","BBAR")</f>
        <v/>
      </c>
      <c r="B1914" t="inlineStr">
        <is>
          <t>Banco BBVA Argentina S.A.</t>
        </is>
      </c>
      <c r="C1914" t="inlineStr">
        <is>
          <t>NYSE</t>
        </is>
      </c>
      <c r="D1914" t="n">
        <v>913059</v>
      </c>
      <c r="E1914" t="inlineStr">
        <is>
          <t>SEC</t>
        </is>
      </c>
    </row>
    <row r="1915">
      <c r="A1915" s="5">
        <f>HYPERLINK("https://finance.yahoo.com/quote/TR","TR")</f>
        <v/>
      </c>
      <c r="B1915" t="inlineStr">
        <is>
          <t>TOOTSIE ROLL INDUSTRIES INC</t>
        </is>
      </c>
      <c r="C1915" t="inlineStr">
        <is>
          <t>NYSE</t>
        </is>
      </c>
      <c r="D1915" t="n">
        <v>98677</v>
      </c>
      <c r="E1915" t="inlineStr">
        <is>
          <t>SEC</t>
        </is>
      </c>
    </row>
    <row r="1916">
      <c r="A1916" s="5">
        <f>HYPERLINK("https://finance.yahoo.com/quote/STNE","STNE")</f>
        <v/>
      </c>
      <c r="B1916" t="inlineStr">
        <is>
          <t>StoneCo Ltd.</t>
        </is>
      </c>
      <c r="C1916" t="inlineStr">
        <is>
          <t>Nasdaq</t>
        </is>
      </c>
      <c r="D1916" t="n">
        <v>1745431</v>
      </c>
      <c r="E1916" t="inlineStr">
        <is>
          <t>SEC</t>
        </is>
      </c>
    </row>
    <row r="1917">
      <c r="A1917" s="5">
        <f>HYPERLINK("https://finance.yahoo.com/quote/BHF","BHF")</f>
        <v/>
      </c>
      <c r="B1917" t="inlineStr">
        <is>
          <t>Brighthouse Financial, Inc.</t>
        </is>
      </c>
      <c r="C1917" t="inlineStr">
        <is>
          <t>Nasdaq</t>
        </is>
      </c>
      <c r="D1917" t="n">
        <v>1685040</v>
      </c>
      <c r="E1917" t="inlineStr">
        <is>
          <t>SEC</t>
        </is>
      </c>
    </row>
    <row r="1918">
      <c r="A1918" s="5">
        <f>HYPERLINK("https://finance.yahoo.com/quote/POWI","POWI")</f>
        <v/>
      </c>
      <c r="B1918" t="inlineStr">
        <is>
          <t>POWER INTEGRATIONS INC</t>
        </is>
      </c>
      <c r="C1918" t="inlineStr">
        <is>
          <t>Nasdaq</t>
        </is>
      </c>
      <c r="D1918" t="n">
        <v>833640</v>
      </c>
      <c r="E1918" t="inlineStr">
        <is>
          <t>SEC</t>
        </is>
      </c>
    </row>
    <row r="1919">
      <c r="A1919" s="5">
        <f>HYPERLINK("https://finance.yahoo.com/quote/VECO","VECO")</f>
        <v/>
      </c>
      <c r="B1919" t="inlineStr">
        <is>
          <t>VEECO INSTRUMENTS INC</t>
        </is>
      </c>
      <c r="C1919" t="inlineStr">
        <is>
          <t>Nasdaq</t>
        </is>
      </c>
      <c r="D1919" t="n">
        <v>103145</v>
      </c>
      <c r="E1919" t="inlineStr">
        <is>
          <t>SEC</t>
        </is>
      </c>
    </row>
    <row r="1920">
      <c r="A1920" s="5">
        <f>HYPERLINK("https://finance.yahoo.com/quote/GPK","GPK")</f>
        <v/>
      </c>
      <c r="B1920" t="inlineStr">
        <is>
          <t>GRAPHIC PACKAGING HOLDING CO</t>
        </is>
      </c>
      <c r="C1920" t="inlineStr">
        <is>
          <t>NYSE</t>
        </is>
      </c>
      <c r="D1920" t="n">
        <v>1408075</v>
      </c>
      <c r="E1920" t="inlineStr">
        <is>
          <t>SEC</t>
        </is>
      </c>
    </row>
    <row r="1921">
      <c r="A1921" s="5">
        <f>HYPERLINK("https://finance.yahoo.com/quote/RH","RH")</f>
        <v/>
      </c>
      <c r="B1921" t="inlineStr">
        <is>
          <t>RH</t>
        </is>
      </c>
      <c r="C1921" t="inlineStr">
        <is>
          <t>NYSE</t>
        </is>
      </c>
      <c r="D1921" t="n">
        <v>1528849</v>
      </c>
      <c r="E1921" t="inlineStr">
        <is>
          <t>SEC</t>
        </is>
      </c>
    </row>
    <row r="1922">
      <c r="A1922" s="5">
        <f>HYPERLINK("https://finance.yahoo.com/quote/LPL","LPL")</f>
        <v/>
      </c>
      <c r="B1922" t="inlineStr">
        <is>
          <t>LG Display Co., Ltd.</t>
        </is>
      </c>
      <c r="C1922" t="inlineStr">
        <is>
          <t>NYSE</t>
        </is>
      </c>
      <c r="D1922" t="n">
        <v>1290109</v>
      </c>
      <c r="E1922" t="inlineStr">
        <is>
          <t>SEC</t>
        </is>
      </c>
    </row>
    <row r="1923">
      <c r="A1923" s="5">
        <f>HYPERLINK("https://finance.yahoo.com/quote/ALM","ALM")</f>
        <v/>
      </c>
      <c r="B1923" t="inlineStr">
        <is>
          <t>Almonty Industries Inc.</t>
        </is>
      </c>
      <c r="C1923" t="inlineStr">
        <is>
          <t>Nasdaq</t>
        </is>
      </c>
      <c r="D1923" t="n">
        <v>1670061</v>
      </c>
      <c r="E1923" t="inlineStr">
        <is>
          <t>SEC</t>
        </is>
      </c>
    </row>
    <row r="1924">
      <c r="A1924" s="5">
        <f>HYPERLINK("https://finance.yahoo.com/quote/AMC","AMC")</f>
        <v/>
      </c>
      <c r="B1924" t="inlineStr">
        <is>
          <t>AMC ENTERTAINMENT HOLDINGS, INC.</t>
        </is>
      </c>
      <c r="C1924" t="inlineStr">
        <is>
          <t>NYSE</t>
        </is>
      </c>
      <c r="D1924" t="n">
        <v>1411579</v>
      </c>
      <c r="E1924" t="inlineStr">
        <is>
          <t>SEC</t>
        </is>
      </c>
    </row>
    <row r="1925">
      <c r="A1925" s="5">
        <f>HYPERLINK("https://finance.yahoo.com/quote/NMM","NMM")</f>
        <v/>
      </c>
      <c r="B1925" t="inlineStr">
        <is>
          <t>Navios Maritime Partners L.P.</t>
        </is>
      </c>
      <c r="C1925" t="inlineStr">
        <is>
          <t>NYSE</t>
        </is>
      </c>
      <c r="D1925" t="n">
        <v>1415921</v>
      </c>
      <c r="E1925" t="inlineStr">
        <is>
          <t>SEC</t>
        </is>
      </c>
    </row>
    <row r="1926">
      <c r="A1926" s="5">
        <f>HYPERLINK("https://finance.yahoo.com/quote/DXC","DXC")</f>
        <v/>
      </c>
      <c r="B1926" t="inlineStr">
        <is>
          <t>DXC Technology Co</t>
        </is>
      </c>
      <c r="C1926" t="inlineStr">
        <is>
          <t>NYSE</t>
        </is>
      </c>
      <c r="D1926" t="n">
        <v>1688568</v>
      </c>
      <c r="E1926" t="inlineStr">
        <is>
          <t>SEC</t>
        </is>
      </c>
    </row>
    <row r="1927">
      <c r="A1927" s="5">
        <f>HYPERLINK("https://finance.yahoo.com/quote/BANR","BANR")</f>
        <v/>
      </c>
      <c r="B1927" t="inlineStr">
        <is>
          <t>BANNER CORP</t>
        </is>
      </c>
      <c r="C1927" t="inlineStr">
        <is>
          <t>Nasdaq</t>
        </is>
      </c>
      <c r="D1927" t="n">
        <v>946673</v>
      </c>
      <c r="E1927" t="inlineStr">
        <is>
          <t>SEC</t>
        </is>
      </c>
    </row>
    <row r="1928">
      <c r="A1928" s="5">
        <f>HYPERLINK("https://finance.yahoo.com/quote/FRME","FRME")</f>
        <v/>
      </c>
      <c r="B1928" t="inlineStr">
        <is>
          <t>FIRST MERCHANTS CORP</t>
        </is>
      </c>
      <c r="C1928" t="inlineStr">
        <is>
          <t>Nasdaq</t>
        </is>
      </c>
      <c r="D1928" t="n">
        <v>712534</v>
      </c>
      <c r="E1928" t="inlineStr">
        <is>
          <t>SEC</t>
        </is>
      </c>
    </row>
    <row r="1929">
      <c r="A1929" s="5">
        <f>HYPERLINK("https://finance.yahoo.com/quote/WTTR","WTTR")</f>
        <v/>
      </c>
      <c r="B1929" t="inlineStr">
        <is>
          <t>Select Water Solutions, Inc.</t>
        </is>
      </c>
      <c r="C1929" t="inlineStr">
        <is>
          <t>NYSE</t>
        </is>
      </c>
      <c r="D1929" t="n">
        <v>1693256</v>
      </c>
      <c r="E1929" t="inlineStr">
        <is>
          <t>SEC</t>
        </is>
      </c>
    </row>
    <row r="1930">
      <c r="A1930" s="5">
        <f>HYPERLINK("https://finance.yahoo.com/quote/KC","KC")</f>
        <v/>
      </c>
      <c r="B1930" t="inlineStr">
        <is>
          <t>Kingsoft Cloud Holdings Ltd</t>
        </is>
      </c>
      <c r="C1930" t="inlineStr">
        <is>
          <t>Nasdaq</t>
        </is>
      </c>
      <c r="D1930" t="n">
        <v>1795589</v>
      </c>
      <c r="E1930" t="inlineStr">
        <is>
          <t>SEC</t>
        </is>
      </c>
    </row>
    <row r="1931">
      <c r="A1931" s="5">
        <f>HYPERLINK("https://finance.yahoo.com/quote/BLKB","BLKB")</f>
        <v/>
      </c>
      <c r="B1931" t="inlineStr">
        <is>
          <t>BLACKBAUD INC</t>
        </is>
      </c>
      <c r="C1931" t="inlineStr">
        <is>
          <t>Nasdaq</t>
        </is>
      </c>
      <c r="D1931" t="n">
        <v>1280058</v>
      </c>
      <c r="E1931" t="inlineStr">
        <is>
          <t>SEC</t>
        </is>
      </c>
    </row>
    <row r="1932">
      <c r="A1932" s="5">
        <f>HYPERLINK("https://finance.yahoo.com/quote/VRDN","VRDN")</f>
        <v/>
      </c>
      <c r="B1932" t="inlineStr">
        <is>
          <t>Viridian Therapeutics, Inc.\DE</t>
        </is>
      </c>
      <c r="C1932" t="inlineStr">
        <is>
          <t>Nasdaq</t>
        </is>
      </c>
      <c r="D1932" t="n">
        <v>1590750</v>
      </c>
      <c r="E1932" t="inlineStr">
        <is>
          <t>SEC</t>
        </is>
      </c>
    </row>
    <row r="1933">
      <c r="A1933" s="5">
        <f>HYPERLINK("https://finance.yahoo.com/quote/HCI","HCI")</f>
        <v/>
      </c>
      <c r="B1933" t="inlineStr">
        <is>
          <t>HCI Group, Inc.</t>
        </is>
      </c>
      <c r="C1933" t="inlineStr">
        <is>
          <t>NYSE</t>
        </is>
      </c>
      <c r="D1933" t="n">
        <v>1400810</v>
      </c>
      <c r="E1933" t="inlineStr">
        <is>
          <t>SEC</t>
        </is>
      </c>
    </row>
    <row r="1934">
      <c r="A1934" s="5">
        <f>HYPERLINK("https://finance.yahoo.com/quote/QS","QS")</f>
        <v/>
      </c>
      <c r="B1934" t="inlineStr">
        <is>
          <t>QuantumScape Corp</t>
        </is>
      </c>
      <c r="C1934" t="inlineStr">
        <is>
          <t>Nasdaq</t>
        </is>
      </c>
      <c r="D1934" t="n">
        <v>1811414</v>
      </c>
      <c r="E1934" t="inlineStr">
        <is>
          <t>SEC</t>
        </is>
      </c>
    </row>
    <row r="1935">
      <c r="A1935" s="5">
        <f>HYPERLINK("https://finance.yahoo.com/quote/JPC","JPC")</f>
        <v/>
      </c>
      <c r="B1935" t="inlineStr">
        <is>
          <t>Nuveen Preferred &amp; Income Opportunities Fund</t>
        </is>
      </c>
      <c r="C1935" t="inlineStr">
        <is>
          <t>NYSE</t>
        </is>
      </c>
      <c r="D1935" t="n">
        <v>1216583</v>
      </c>
      <c r="E1935" t="inlineStr">
        <is>
          <t>SEC</t>
        </is>
      </c>
    </row>
    <row r="1936">
      <c r="A1936" s="5">
        <f>HYPERLINK("https://finance.yahoo.com/quote/LBRT","LBRT")</f>
        <v/>
      </c>
      <c r="B1936" t="inlineStr">
        <is>
          <t>Liberty Energy Inc.</t>
        </is>
      </c>
      <c r="C1936" t="inlineStr">
        <is>
          <t>NYSE</t>
        </is>
      </c>
      <c r="D1936" t="n">
        <v>1694028</v>
      </c>
      <c r="E1936" t="inlineStr">
        <is>
          <t>SEC</t>
        </is>
      </c>
    </row>
    <row r="1937">
      <c r="A1937" s="5">
        <f>HYPERLINK("https://finance.yahoo.com/quote/ATRO","ATRO")</f>
        <v/>
      </c>
      <c r="B1937" t="inlineStr">
        <is>
          <t>ASTRONICS CORP</t>
        </is>
      </c>
      <c r="C1937" t="inlineStr">
        <is>
          <t>Nasdaq</t>
        </is>
      </c>
      <c r="D1937" t="n">
        <v>8063</v>
      </c>
      <c r="E1937" t="inlineStr">
        <is>
          <t>SEC</t>
        </is>
      </c>
    </row>
    <row r="1938">
      <c r="A1938" s="5">
        <f>HYPERLINK("https://finance.yahoo.com/quote/BBT","BBT")</f>
        <v/>
      </c>
      <c r="B1938" t="inlineStr">
        <is>
          <t>Beacon Financial Corp</t>
        </is>
      </c>
      <c r="C1938" t="inlineStr">
        <is>
          <t>NYSE</t>
        </is>
      </c>
      <c r="D1938" t="n">
        <v>1108134</v>
      </c>
      <c r="E1938" t="inlineStr">
        <is>
          <t>SEC</t>
        </is>
      </c>
    </row>
    <row r="1939">
      <c r="A1939" s="5">
        <f>HYPERLINK("https://finance.yahoo.com/quote/CALY","CALY")</f>
        <v/>
      </c>
      <c r="B1939" t="inlineStr">
        <is>
          <t>Callaway Golf Co</t>
        </is>
      </c>
      <c r="C1939" t="inlineStr">
        <is>
          <t>NYSE</t>
        </is>
      </c>
      <c r="D1939" t="n">
        <v>837465</v>
      </c>
      <c r="E1939" t="inlineStr">
        <is>
          <t>SEC</t>
        </is>
      </c>
    </row>
    <row r="1940">
      <c r="A1940" s="5">
        <f>HYPERLINK("https://finance.yahoo.com/quote/RNW","RNW")</f>
        <v/>
      </c>
      <c r="B1940" t="inlineStr">
        <is>
          <t>ReNew Energy Global plc</t>
        </is>
      </c>
      <c r="C1940" t="inlineStr">
        <is>
          <t>Nasdaq</t>
        </is>
      </c>
      <c r="D1940" t="n">
        <v>1848763</v>
      </c>
      <c r="E1940" t="inlineStr">
        <is>
          <t>SEC</t>
        </is>
      </c>
    </row>
    <row r="1941">
      <c r="A1941" s="5">
        <f>HYPERLINK("https://finance.yahoo.com/quote/HCM","HCM")</f>
        <v/>
      </c>
      <c r="B1941" t="inlineStr">
        <is>
          <t>HUTCHMED (China) Ltd</t>
        </is>
      </c>
      <c r="C1941" t="inlineStr">
        <is>
          <t>Nasdaq</t>
        </is>
      </c>
      <c r="D1941" t="n">
        <v>1648257</v>
      </c>
      <c r="E1941" t="inlineStr">
        <is>
          <t>SEC</t>
        </is>
      </c>
    </row>
    <row r="1942">
      <c r="A1942" s="5">
        <f>HYPERLINK("https://finance.yahoo.com/quote/BUSE","BUSE")</f>
        <v/>
      </c>
      <c r="B1942" t="inlineStr">
        <is>
          <t>FIRST BUSEY CORP /NV/</t>
        </is>
      </c>
      <c r="C1942" t="inlineStr">
        <is>
          <t>Nasdaq</t>
        </is>
      </c>
      <c r="D1942" t="n">
        <v>314489</v>
      </c>
      <c r="E1942" t="inlineStr">
        <is>
          <t>SEC</t>
        </is>
      </c>
    </row>
    <row r="1943">
      <c r="A1943" s="5">
        <f>HYPERLINK("https://finance.yahoo.com/quote/LCLN","LCLN")</f>
        <v/>
      </c>
      <c r="B1943" t="inlineStr">
        <is>
          <t>Lincoln International, Inc.</t>
        </is>
      </c>
      <c r="C1943" t="inlineStr">
        <is>
          <t>NYSE</t>
        </is>
      </c>
      <c r="D1943" t="n">
        <v>1925283</v>
      </c>
      <c r="E1943" t="inlineStr">
        <is>
          <t>SEC</t>
        </is>
      </c>
    </row>
    <row r="1944">
      <c r="A1944" s="5">
        <f>HYPERLINK("https://finance.yahoo.com/quote/TTAM","TTAM")</f>
        <v/>
      </c>
      <c r="B1944" t="inlineStr">
        <is>
          <t>Titan America SA</t>
        </is>
      </c>
      <c r="C1944" t="inlineStr">
        <is>
          <t>NYSE</t>
        </is>
      </c>
      <c r="D1944" t="n">
        <v>2035304</v>
      </c>
      <c r="E1944" t="inlineStr">
        <is>
          <t>SEC</t>
        </is>
      </c>
    </row>
    <row r="1945">
      <c r="A1945" s="5">
        <f>HYPERLINK("https://finance.yahoo.com/quote/GRDN","GRDN")</f>
        <v/>
      </c>
      <c r="B1945" t="inlineStr">
        <is>
          <t>Guardian Pharmacy Services, Inc.</t>
        </is>
      </c>
      <c r="C1945" t="inlineStr">
        <is>
          <t>NYSE</t>
        </is>
      </c>
      <c r="D1945" t="n">
        <v>1802255</v>
      </c>
      <c r="E1945" t="inlineStr">
        <is>
          <t>SEC</t>
        </is>
      </c>
    </row>
    <row r="1946">
      <c r="A1946" s="5">
        <f>HYPERLINK("https://finance.yahoo.com/quote/VERX","VERX")</f>
        <v/>
      </c>
      <c r="B1946" t="inlineStr">
        <is>
          <t>Vertex, Inc.</t>
        </is>
      </c>
      <c r="C1946" t="inlineStr">
        <is>
          <t>Nasdaq</t>
        </is>
      </c>
      <c r="D1946" t="n">
        <v>1806837</v>
      </c>
      <c r="E1946" t="inlineStr">
        <is>
          <t>SEC</t>
        </is>
      </c>
    </row>
    <row r="1947">
      <c r="A1947" s="5">
        <f>HYPERLINK("https://finance.yahoo.com/quote/PLUS","PLUS")</f>
        <v/>
      </c>
      <c r="B1947" t="inlineStr">
        <is>
          <t>EPLUS INC</t>
        </is>
      </c>
      <c r="C1947" t="inlineStr">
        <is>
          <t>Nasdaq</t>
        </is>
      </c>
      <c r="D1947" t="n">
        <v>1022408</v>
      </c>
      <c r="E1947" t="inlineStr">
        <is>
          <t>SEC</t>
        </is>
      </c>
    </row>
    <row r="1948">
      <c r="A1948" s="5">
        <f>HYPERLINK("https://finance.yahoo.com/quote/TMDX","TMDX")</f>
        <v/>
      </c>
      <c r="B1948" t="inlineStr">
        <is>
          <t>TransMedics Group, Inc.</t>
        </is>
      </c>
      <c r="C1948" t="inlineStr">
        <is>
          <t>Nasdaq</t>
        </is>
      </c>
      <c r="D1948" t="n">
        <v>1756262</v>
      </c>
      <c r="E1948" t="inlineStr">
        <is>
          <t>SEC</t>
        </is>
      </c>
    </row>
    <row r="1949">
      <c r="A1949" s="5">
        <f>HYPERLINK("https://finance.yahoo.com/quote/FMCC","FMCC")</f>
        <v/>
      </c>
      <c r="B1949" t="inlineStr">
        <is>
          <t>FEDERAL HOME LOAN MORTGAGE CORP</t>
        </is>
      </c>
      <c r="C1949" t="inlineStr">
        <is>
          <t>OTC</t>
        </is>
      </c>
      <c r="D1949" t="n">
        <v>1026214</v>
      </c>
      <c r="E1949" t="inlineStr">
        <is>
          <t>SEC</t>
        </is>
      </c>
    </row>
    <row r="1950">
      <c r="A1950" s="5">
        <f>HYPERLINK("https://finance.yahoo.com/quote/NCNO","NCNO")</f>
        <v/>
      </c>
      <c r="B1950" t="inlineStr">
        <is>
          <t>nCino, Inc.</t>
        </is>
      </c>
      <c r="C1950" t="inlineStr">
        <is>
          <t>Nasdaq</t>
        </is>
      </c>
      <c r="D1950" t="n">
        <v>1902733</v>
      </c>
      <c r="E1950" t="inlineStr">
        <is>
          <t>SEC</t>
        </is>
      </c>
    </row>
    <row r="1951">
      <c r="A1951" s="5">
        <f>HYPERLINK("https://finance.yahoo.com/quote/PURR","PURR")</f>
        <v/>
      </c>
      <c r="B1951" t="inlineStr">
        <is>
          <t>Hyperliquid Strategies Inc</t>
        </is>
      </c>
      <c r="C1951" t="inlineStr">
        <is>
          <t>Nasdaq</t>
        </is>
      </c>
      <c r="D1951" t="n">
        <v>2078856</v>
      </c>
      <c r="E1951" t="inlineStr">
        <is>
          <t>SEC</t>
        </is>
      </c>
    </row>
    <row r="1952">
      <c r="A1952" s="5">
        <f>HYPERLINK("https://finance.yahoo.com/quote/HTO","HTO")</f>
        <v/>
      </c>
      <c r="B1952" t="inlineStr">
        <is>
          <t>H2O AMERICA</t>
        </is>
      </c>
      <c r="C1952" t="inlineStr">
        <is>
          <t>Nasdaq</t>
        </is>
      </c>
      <c r="D1952" t="n">
        <v>766829</v>
      </c>
      <c r="E1952" t="inlineStr">
        <is>
          <t>SEC</t>
        </is>
      </c>
    </row>
    <row r="1953">
      <c r="A1953" s="5">
        <f>HYPERLINK("https://finance.yahoo.com/quote/BEAM","BEAM")</f>
        <v/>
      </c>
      <c r="B1953" t="inlineStr">
        <is>
          <t>Beam Therapeutics Inc.</t>
        </is>
      </c>
      <c r="C1953" t="inlineStr">
        <is>
          <t>Nasdaq</t>
        </is>
      </c>
      <c r="D1953" t="n">
        <v>1745999</v>
      </c>
      <c r="E1953" t="inlineStr">
        <is>
          <t>SEC</t>
        </is>
      </c>
    </row>
    <row r="1954">
      <c r="A1954" s="5">
        <f>HYPERLINK("https://finance.yahoo.com/quote/EEFT","EEFT")</f>
        <v/>
      </c>
      <c r="B1954" t="inlineStr">
        <is>
          <t>EURONET WORLDWIDE, INC.</t>
        </is>
      </c>
      <c r="C1954" t="inlineStr">
        <is>
          <t>Nasdaq</t>
        </is>
      </c>
      <c r="D1954" t="n">
        <v>1029199</v>
      </c>
      <c r="E1954" t="inlineStr">
        <is>
          <t>SEC</t>
        </is>
      </c>
    </row>
    <row r="1955">
      <c r="A1955" s="5">
        <f>HYPERLINK("https://finance.yahoo.com/quote/GDV","GDV")</f>
        <v/>
      </c>
      <c r="B1955" t="inlineStr">
        <is>
          <t>GABELLI DIVIDEND &amp; INCOME TRUST</t>
        </is>
      </c>
      <c r="C1955" t="inlineStr">
        <is>
          <t>NYSE</t>
        </is>
      </c>
      <c r="D1955" t="n">
        <v>1260729</v>
      </c>
      <c r="E1955" t="inlineStr">
        <is>
          <t>SEC</t>
        </is>
      </c>
    </row>
    <row r="1956">
      <c r="A1956" s="5">
        <f>HYPERLINK("https://finance.yahoo.com/quote/CLOV","CLOV")</f>
        <v/>
      </c>
      <c r="B1956" t="inlineStr">
        <is>
          <t>CLOVER HEALTH INVESTMENTS, CORP. /DE</t>
        </is>
      </c>
      <c r="C1956" t="inlineStr">
        <is>
          <t>Nasdaq</t>
        </is>
      </c>
      <c r="D1956" t="n">
        <v>1801170</v>
      </c>
      <c r="E1956" t="inlineStr">
        <is>
          <t>SEC</t>
        </is>
      </c>
    </row>
    <row r="1957">
      <c r="A1957" s="5">
        <f>HYPERLINK("https://finance.yahoo.com/quote/SYBT","SYBT")</f>
        <v/>
      </c>
      <c r="B1957" t="inlineStr">
        <is>
          <t>Stock Yards Bancorp, Inc.</t>
        </is>
      </c>
      <c r="C1957" t="inlineStr">
        <is>
          <t>Nasdaq</t>
        </is>
      </c>
      <c r="D1957" t="n">
        <v>835324</v>
      </c>
      <c r="E1957" t="inlineStr">
        <is>
          <t>SEC</t>
        </is>
      </c>
    </row>
    <row r="1958">
      <c r="A1958" s="5">
        <f>HYPERLINK("https://finance.yahoo.com/quote/TSCFY","TSCFY")</f>
        <v/>
      </c>
      <c r="B1958" t="inlineStr">
        <is>
          <t>Tisco Financial Group Public Co Limited/ADR</t>
        </is>
      </c>
      <c r="C1958" t="inlineStr">
        <is>
          <t>OTC</t>
        </is>
      </c>
      <c r="D1958" t="n">
        <v>1555815</v>
      </c>
      <c r="E1958" t="inlineStr">
        <is>
          <t>SEC</t>
        </is>
      </c>
    </row>
    <row r="1959">
      <c r="A1959" s="5">
        <f>HYPERLINK("https://finance.yahoo.com/quote/DXPE","DXPE")</f>
        <v/>
      </c>
      <c r="B1959" t="inlineStr">
        <is>
          <t>DXP ENTERPRISES INC</t>
        </is>
      </c>
      <c r="C1959" t="inlineStr">
        <is>
          <t>Nasdaq</t>
        </is>
      </c>
      <c r="D1959" t="n">
        <v>1020710</v>
      </c>
      <c r="E1959" t="inlineStr">
        <is>
          <t>SEC</t>
        </is>
      </c>
    </row>
    <row r="1960">
      <c r="A1960" s="5">
        <f>HYPERLINK("https://finance.yahoo.com/quote/KYN","KYN")</f>
        <v/>
      </c>
      <c r="B1960" t="inlineStr">
        <is>
          <t>Kayne Anderson Energy Infrastructure Fund, Inc.</t>
        </is>
      </c>
      <c r="C1960" t="inlineStr">
        <is>
          <t>NYSE</t>
        </is>
      </c>
      <c r="D1960" t="n">
        <v>1293613</v>
      </c>
      <c r="E1960" t="inlineStr">
        <is>
          <t>SEC</t>
        </is>
      </c>
    </row>
    <row r="1961">
      <c r="A1961" s="5">
        <f>HYPERLINK("https://finance.yahoo.com/quote/EROK","EROK")</f>
        <v/>
      </c>
      <c r="B1961" t="inlineStr">
        <is>
          <t>EagleRock Land, LLC</t>
        </is>
      </c>
      <c r="C1961" t="inlineStr">
        <is>
          <t>NYSE</t>
        </is>
      </c>
      <c r="D1961" t="n">
        <v>2104882</v>
      </c>
      <c r="E1961" t="inlineStr">
        <is>
          <t>SEC</t>
        </is>
      </c>
    </row>
    <row r="1962">
      <c r="A1962" s="5">
        <f>HYPERLINK("https://finance.yahoo.com/quote/CDLR","CDLR")</f>
        <v/>
      </c>
      <c r="B1962" t="inlineStr">
        <is>
          <t>Cadeler A/S</t>
        </is>
      </c>
      <c r="C1962" t="inlineStr">
        <is>
          <t>NYSE</t>
        </is>
      </c>
      <c r="D1962" t="n">
        <v>1978867</v>
      </c>
      <c r="E1962" t="inlineStr">
        <is>
          <t>SEC</t>
        </is>
      </c>
    </row>
    <row r="1963">
      <c r="A1963" s="5">
        <f>HYPERLINK("https://finance.yahoo.com/quote/PAYO","PAYO")</f>
        <v/>
      </c>
      <c r="B1963" t="inlineStr">
        <is>
          <t>Payoneer Global Inc.</t>
        </is>
      </c>
      <c r="C1963" t="inlineStr">
        <is>
          <t>Nasdaq</t>
        </is>
      </c>
      <c r="D1963" t="n">
        <v>1845815</v>
      </c>
      <c r="E1963" t="inlineStr">
        <is>
          <t>SEC</t>
        </is>
      </c>
    </row>
    <row r="1964">
      <c r="A1964" s="5">
        <f>HYPERLINK("https://finance.yahoo.com/quote/FCPT","FCPT")</f>
        <v/>
      </c>
      <c r="B1964" t="inlineStr">
        <is>
          <t>Four Corners Property Trust, Inc.</t>
        </is>
      </c>
      <c r="C1964" t="inlineStr">
        <is>
          <t>NYSE</t>
        </is>
      </c>
      <c r="D1964" t="n">
        <v>1650132</v>
      </c>
      <c r="E1964" t="inlineStr">
        <is>
          <t>SEC</t>
        </is>
      </c>
    </row>
    <row r="1965">
      <c r="A1965" s="5">
        <f>HYPERLINK("https://finance.yahoo.com/quote/IOSP","IOSP")</f>
        <v/>
      </c>
      <c r="B1965" t="inlineStr">
        <is>
          <t>INNOSPEC INC.</t>
        </is>
      </c>
      <c r="C1965" t="inlineStr">
        <is>
          <t>Nasdaq</t>
        </is>
      </c>
      <c r="D1965" t="n">
        <v>1054905</v>
      </c>
      <c r="E1965" t="inlineStr">
        <is>
          <t>SEC</t>
        </is>
      </c>
    </row>
    <row r="1966">
      <c r="A1966" s="5">
        <f>HYPERLINK("https://finance.yahoo.com/quote/CSQR","CSQR")</f>
        <v/>
      </c>
      <c r="B1966" t="inlineStr">
        <is>
          <t>Csquare, Inc.</t>
        </is>
      </c>
      <c r="C1966" t="inlineStr">
        <is>
          <t>NYSE</t>
        </is>
      </c>
      <c r="D1966" t="n">
        <v>2105398</v>
      </c>
      <c r="E1966" t="inlineStr">
        <is>
          <t>SEC</t>
        </is>
      </c>
    </row>
    <row r="1967">
      <c r="A1967" s="5">
        <f>HYPERLINK("https://finance.yahoo.com/quote/NAD","NAD")</f>
        <v/>
      </c>
      <c r="B1967" t="inlineStr">
        <is>
          <t>Nuveen Quality Municipal Income Fund</t>
        </is>
      </c>
      <c r="C1967" t="inlineStr">
        <is>
          <t>NYSE</t>
        </is>
      </c>
      <c r="D1967" t="n">
        <v>1083839</v>
      </c>
      <c r="E1967" t="inlineStr">
        <is>
          <t>SEC</t>
        </is>
      </c>
    </row>
    <row r="1968">
      <c r="A1968" s="5">
        <f>HYPERLINK("https://finance.yahoo.com/quote/OSW","OSW")</f>
        <v/>
      </c>
      <c r="B1968" t="inlineStr">
        <is>
          <t>ONESPAWORLD HOLDINGS Ltd</t>
        </is>
      </c>
      <c r="C1968" t="inlineStr">
        <is>
          <t>Nasdaq</t>
        </is>
      </c>
      <c r="D1968" t="n">
        <v>1758488</v>
      </c>
      <c r="E1968" t="inlineStr">
        <is>
          <t>SEC</t>
        </is>
      </c>
    </row>
    <row r="1969">
      <c r="A1969" s="5">
        <f>HYPERLINK("https://finance.yahoo.com/quote/BKD","BKD")</f>
        <v/>
      </c>
      <c r="B1969" t="inlineStr">
        <is>
          <t>Brookdale Senior Living Inc.</t>
        </is>
      </c>
      <c r="C1969" t="inlineStr">
        <is>
          <t>NYSE</t>
        </is>
      </c>
      <c r="D1969" t="n">
        <v>1332349</v>
      </c>
      <c r="E1969" t="inlineStr">
        <is>
          <t>SEC</t>
        </is>
      </c>
    </row>
    <row r="1970">
      <c r="A1970" s="5">
        <f>HYPERLINK("https://finance.yahoo.com/quote/GRND","GRND")</f>
        <v/>
      </c>
      <c r="B1970" t="inlineStr">
        <is>
          <t>Grindr Inc.</t>
        </is>
      </c>
      <c r="C1970" t="inlineStr">
        <is>
          <t>NYSE</t>
        </is>
      </c>
      <c r="D1970" t="n">
        <v>1820144</v>
      </c>
      <c r="E1970" t="inlineStr">
        <is>
          <t>SEC</t>
        </is>
      </c>
    </row>
    <row r="1971">
      <c r="A1971" s="5">
        <f>HYPERLINK("https://finance.yahoo.com/quote/FLYW","FLYW")</f>
        <v/>
      </c>
      <c r="B1971" t="inlineStr">
        <is>
          <t>Flywire Corp</t>
        </is>
      </c>
      <c r="C1971" t="inlineStr">
        <is>
          <t>Nasdaq</t>
        </is>
      </c>
      <c r="D1971" t="n">
        <v>1580560</v>
      </c>
      <c r="E1971" t="inlineStr">
        <is>
          <t>SEC</t>
        </is>
      </c>
    </row>
    <row r="1972">
      <c r="A1972" s="5">
        <f>HYPERLINK("https://finance.yahoo.com/quote/BHC","BHC")</f>
        <v/>
      </c>
      <c r="B1972" t="inlineStr">
        <is>
          <t>Bausch Health Companies Inc.</t>
        </is>
      </c>
      <c r="C1972" t="inlineStr">
        <is>
          <t>NYSE</t>
        </is>
      </c>
      <c r="D1972" t="n">
        <v>885590</v>
      </c>
      <c r="E1972" t="inlineStr">
        <is>
          <t>SEC</t>
        </is>
      </c>
    </row>
    <row r="1973">
      <c r="A1973" s="5">
        <f>HYPERLINK("https://finance.yahoo.com/quote/ADMA","ADMA")</f>
        <v/>
      </c>
      <c r="B1973" t="inlineStr">
        <is>
          <t>ADMA BIOLOGICS, INC.</t>
        </is>
      </c>
      <c r="C1973" t="inlineStr">
        <is>
          <t>Nasdaq</t>
        </is>
      </c>
      <c r="D1973" t="n">
        <v>1368514</v>
      </c>
      <c r="E1973" t="inlineStr">
        <is>
          <t>SEC</t>
        </is>
      </c>
    </row>
    <row r="1974">
      <c r="A1974" s="5">
        <f>HYPERLINK("https://finance.yahoo.com/quote/DCO","DCO")</f>
        <v/>
      </c>
      <c r="B1974" t="inlineStr">
        <is>
          <t>DUCOMMUN INC /DE/</t>
        </is>
      </c>
      <c r="C1974" t="inlineStr">
        <is>
          <t>NYSE</t>
        </is>
      </c>
      <c r="D1974" t="n">
        <v>30305</v>
      </c>
      <c r="E1974" t="inlineStr">
        <is>
          <t>SEC</t>
        </is>
      </c>
    </row>
    <row r="1975">
      <c r="A1975" s="5">
        <f>HYPERLINK("https://finance.yahoo.com/quote/NGVT","NGVT")</f>
        <v/>
      </c>
      <c r="B1975" t="inlineStr">
        <is>
          <t>Ingevity Corp</t>
        </is>
      </c>
      <c r="C1975" t="inlineStr">
        <is>
          <t>NYSE</t>
        </is>
      </c>
      <c r="D1975" t="n">
        <v>1653477</v>
      </c>
      <c r="E1975" t="inlineStr">
        <is>
          <t>SEC</t>
        </is>
      </c>
    </row>
    <row r="1976">
      <c r="A1976" s="5">
        <f>HYPERLINK("https://finance.yahoo.com/quote/APAM","APAM")</f>
        <v/>
      </c>
      <c r="B1976" t="inlineStr">
        <is>
          <t>Artisan Partners Asset Management Inc.</t>
        </is>
      </c>
      <c r="C1976" t="inlineStr">
        <is>
          <t>NYSE</t>
        </is>
      </c>
      <c r="D1976" t="n">
        <v>1517302</v>
      </c>
      <c r="E1976" t="inlineStr">
        <is>
          <t>SEC</t>
        </is>
      </c>
    </row>
    <row r="1977">
      <c r="A1977" s="5">
        <f>HYPERLINK("https://finance.yahoo.com/quote/BKE","BKE")</f>
        <v/>
      </c>
      <c r="B1977" t="inlineStr">
        <is>
          <t>BUCKLE INC</t>
        </is>
      </c>
      <c r="C1977" t="inlineStr">
        <is>
          <t>NYSE</t>
        </is>
      </c>
      <c r="D1977" t="n">
        <v>885245</v>
      </c>
      <c r="E1977" t="inlineStr">
        <is>
          <t>SEC</t>
        </is>
      </c>
    </row>
    <row r="1978">
      <c r="A1978" s="5">
        <f>HYPERLINK("https://finance.yahoo.com/quote/FRVO","FRVO")</f>
        <v/>
      </c>
      <c r="B1978" t="inlineStr">
        <is>
          <t>Fervo Energy Co</t>
        </is>
      </c>
      <c r="C1978" t="inlineStr">
        <is>
          <t>Nasdaq</t>
        </is>
      </c>
      <c r="D1978" t="n">
        <v>1853868</v>
      </c>
      <c r="E1978" t="inlineStr">
        <is>
          <t>SEC</t>
        </is>
      </c>
    </row>
    <row r="1979">
      <c r="A1979" s="5">
        <f>HYPERLINK("https://finance.yahoo.com/quote/BHE","BHE")</f>
        <v/>
      </c>
      <c r="B1979" t="inlineStr">
        <is>
          <t>BENCHMARK ELECTRONICS INC</t>
        </is>
      </c>
      <c r="C1979" t="inlineStr">
        <is>
          <t>NYSE</t>
        </is>
      </c>
      <c r="D1979" t="n">
        <v>863436</v>
      </c>
      <c r="E1979" t="inlineStr">
        <is>
          <t>SEC</t>
        </is>
      </c>
    </row>
    <row r="1980">
      <c r="A1980" s="5">
        <f>HYPERLINK("https://finance.yahoo.com/quote/PBI","PBI")</f>
        <v/>
      </c>
      <c r="B1980" t="inlineStr">
        <is>
          <t>PITNEY BOWES INC /DE/</t>
        </is>
      </c>
      <c r="C1980" t="inlineStr">
        <is>
          <t>NYSE</t>
        </is>
      </c>
      <c r="D1980" t="n">
        <v>78814</v>
      </c>
      <c r="E1980" t="inlineStr">
        <is>
          <t>SEC</t>
        </is>
      </c>
    </row>
    <row r="1981">
      <c r="A1981" s="5">
        <f>HYPERLINK("https://finance.yahoo.com/quote/MD","MD")</f>
        <v/>
      </c>
      <c r="B1981" t="inlineStr">
        <is>
          <t>Pediatrix Medical Group, Inc.</t>
        </is>
      </c>
      <c r="C1981" t="inlineStr">
        <is>
          <t>NYSE</t>
        </is>
      </c>
      <c r="D1981" t="n">
        <v>893949</v>
      </c>
      <c r="E1981" t="inlineStr">
        <is>
          <t>SEC</t>
        </is>
      </c>
    </row>
    <row r="1982">
      <c r="A1982" s="5">
        <f>HYPERLINK("https://finance.yahoo.com/quote/PTY","PTY")</f>
        <v/>
      </c>
      <c r="B1982" t="inlineStr">
        <is>
          <t>PIMCO CORPORATE &amp; INCOME OPPORTUNITY FUND</t>
        </is>
      </c>
      <c r="C1982" t="inlineStr">
        <is>
          <t>NYSE</t>
        </is>
      </c>
      <c r="D1982" t="n">
        <v>1190935</v>
      </c>
      <c r="E1982" t="inlineStr">
        <is>
          <t>SEC</t>
        </is>
      </c>
    </row>
    <row r="1983">
      <c r="A1983" s="5">
        <f>HYPERLINK("https://finance.yahoo.com/quote/AEGXF","AEGXF")</f>
        <v/>
      </c>
      <c r="B1983" t="inlineStr">
        <is>
          <t>Aecon Group Inc.</t>
        </is>
      </c>
      <c r="C1983" t="inlineStr">
        <is>
          <t>OTC</t>
        </is>
      </c>
      <c r="D1983" t="n">
        <v>1309167</v>
      </c>
      <c r="E1983" t="inlineStr">
        <is>
          <t>SEC</t>
        </is>
      </c>
    </row>
    <row r="1984">
      <c r="A1984" s="5">
        <f>HYPERLINK("https://finance.yahoo.com/quote/PTON","PTON")</f>
        <v/>
      </c>
      <c r="B1984" t="inlineStr">
        <is>
          <t>PELOTON INTERACTIVE, INC.</t>
        </is>
      </c>
      <c r="C1984" t="inlineStr">
        <is>
          <t>Nasdaq</t>
        </is>
      </c>
      <c r="D1984" t="n">
        <v>1639825</v>
      </c>
      <c r="E1984" t="inlineStr">
        <is>
          <t>SEC</t>
        </is>
      </c>
    </row>
    <row r="1985">
      <c r="A1985" s="5">
        <f>HYPERLINK("https://finance.yahoo.com/quote/NTB","NTB")</f>
        <v/>
      </c>
      <c r="B1985" t="inlineStr">
        <is>
          <t>Bank of N.T. Butterfield &amp; Son Ltd</t>
        </is>
      </c>
      <c r="C1985" t="inlineStr">
        <is>
          <t>NYSE</t>
        </is>
      </c>
      <c r="D1985" t="n">
        <v>1653242</v>
      </c>
      <c r="E1985" t="inlineStr">
        <is>
          <t>SEC</t>
        </is>
      </c>
    </row>
    <row r="1986">
      <c r="A1986" s="5">
        <f>HYPERLINK("https://finance.yahoo.com/quote/RCUS","RCUS")</f>
        <v/>
      </c>
      <c r="B1986" t="inlineStr">
        <is>
          <t>Arcus Biosciences, Inc.</t>
        </is>
      </c>
      <c r="C1986" t="inlineStr">
        <is>
          <t>NYSE</t>
        </is>
      </c>
      <c r="D1986" t="n">
        <v>1724521</v>
      </c>
      <c r="E1986" t="inlineStr">
        <is>
          <t>SEC</t>
        </is>
      </c>
    </row>
    <row r="1987">
      <c r="A1987" s="5">
        <f>HYPERLINK("https://finance.yahoo.com/quote/SUPN","SUPN")</f>
        <v/>
      </c>
      <c r="B1987" t="inlineStr">
        <is>
          <t>SUPERNUS PHARMACEUTICALS, INC.</t>
        </is>
      </c>
      <c r="C1987" t="inlineStr">
        <is>
          <t>Nasdaq</t>
        </is>
      </c>
      <c r="D1987" t="n">
        <v>1356576</v>
      </c>
      <c r="E1987" t="inlineStr">
        <is>
          <t>SEC</t>
        </is>
      </c>
    </row>
    <row r="1988">
      <c r="A1988" s="5">
        <f>HYPERLINK("https://finance.yahoo.com/quote/LTC","LTC")</f>
        <v/>
      </c>
      <c r="B1988" t="inlineStr">
        <is>
          <t>LTC PROPERTIES INC</t>
        </is>
      </c>
      <c r="C1988" t="inlineStr">
        <is>
          <t>NYSE</t>
        </is>
      </c>
      <c r="D1988" t="n">
        <v>887905</v>
      </c>
      <c r="E1988" t="inlineStr">
        <is>
          <t>SEC</t>
        </is>
      </c>
    </row>
    <row r="1989">
      <c r="A1989" s="5">
        <f>HYPERLINK("https://finance.yahoo.com/quote/BELFA","BELFA")</f>
        <v/>
      </c>
      <c r="B1989" t="inlineStr">
        <is>
          <t>BEL FUSE INC /NJ</t>
        </is>
      </c>
      <c r="C1989" t="inlineStr">
        <is>
          <t>Nasdaq</t>
        </is>
      </c>
      <c r="D1989" t="n">
        <v>729580</v>
      </c>
      <c r="E1989" t="inlineStr">
        <is>
          <t>SEC</t>
        </is>
      </c>
    </row>
    <row r="1990">
      <c r="A1990" s="5">
        <f>HYPERLINK("https://finance.yahoo.com/quote/ADEA","ADEA")</f>
        <v/>
      </c>
      <c r="B1990" t="inlineStr">
        <is>
          <t>Adeia Inc.</t>
        </is>
      </c>
      <c r="C1990" t="inlineStr">
        <is>
          <t>Nasdaq</t>
        </is>
      </c>
      <c r="D1990" t="n">
        <v>1803696</v>
      </c>
      <c r="E1990" t="inlineStr">
        <is>
          <t>SEC</t>
        </is>
      </c>
    </row>
    <row r="1991">
      <c r="A1991" s="5">
        <f>HYPERLINK("https://finance.yahoo.com/quote/CHA","CHA")</f>
        <v/>
      </c>
      <c r="B1991" t="inlineStr">
        <is>
          <t>Chagee Holdings Ltd.</t>
        </is>
      </c>
      <c r="C1991" t="inlineStr">
        <is>
          <t>Nasdaq</t>
        </is>
      </c>
      <c r="D1991" t="n">
        <v>2013649</v>
      </c>
      <c r="E1991" t="inlineStr">
        <is>
          <t>SEC</t>
        </is>
      </c>
    </row>
    <row r="1992">
      <c r="A1992" s="5">
        <f>HYPERLINK("https://finance.yahoo.com/quote/IVT","IVT")</f>
        <v/>
      </c>
      <c r="B1992" t="inlineStr">
        <is>
          <t>InvenTrust Properties Corp.</t>
        </is>
      </c>
      <c r="C1992" t="inlineStr">
        <is>
          <t>NYSE</t>
        </is>
      </c>
      <c r="D1992" t="n">
        <v>1307748</v>
      </c>
      <c r="E1992" t="inlineStr">
        <is>
          <t>SEC</t>
        </is>
      </c>
    </row>
    <row r="1993">
      <c r="A1993" s="5">
        <f>HYPERLINK("https://finance.yahoo.com/quote/DBD","DBD")</f>
        <v/>
      </c>
      <c r="B1993" t="inlineStr">
        <is>
          <t>DIEBOLD NIXDORF, Inc</t>
        </is>
      </c>
      <c r="C1993" t="inlineStr">
        <is>
          <t>NYSE</t>
        </is>
      </c>
      <c r="D1993" t="n">
        <v>28823</v>
      </c>
      <c r="E1993" t="inlineStr">
        <is>
          <t>SEC</t>
        </is>
      </c>
    </row>
    <row r="1994">
      <c r="A1994" s="5">
        <f>HYPERLINK("https://finance.yahoo.com/quote/NVG","NVG")</f>
        <v/>
      </c>
      <c r="B1994" t="inlineStr">
        <is>
          <t>Nuveen AMT-Free Municipal Credit Income Fund</t>
        </is>
      </c>
      <c r="C1994" t="inlineStr">
        <is>
          <t>NYSE</t>
        </is>
      </c>
      <c r="D1994" t="n">
        <v>1090116</v>
      </c>
      <c r="E1994" t="inlineStr">
        <is>
          <t>SEC</t>
        </is>
      </c>
    </row>
    <row r="1995">
      <c r="A1995" s="5">
        <f>HYPERLINK("https://finance.yahoo.com/quote/KOZAY","KOZAY")</f>
        <v/>
      </c>
      <c r="B1995" t="inlineStr">
        <is>
          <t>Turk Altin Isletmeleri A.S./ADR</t>
        </is>
      </c>
      <c r="C1995" t="inlineStr">
        <is>
          <t>OTC</t>
        </is>
      </c>
      <c r="D1995" t="n">
        <v>1532173</v>
      </c>
      <c r="E1995" t="inlineStr">
        <is>
          <t>SEC</t>
        </is>
      </c>
    </row>
    <row r="1996">
      <c r="A1996" s="5">
        <f>HYPERLINK("https://finance.yahoo.com/quote/SHO","SHO")</f>
        <v/>
      </c>
      <c r="B1996" t="inlineStr">
        <is>
          <t>Sunstone Hotel Investors, Inc.</t>
        </is>
      </c>
      <c r="C1996" t="inlineStr">
        <is>
          <t>NYSE</t>
        </is>
      </c>
      <c r="D1996" t="n">
        <v>1295810</v>
      </c>
      <c r="E1996" t="inlineStr">
        <is>
          <t>SEC</t>
        </is>
      </c>
    </row>
    <row r="1997">
      <c r="A1997" s="5">
        <f>HYPERLINK("https://finance.yahoo.com/quote/MBX","MBX")</f>
        <v/>
      </c>
      <c r="B1997" t="inlineStr">
        <is>
          <t>MBX Biosciences, Inc.</t>
        </is>
      </c>
      <c r="C1997" t="inlineStr">
        <is>
          <t>Nasdaq</t>
        </is>
      </c>
      <c r="D1997" t="n">
        <v>1776111</v>
      </c>
      <c r="E1997" t="inlineStr">
        <is>
          <t>SEC</t>
        </is>
      </c>
    </row>
    <row r="1998">
      <c r="A1998" s="5">
        <f>HYPERLINK("https://finance.yahoo.com/quote/RAMP","RAMP")</f>
        <v/>
      </c>
      <c r="B1998" t="inlineStr">
        <is>
          <t>LiveRamp Holdings, Inc.</t>
        </is>
      </c>
      <c r="C1998" t="inlineStr">
        <is>
          <t>NYSE</t>
        </is>
      </c>
      <c r="D1998" t="n">
        <v>733269</v>
      </c>
      <c r="E1998" t="inlineStr">
        <is>
          <t>SEC</t>
        </is>
      </c>
    </row>
    <row r="1999">
      <c r="A1999" s="5">
        <f>HYPERLINK("https://finance.yahoo.com/quote/ATHM","ATHM")</f>
        <v/>
      </c>
      <c r="B1999" t="inlineStr">
        <is>
          <t>Autohome Inc.</t>
        </is>
      </c>
      <c r="C1999" t="inlineStr">
        <is>
          <t>NYSE</t>
        </is>
      </c>
      <c r="D1999" t="n">
        <v>1527636</v>
      </c>
      <c r="E1999" t="inlineStr">
        <is>
          <t>SEC</t>
        </is>
      </c>
    </row>
    <row r="2000">
      <c r="A2000" s="5">
        <f>HYPERLINK("https://finance.yahoo.com/quote/COHU","COHU")</f>
        <v/>
      </c>
      <c r="B2000" t="inlineStr">
        <is>
          <t>COHU INC</t>
        </is>
      </c>
      <c r="C2000" t="inlineStr">
        <is>
          <t>Nasdaq</t>
        </is>
      </c>
      <c r="D2000" t="n">
        <v>21535</v>
      </c>
      <c r="E2000" t="inlineStr">
        <is>
          <t>SEC</t>
        </is>
      </c>
    </row>
    <row r="2001">
      <c r="A2001" s="5">
        <f>HYPERLINK("https://finance.yahoo.com/quote/VVX","VVX")</f>
        <v/>
      </c>
      <c r="B2001" t="inlineStr">
        <is>
          <t>V2X, Inc.</t>
        </is>
      </c>
      <c r="C2001" t="inlineStr">
        <is>
          <t>NYSE</t>
        </is>
      </c>
      <c r="D2001" t="n">
        <v>1601548</v>
      </c>
      <c r="E2001" t="inlineStr">
        <is>
          <t>SEC</t>
        </is>
      </c>
    </row>
    <row r="2002">
      <c r="A2002" s="5">
        <f>HYPERLINK("https://finance.yahoo.com/quote/SMSGY","SMSGY")</f>
        <v/>
      </c>
      <c r="B2002" t="inlineStr">
        <is>
          <t>Samsonite International SA/ADR</t>
        </is>
      </c>
      <c r="C2002" t="inlineStr">
        <is>
          <t>OTC</t>
        </is>
      </c>
      <c r="D2002" t="n">
        <v>1560968</v>
      </c>
      <c r="E2002" t="inlineStr">
        <is>
          <t>SEC</t>
        </is>
      </c>
    </row>
    <row r="2003">
      <c r="A2003" s="5">
        <f>HYPERLINK("https://finance.yahoo.com/quote/SLS","SLS")</f>
        <v/>
      </c>
      <c r="B2003" t="inlineStr">
        <is>
          <t>SELLAS Life Sciences Group, Inc.</t>
        </is>
      </c>
      <c r="C2003" t="inlineStr">
        <is>
          <t>Nasdaq</t>
        </is>
      </c>
      <c r="D2003" t="n">
        <v>1390478</v>
      </c>
      <c r="E2003" t="inlineStr">
        <is>
          <t>SEC</t>
        </is>
      </c>
    </row>
    <row r="2004">
      <c r="A2004" s="5">
        <f>HYPERLINK("https://finance.yahoo.com/quote/NWL","NWL")</f>
        <v/>
      </c>
      <c r="B2004" t="inlineStr">
        <is>
          <t>NEWELL BRANDS INC.</t>
        </is>
      </c>
      <c r="C2004" t="inlineStr">
        <is>
          <t>Nasdaq</t>
        </is>
      </c>
      <c r="D2004" t="n">
        <v>814453</v>
      </c>
      <c r="E2004" t="inlineStr">
        <is>
          <t>SEC</t>
        </is>
      </c>
    </row>
    <row r="2005">
      <c r="A2005" s="5">
        <f>HYPERLINK("https://finance.yahoo.com/quote/PEB","PEB")</f>
        <v/>
      </c>
      <c r="B2005" t="inlineStr">
        <is>
          <t>Pebblebrook Hotel Trust</t>
        </is>
      </c>
      <c r="C2005" t="inlineStr">
        <is>
          <t>NYSE</t>
        </is>
      </c>
      <c r="D2005" t="n">
        <v>1474098</v>
      </c>
      <c r="E2005" t="inlineStr">
        <is>
          <t>SEC</t>
        </is>
      </c>
    </row>
    <row r="2006">
      <c r="A2006" s="5">
        <f>HYPERLINK("https://finance.yahoo.com/quote/AMPL","AMPL")</f>
        <v/>
      </c>
      <c r="B2006" t="inlineStr">
        <is>
          <t>Amplitude, Inc.</t>
        </is>
      </c>
      <c r="C2006" t="inlineStr">
        <is>
          <t>Nasdaq</t>
        </is>
      </c>
      <c r="D2006" t="n">
        <v>1866692</v>
      </c>
      <c r="E2006" t="inlineStr">
        <is>
          <t>SEC</t>
        </is>
      </c>
    </row>
    <row r="2007">
      <c r="A2007" s="5">
        <f>HYPERLINK("https://finance.yahoo.com/quote/LPG","LPG")</f>
        <v/>
      </c>
      <c r="B2007" t="inlineStr">
        <is>
          <t>DORIAN LPG LTD.</t>
        </is>
      </c>
      <c r="C2007" t="inlineStr">
        <is>
          <t>NYSE</t>
        </is>
      </c>
      <c r="D2007" t="n">
        <v>1596993</v>
      </c>
      <c r="E2007" t="inlineStr">
        <is>
          <t>SEC</t>
        </is>
      </c>
    </row>
    <row r="2008">
      <c r="A2008" s="5">
        <f>HYPERLINK("https://finance.yahoo.com/quote/CALX","CALX")</f>
        <v/>
      </c>
      <c r="B2008" t="inlineStr">
        <is>
          <t>CALIX, INC</t>
        </is>
      </c>
      <c r="C2008" t="inlineStr">
        <is>
          <t>NYSE</t>
        </is>
      </c>
      <c r="D2008" t="n">
        <v>1406666</v>
      </c>
      <c r="E2008" t="inlineStr">
        <is>
          <t>SEC</t>
        </is>
      </c>
    </row>
    <row r="2009">
      <c r="A2009" s="5">
        <f>HYPERLINK("https://finance.yahoo.com/quote/DAO","DAO")</f>
        <v/>
      </c>
      <c r="B2009" t="inlineStr">
        <is>
          <t>Youdao, Inc.</t>
        </is>
      </c>
      <c r="C2009" t="inlineStr">
        <is>
          <t>NYSE</t>
        </is>
      </c>
      <c r="D2009" t="n">
        <v>1781753</v>
      </c>
      <c r="E2009" t="inlineStr">
        <is>
          <t>SEC</t>
        </is>
      </c>
    </row>
    <row r="2010">
      <c r="A2010" s="5">
        <f>HYPERLINK("https://finance.yahoo.com/quote/HOS","HOS")</f>
        <v/>
      </c>
      <c r="B2010" t="inlineStr">
        <is>
          <t>HORNBECK OFFSHORE SERVICES, INC.</t>
        </is>
      </c>
      <c r="C2010" t="inlineStr">
        <is>
          <t>NYSE</t>
        </is>
      </c>
      <c r="D2010" t="n">
        <v>866829</v>
      </c>
      <c r="E2010" t="inlineStr">
        <is>
          <t>SEC</t>
        </is>
      </c>
    </row>
    <row r="2011">
      <c r="A2011" s="5">
        <f>HYPERLINK("https://finance.yahoo.com/quote/UPST","UPST")</f>
        <v/>
      </c>
      <c r="B2011" t="inlineStr">
        <is>
          <t>Upstart Holdings, Inc.</t>
        </is>
      </c>
      <c r="C2011" t="inlineStr">
        <is>
          <t>Nasdaq</t>
        </is>
      </c>
      <c r="D2011" t="n">
        <v>1647639</v>
      </c>
      <c r="E2011" t="inlineStr">
        <is>
          <t>SEC</t>
        </is>
      </c>
    </row>
    <row r="2012">
      <c r="A2012" s="5">
        <f>HYPERLINK("https://finance.yahoo.com/quote/KMT","KMT")</f>
        <v/>
      </c>
      <c r="B2012" t="inlineStr">
        <is>
          <t>KENNAMETAL INC</t>
        </is>
      </c>
      <c r="C2012" t="inlineStr">
        <is>
          <t>NYSE</t>
        </is>
      </c>
      <c r="D2012" t="n">
        <v>55242</v>
      </c>
      <c r="E2012" t="inlineStr">
        <is>
          <t>SEC</t>
        </is>
      </c>
    </row>
    <row r="2013">
      <c r="A2013" s="5">
        <f>HYPERLINK("https://finance.yahoo.com/quote/CLDX","CLDX")</f>
        <v/>
      </c>
      <c r="B2013" t="inlineStr">
        <is>
          <t>Celldex Therapeutics, Inc.</t>
        </is>
      </c>
      <c r="C2013" t="inlineStr">
        <is>
          <t>Nasdaq</t>
        </is>
      </c>
      <c r="D2013" t="n">
        <v>744218</v>
      </c>
      <c r="E2013" t="inlineStr">
        <is>
          <t>SEC</t>
        </is>
      </c>
    </row>
    <row r="2014">
      <c r="A2014" s="5">
        <f>HYPERLINK("https://finance.yahoo.com/quote/PBH","PBH")</f>
        <v/>
      </c>
      <c r="B2014" t="inlineStr">
        <is>
          <t>Prestige Consumer Healthcare Inc.</t>
        </is>
      </c>
      <c r="C2014" t="inlineStr">
        <is>
          <t>NYSE</t>
        </is>
      </c>
      <c r="D2014" t="n">
        <v>1295947</v>
      </c>
      <c r="E2014" t="inlineStr">
        <is>
          <t>SEC</t>
        </is>
      </c>
    </row>
    <row r="2015">
      <c r="A2015" s="5">
        <f>HYPERLINK("https://finance.yahoo.com/quote/UFPT","UFPT")</f>
        <v/>
      </c>
      <c r="B2015" t="inlineStr">
        <is>
          <t>UFP TECHNOLOGIES INC</t>
        </is>
      </c>
      <c r="C2015" t="inlineStr">
        <is>
          <t>Nasdaq</t>
        </is>
      </c>
      <c r="D2015" t="n">
        <v>914156</v>
      </c>
      <c r="E2015" t="inlineStr">
        <is>
          <t>SEC</t>
        </is>
      </c>
    </row>
    <row r="2016">
      <c r="A2016" s="5">
        <f>HYPERLINK("https://finance.yahoo.com/quote/BGSI","BGSI")</f>
        <v/>
      </c>
      <c r="B2016" t="inlineStr">
        <is>
          <t>Boyd Group Services Inc.</t>
        </is>
      </c>
      <c r="C2016" t="inlineStr">
        <is>
          <t>NYSE</t>
        </is>
      </c>
      <c r="D2016" t="n">
        <v>2091467</v>
      </c>
      <c r="E2016" t="inlineStr">
        <is>
          <t>SEC</t>
        </is>
      </c>
    </row>
    <row r="2017">
      <c r="A2017" s="5">
        <f>HYPERLINK("https://finance.yahoo.com/quote/BKV","BKV")</f>
        <v/>
      </c>
      <c r="B2017" t="inlineStr">
        <is>
          <t>BKV Corp</t>
        </is>
      </c>
      <c r="C2017" t="inlineStr">
        <is>
          <t>NYSE</t>
        </is>
      </c>
      <c r="D2017" t="n">
        <v>1838406</v>
      </c>
      <c r="E2017" t="inlineStr">
        <is>
          <t>SEC</t>
        </is>
      </c>
    </row>
    <row r="2018">
      <c r="A2018" s="5">
        <f>HYPERLINK("https://finance.yahoo.com/quote/ADUS","ADUS")</f>
        <v/>
      </c>
      <c r="B2018" t="inlineStr">
        <is>
          <t>Addus HomeCare Corp</t>
        </is>
      </c>
      <c r="C2018" t="inlineStr">
        <is>
          <t>Nasdaq</t>
        </is>
      </c>
      <c r="D2018" t="n">
        <v>1468328</v>
      </c>
      <c r="E2018" t="inlineStr">
        <is>
          <t>SEC</t>
        </is>
      </c>
    </row>
    <row r="2019">
      <c r="A2019" s="5">
        <f>HYPERLINK("https://finance.yahoo.com/quote/NWBI","NWBI")</f>
        <v/>
      </c>
      <c r="B2019" t="inlineStr">
        <is>
          <t>Northwest Bancshares, Inc.</t>
        </is>
      </c>
      <c r="C2019" t="inlineStr">
        <is>
          <t>Nasdaq</t>
        </is>
      </c>
      <c r="D2019" t="n">
        <v>1471265</v>
      </c>
      <c r="E2019" t="inlineStr">
        <is>
          <t>SEC</t>
        </is>
      </c>
    </row>
    <row r="2020">
      <c r="A2020" s="5">
        <f>HYPERLINK("https://finance.yahoo.com/quote/NAMS","NAMS")</f>
        <v/>
      </c>
      <c r="B2020" t="inlineStr">
        <is>
          <t>NewAmsterdam Pharma Co N.V.</t>
        </is>
      </c>
      <c r="C2020" t="inlineStr">
        <is>
          <t>Nasdaq</t>
        </is>
      </c>
      <c r="D2020" t="n">
        <v>1936258</v>
      </c>
      <c r="E2020" t="inlineStr">
        <is>
          <t>SEC</t>
        </is>
      </c>
    </row>
    <row r="2021">
      <c r="A2021" s="5">
        <f>HYPERLINK("https://finance.yahoo.com/quote/ROG","ROG")</f>
        <v/>
      </c>
      <c r="B2021" t="inlineStr">
        <is>
          <t>ROGERS CORP</t>
        </is>
      </c>
      <c r="C2021" t="inlineStr">
        <is>
          <t>NYSE</t>
        </is>
      </c>
      <c r="D2021" t="n">
        <v>84748</v>
      </c>
      <c r="E2021" t="inlineStr">
        <is>
          <t>SEC</t>
        </is>
      </c>
    </row>
    <row r="2022">
      <c r="A2022" s="5">
        <f>HYPERLINK("https://finance.yahoo.com/quote/RUM","RUM")</f>
        <v/>
      </c>
      <c r="B2022" t="inlineStr">
        <is>
          <t>RUM Group Inc.</t>
        </is>
      </c>
      <c r="C2022" t="inlineStr">
        <is>
          <t>Nasdaq</t>
        </is>
      </c>
      <c r="D2022" t="n">
        <v>1830081</v>
      </c>
      <c r="E2022" t="inlineStr">
        <is>
          <t>SEC</t>
        </is>
      </c>
    </row>
    <row r="2023">
      <c r="A2023" s="5">
        <f>HYPERLINK("https://finance.yahoo.com/quote/PONY","PONY")</f>
        <v/>
      </c>
      <c r="B2023" t="inlineStr">
        <is>
          <t>Pony AI Inc.</t>
        </is>
      </c>
      <c r="C2023" t="inlineStr">
        <is>
          <t>Nasdaq</t>
        </is>
      </c>
      <c r="D2023" t="n">
        <v>1969302</v>
      </c>
      <c r="E2023" t="inlineStr">
        <is>
          <t>SEC</t>
        </is>
      </c>
    </row>
    <row r="2024">
      <c r="A2024" s="5">
        <f>HYPERLINK("https://finance.yahoo.com/quote/STUB","STUB")</f>
        <v/>
      </c>
      <c r="B2024" t="inlineStr">
        <is>
          <t>StubHub Holdings, Inc.</t>
        </is>
      </c>
      <c r="C2024" t="inlineStr">
        <is>
          <t>NYSE</t>
        </is>
      </c>
      <c r="D2024" t="n">
        <v>1337634</v>
      </c>
      <c r="E2024" t="inlineStr">
        <is>
          <t>SEC</t>
        </is>
      </c>
    </row>
    <row r="2025">
      <c r="A2025" s="5">
        <f>HYPERLINK("https://finance.yahoo.com/quote/AUPH","AUPH")</f>
        <v/>
      </c>
      <c r="B2025" t="inlineStr">
        <is>
          <t>Aurinia Pharmaceuticals Inc.</t>
        </is>
      </c>
      <c r="C2025" t="inlineStr">
        <is>
          <t>Nasdaq</t>
        </is>
      </c>
      <c r="D2025" t="n">
        <v>1600620</v>
      </c>
      <c r="E2025" t="inlineStr">
        <is>
          <t>SEC</t>
        </is>
      </c>
    </row>
    <row r="2026">
      <c r="A2026" s="5">
        <f>HYPERLINK("https://finance.yahoo.com/quote/MBIN","MBIN")</f>
        <v/>
      </c>
      <c r="B2026" t="inlineStr">
        <is>
          <t>Merchants Bancorp</t>
        </is>
      </c>
      <c r="C2026" t="inlineStr">
        <is>
          <t>Nasdaq</t>
        </is>
      </c>
      <c r="D2026" t="n">
        <v>1629019</v>
      </c>
      <c r="E2026" t="inlineStr">
        <is>
          <t>SEC</t>
        </is>
      </c>
    </row>
    <row r="2027">
      <c r="A2027" s="5">
        <f>HYPERLINK("https://finance.yahoo.com/quote/NVTS","NVTS")</f>
        <v/>
      </c>
      <c r="B2027" t="inlineStr">
        <is>
          <t>Navitas Semiconductor Corp</t>
        </is>
      </c>
      <c r="C2027" t="inlineStr">
        <is>
          <t>Nasdaq</t>
        </is>
      </c>
      <c r="D2027" t="n">
        <v>1821769</v>
      </c>
      <c r="E2027" t="inlineStr">
        <is>
          <t>SEC</t>
        </is>
      </c>
    </row>
    <row r="2028">
      <c r="A2028" s="5">
        <f>HYPERLINK("https://finance.yahoo.com/quote/FTRE","FTRE")</f>
        <v/>
      </c>
      <c r="B2028" t="inlineStr">
        <is>
          <t>Fortrea Holdings Inc.</t>
        </is>
      </c>
      <c r="C2028" t="inlineStr">
        <is>
          <t>Nasdaq</t>
        </is>
      </c>
      <c r="D2028" t="n">
        <v>1965040</v>
      </c>
      <c r="E2028" t="inlineStr">
        <is>
          <t>SEC</t>
        </is>
      </c>
    </row>
    <row r="2029">
      <c r="A2029" s="5">
        <f>HYPERLINK("https://finance.yahoo.com/quote/MAN","MAN")</f>
        <v/>
      </c>
      <c r="B2029" t="inlineStr">
        <is>
          <t>ManpowerGroup Inc.</t>
        </is>
      </c>
      <c r="C2029" t="inlineStr">
        <is>
          <t>NYSE</t>
        </is>
      </c>
      <c r="D2029" t="n">
        <v>871763</v>
      </c>
      <c r="E2029" t="inlineStr">
        <is>
          <t>SEC</t>
        </is>
      </c>
    </row>
    <row r="2030">
      <c r="A2030" s="5">
        <f>HYPERLINK("https://finance.yahoo.com/quote/EXK","EXK")</f>
        <v/>
      </c>
      <c r="B2030" t="inlineStr">
        <is>
          <t>ENDEAVOUR SILVER CORP</t>
        </is>
      </c>
      <c r="C2030" t="inlineStr">
        <is>
          <t>NYSE</t>
        </is>
      </c>
      <c r="D2030" t="n">
        <v>1277866</v>
      </c>
      <c r="E2030" t="inlineStr">
        <is>
          <t>SEC</t>
        </is>
      </c>
    </row>
    <row r="2031">
      <c r="A2031" s="5">
        <f>HYPERLINK("https://finance.yahoo.com/quote/CNXN","CNXN")</f>
        <v/>
      </c>
      <c r="B2031" t="inlineStr">
        <is>
          <t>PC CONNECTION INC</t>
        </is>
      </c>
      <c r="C2031" t="inlineStr">
        <is>
          <t>Nasdaq</t>
        </is>
      </c>
      <c r="D2031" t="n">
        <v>1050377</v>
      </c>
      <c r="E2031" t="inlineStr">
        <is>
          <t>SEC</t>
        </is>
      </c>
    </row>
    <row r="2032">
      <c r="A2032" s="5">
        <f>HYPERLINK("https://finance.yahoo.com/quote/SMR","SMR")</f>
        <v/>
      </c>
      <c r="B2032" t="inlineStr">
        <is>
          <t>NUSCALE POWER Corp</t>
        </is>
      </c>
      <c r="C2032" t="inlineStr">
        <is>
          <t>NYSE</t>
        </is>
      </c>
      <c r="D2032" t="n">
        <v>1822966</v>
      </c>
      <c r="E2032" t="inlineStr">
        <is>
          <t>SEC</t>
        </is>
      </c>
    </row>
    <row r="2033">
      <c r="A2033" s="5">
        <f>HYPERLINK("https://finance.yahoo.com/quote/PGEN","PGEN")</f>
        <v/>
      </c>
      <c r="B2033" t="inlineStr">
        <is>
          <t>PRECIGEN, INC.</t>
        </is>
      </c>
      <c r="C2033" t="inlineStr">
        <is>
          <t>Nasdaq</t>
        </is>
      </c>
      <c r="D2033" t="n">
        <v>1356090</v>
      </c>
      <c r="E2033" t="inlineStr">
        <is>
          <t>SEC</t>
        </is>
      </c>
    </row>
    <row r="2034">
      <c r="A2034" s="5">
        <f>HYPERLINK("https://finance.yahoo.com/quote/LIND","LIND")</f>
        <v/>
      </c>
      <c r="B2034" t="inlineStr">
        <is>
          <t>LINDBLAD EXPEDITIONS HOLDINGS, INC.</t>
        </is>
      </c>
      <c r="C2034" t="inlineStr">
        <is>
          <t>Nasdaq</t>
        </is>
      </c>
      <c r="D2034" t="n">
        <v>1512499</v>
      </c>
      <c r="E2034" t="inlineStr">
        <is>
          <t>SEC</t>
        </is>
      </c>
    </row>
    <row r="2035">
      <c r="A2035" s="5">
        <f>HYPERLINK("https://finance.yahoo.com/quote/SPGNY","SPGNY")</f>
        <v/>
      </c>
      <c r="B2035" t="inlineStr">
        <is>
          <t>Springer Nature AG &amp; Co. KGaA/ADR</t>
        </is>
      </c>
      <c r="C2035" t="inlineStr">
        <is>
          <t>OTC</t>
        </is>
      </c>
      <c r="D2035" t="n">
        <v>2042556</v>
      </c>
      <c r="E2035" t="inlineStr">
        <is>
          <t>SEC</t>
        </is>
      </c>
    </row>
    <row r="2036">
      <c r="A2036" s="5">
        <f>HYPERLINK("https://finance.yahoo.com/quote/PGNY","PGNY")</f>
        <v/>
      </c>
      <c r="B2036" t="inlineStr">
        <is>
          <t>Progyny, Inc.</t>
        </is>
      </c>
      <c r="C2036" t="inlineStr">
        <is>
          <t>Nasdaq</t>
        </is>
      </c>
      <c r="D2036" t="n">
        <v>1551306</v>
      </c>
      <c r="E2036" t="inlineStr">
        <is>
          <t>SEC</t>
        </is>
      </c>
    </row>
    <row r="2037">
      <c r="A2037" s="5">
        <f>HYPERLINK("https://finance.yahoo.com/quote/PRGO","PRGO")</f>
        <v/>
      </c>
      <c r="B2037" t="inlineStr">
        <is>
          <t>PERRIGO Co plc</t>
        </is>
      </c>
      <c r="C2037" t="inlineStr">
        <is>
          <t>NYSE</t>
        </is>
      </c>
      <c r="D2037" t="n">
        <v>1585364</v>
      </c>
      <c r="E2037" t="inlineStr">
        <is>
          <t>SEC</t>
        </is>
      </c>
    </row>
    <row r="2038">
      <c r="A2038" s="5">
        <f>HYPERLINK("https://finance.yahoo.com/quote/AXGN","AXGN")</f>
        <v/>
      </c>
      <c r="B2038" t="inlineStr">
        <is>
          <t>Axogen, Inc.</t>
        </is>
      </c>
      <c r="C2038" t="inlineStr">
        <is>
          <t>Nasdaq</t>
        </is>
      </c>
      <c r="D2038" t="n">
        <v>805928</v>
      </c>
      <c r="E2038" t="inlineStr">
        <is>
          <t>SEC</t>
        </is>
      </c>
    </row>
    <row r="2039">
      <c r="A2039" s="5">
        <f>HYPERLINK("https://finance.yahoo.com/quote/UWMC","UWMC")</f>
        <v/>
      </c>
      <c r="B2039" t="inlineStr">
        <is>
          <t>UWM Holdings Corp</t>
        </is>
      </c>
      <c r="C2039" t="inlineStr">
        <is>
          <t>NYSE</t>
        </is>
      </c>
      <c r="D2039" t="n">
        <v>1783398</v>
      </c>
      <c r="E2039" t="inlineStr">
        <is>
          <t>SEC</t>
        </is>
      </c>
    </row>
    <row r="2040">
      <c r="A2040" s="5">
        <f>HYPERLINK("https://finance.yahoo.com/quote/PHVS","PHVS")</f>
        <v/>
      </c>
      <c r="B2040" t="inlineStr">
        <is>
          <t>Pharvaris N.V.</t>
        </is>
      </c>
      <c r="C2040" t="inlineStr">
        <is>
          <t>Nasdaq</t>
        </is>
      </c>
      <c r="D2040" t="n">
        <v>1830487</v>
      </c>
      <c r="E2040" t="inlineStr">
        <is>
          <t>SEC</t>
        </is>
      </c>
    </row>
    <row r="2041">
      <c r="A2041" s="5">
        <f>HYPERLINK("https://finance.yahoo.com/quote/PATK","PATK")</f>
        <v/>
      </c>
      <c r="B2041" t="inlineStr">
        <is>
          <t>PATRICK INDUSTRIES INC</t>
        </is>
      </c>
      <c r="C2041" t="inlineStr">
        <is>
          <t>Nasdaq</t>
        </is>
      </c>
      <c r="D2041" t="n">
        <v>76605</v>
      </c>
      <c r="E2041" t="inlineStr">
        <is>
          <t>SEC</t>
        </is>
      </c>
    </row>
    <row r="2042">
      <c r="A2042" s="5">
        <f>HYPERLINK("https://finance.yahoo.com/quote/AERO","AERO")</f>
        <v/>
      </c>
      <c r="B2042" t="inlineStr">
        <is>
          <t>Grupo Aeromexico, S.A.B. de C.V.</t>
        </is>
      </c>
      <c r="C2042" t="inlineStr">
        <is>
          <t>NYSE</t>
        </is>
      </c>
      <c r="D2042" t="n">
        <v>1561861</v>
      </c>
      <c r="E2042" t="inlineStr">
        <is>
          <t>SEC</t>
        </is>
      </c>
    </row>
    <row r="2043">
      <c r="A2043" s="5">
        <f>HYPERLINK("https://finance.yahoo.com/quote/TSAT","TSAT")</f>
        <v/>
      </c>
      <c r="B2043" t="inlineStr">
        <is>
          <t>Telesat Corp</t>
        </is>
      </c>
      <c r="C2043" t="inlineStr">
        <is>
          <t>Nasdaq</t>
        </is>
      </c>
      <c r="D2043" t="n">
        <v>1845840</v>
      </c>
      <c r="E2043" t="inlineStr">
        <is>
          <t>SEC</t>
        </is>
      </c>
    </row>
    <row r="2044">
      <c r="A2044" s="5">
        <f>HYPERLINK("https://finance.yahoo.com/quote/EFSC","EFSC")</f>
        <v/>
      </c>
      <c r="B2044" t="inlineStr">
        <is>
          <t>ENTERPRISE FINANCIAL SERVICES CORP</t>
        </is>
      </c>
      <c r="C2044" t="inlineStr">
        <is>
          <t>Nasdaq</t>
        </is>
      </c>
      <c r="D2044" t="n">
        <v>1025835</v>
      </c>
      <c r="E2044" t="inlineStr">
        <is>
          <t>SEC</t>
        </is>
      </c>
    </row>
    <row r="2045">
      <c r="A2045" s="5">
        <f>HYPERLINK("https://finance.yahoo.com/quote/HLIO","HLIO")</f>
        <v/>
      </c>
      <c r="B2045" t="inlineStr">
        <is>
          <t>HELIOS TECHNOLOGIES, INC.</t>
        </is>
      </c>
      <c r="C2045" t="inlineStr">
        <is>
          <t>NYSE</t>
        </is>
      </c>
      <c r="D2045" t="n">
        <v>1024795</v>
      </c>
      <c r="E2045" t="inlineStr">
        <is>
          <t>SEC</t>
        </is>
      </c>
    </row>
    <row r="2046">
      <c r="A2046" s="5">
        <f>HYPERLINK("https://finance.yahoo.com/quote/AGIO","AGIO")</f>
        <v/>
      </c>
      <c r="B2046" t="inlineStr">
        <is>
          <t>AGIOS PHARMACEUTICALS, INC.</t>
        </is>
      </c>
      <c r="C2046" t="inlineStr">
        <is>
          <t>Nasdaq</t>
        </is>
      </c>
      <c r="D2046" t="n">
        <v>1439222</v>
      </c>
      <c r="E2046" t="inlineStr">
        <is>
          <t>SEC</t>
        </is>
      </c>
    </row>
    <row r="2047">
      <c r="A2047" s="5">
        <f>HYPERLINK("https://finance.yahoo.com/quote/STGW","STGW")</f>
        <v/>
      </c>
      <c r="B2047" t="inlineStr">
        <is>
          <t>Stagwell Inc</t>
        </is>
      </c>
      <c r="C2047" t="inlineStr">
        <is>
          <t>Nasdaq</t>
        </is>
      </c>
      <c r="D2047" t="n">
        <v>876883</v>
      </c>
      <c r="E2047" t="inlineStr">
        <is>
          <t>SEC</t>
        </is>
      </c>
    </row>
    <row r="2048">
      <c r="A2048" s="5">
        <f>HYPERLINK("https://finance.yahoo.com/quote/ANDE","ANDE")</f>
        <v/>
      </c>
      <c r="B2048" t="inlineStr">
        <is>
          <t>Andersons, Inc.</t>
        </is>
      </c>
      <c r="C2048" t="inlineStr">
        <is>
          <t>Nasdaq</t>
        </is>
      </c>
      <c r="D2048" t="n">
        <v>821026</v>
      </c>
      <c r="E2048" t="inlineStr">
        <is>
          <t>SEC</t>
        </is>
      </c>
    </row>
    <row r="2049">
      <c r="A2049" s="5">
        <f>HYPERLINK("https://finance.yahoo.com/quote/WAFD","WAFD")</f>
        <v/>
      </c>
      <c r="B2049" t="inlineStr">
        <is>
          <t>WAFD INC</t>
        </is>
      </c>
      <c r="C2049" t="inlineStr">
        <is>
          <t>Nasdaq</t>
        </is>
      </c>
      <c r="D2049" t="n">
        <v>936528</v>
      </c>
      <c r="E2049" t="inlineStr">
        <is>
          <t>SEC</t>
        </is>
      </c>
    </row>
    <row r="2050">
      <c r="A2050" s="5">
        <f>HYPERLINK("https://finance.yahoo.com/quote/KRP","KRP")</f>
        <v/>
      </c>
      <c r="B2050" t="inlineStr">
        <is>
          <t>Kimbell Royalty Partners, LP</t>
        </is>
      </c>
      <c r="C2050" t="inlineStr">
        <is>
          <t>NYSE</t>
        </is>
      </c>
      <c r="D2050" t="n">
        <v>1657788</v>
      </c>
      <c r="E2050" t="inlineStr">
        <is>
          <t>SEC</t>
        </is>
      </c>
    </row>
    <row r="2051">
      <c r="A2051" s="5">
        <f>HYPERLINK("https://finance.yahoo.com/quote/AGM","AGM")</f>
        <v/>
      </c>
      <c r="B2051" t="inlineStr">
        <is>
          <t>FEDERAL AGRICULTURAL MORTGAGE CORP</t>
        </is>
      </c>
      <c r="C2051" t="inlineStr">
        <is>
          <t>NYSE</t>
        </is>
      </c>
      <c r="D2051" t="n">
        <v>845877</v>
      </c>
      <c r="E2051" t="inlineStr">
        <is>
          <t>SEC</t>
        </is>
      </c>
    </row>
    <row r="2052">
      <c r="A2052" s="5">
        <f>HYPERLINK("https://finance.yahoo.com/quote/VCEL","VCEL")</f>
        <v/>
      </c>
      <c r="B2052" t="inlineStr">
        <is>
          <t>Vericel Corp</t>
        </is>
      </c>
      <c r="C2052" t="inlineStr">
        <is>
          <t>Nasdaq</t>
        </is>
      </c>
      <c r="D2052" t="n">
        <v>887359</v>
      </c>
      <c r="E2052" t="inlineStr">
        <is>
          <t>SEC</t>
        </is>
      </c>
    </row>
    <row r="2053">
      <c r="A2053" s="5">
        <f>HYPERLINK("https://finance.yahoo.com/quote/OFG","OFG")</f>
        <v/>
      </c>
      <c r="B2053" t="inlineStr">
        <is>
          <t>OFG BANCORP</t>
        </is>
      </c>
      <c r="C2053" t="inlineStr">
        <is>
          <t>NYSE</t>
        </is>
      </c>
      <c r="D2053" t="n">
        <v>1030469</v>
      </c>
      <c r="E2053" t="inlineStr">
        <is>
          <t>SEC</t>
        </is>
      </c>
    </row>
    <row r="2054">
      <c r="A2054" s="5">
        <f>HYPERLINK("https://finance.yahoo.com/quote/CHRN","CHRN")</f>
        <v/>
      </c>
      <c r="B2054" t="inlineStr">
        <is>
          <t>ChronoScale Holdings Corp</t>
        </is>
      </c>
      <c r="C2054" t="inlineStr">
        <is>
          <t>Nasdaq</t>
        </is>
      </c>
      <c r="D2054" t="n">
        <v>1549084</v>
      </c>
      <c r="E2054" t="inlineStr">
        <is>
          <t>SEC</t>
        </is>
      </c>
    </row>
    <row r="2055">
      <c r="A2055" s="5">
        <f>HYPERLINK("https://finance.yahoo.com/quote/NZF","NZF")</f>
        <v/>
      </c>
      <c r="B2055" t="inlineStr">
        <is>
          <t>Nuveen Municipal Credit Income Fund</t>
        </is>
      </c>
      <c r="C2055" t="inlineStr">
        <is>
          <t>NYSE</t>
        </is>
      </c>
      <c r="D2055" t="n">
        <v>1137887</v>
      </c>
      <c r="E2055" t="inlineStr">
        <is>
          <t>SEC</t>
        </is>
      </c>
    </row>
    <row r="2056">
      <c r="A2056" s="5">
        <f>HYPERLINK("https://finance.yahoo.com/quote/NEO","NEO")</f>
        <v/>
      </c>
      <c r="B2056" t="inlineStr">
        <is>
          <t>NEOGENOMICS INC</t>
        </is>
      </c>
      <c r="C2056" t="inlineStr">
        <is>
          <t>Nasdaq</t>
        </is>
      </c>
      <c r="D2056" t="n">
        <v>1077183</v>
      </c>
      <c r="E2056" t="inlineStr">
        <is>
          <t>SEC</t>
        </is>
      </c>
    </row>
    <row r="2057">
      <c r="A2057" s="5">
        <f>HYPERLINK("https://finance.yahoo.com/quote/OUST","OUST")</f>
        <v/>
      </c>
      <c r="B2057" t="inlineStr">
        <is>
          <t>Ouster, Inc.</t>
        </is>
      </c>
      <c r="C2057" t="inlineStr">
        <is>
          <t>Nasdaq</t>
        </is>
      </c>
      <c r="D2057" t="n">
        <v>1816581</v>
      </c>
      <c r="E2057" t="inlineStr">
        <is>
          <t>SEC</t>
        </is>
      </c>
    </row>
    <row r="2058">
      <c r="A2058" s="5">
        <f>HYPERLINK("https://finance.yahoo.com/quote/FLOC","FLOC")</f>
        <v/>
      </c>
      <c r="B2058" t="inlineStr">
        <is>
          <t>Flowco Holdings Inc.</t>
        </is>
      </c>
      <c r="C2058" t="inlineStr">
        <is>
          <t>NYSE</t>
        </is>
      </c>
      <c r="D2058" t="n">
        <v>2035149</v>
      </c>
      <c r="E2058" t="inlineStr">
        <is>
          <t>SEC</t>
        </is>
      </c>
    </row>
    <row r="2059">
      <c r="A2059" s="5">
        <f>HYPERLINK("https://finance.yahoo.com/quote/ALMR","ALMR")</f>
        <v/>
      </c>
      <c r="B2059" t="inlineStr">
        <is>
          <t>Alamar Biosciences, Inc.</t>
        </is>
      </c>
      <c r="C2059" t="inlineStr">
        <is>
          <t>Nasdaq</t>
        </is>
      </c>
      <c r="D2059" t="n">
        <v>2104204</v>
      </c>
      <c r="E2059" t="inlineStr">
        <is>
          <t>SEC</t>
        </is>
      </c>
    </row>
    <row r="2060">
      <c r="A2060" s="5">
        <f>HYPERLINK("https://finance.yahoo.com/quote/FCF","FCF")</f>
        <v/>
      </c>
      <c r="B2060" t="inlineStr">
        <is>
          <t>FIRST COMMONWEALTH FINANCIAL CORP /PA/</t>
        </is>
      </c>
      <c r="C2060" t="inlineStr">
        <is>
          <t>NYSE</t>
        </is>
      </c>
      <c r="D2060" t="n">
        <v>712537</v>
      </c>
      <c r="E2060" t="inlineStr">
        <is>
          <t>SEC</t>
        </is>
      </c>
    </row>
    <row r="2061">
      <c r="A2061" s="5">
        <f>HYPERLINK("https://finance.yahoo.com/quote/VET","VET")</f>
        <v/>
      </c>
      <c r="B2061" t="inlineStr">
        <is>
          <t>VERMILION ENERGY INC.</t>
        </is>
      </c>
      <c r="C2061" t="inlineStr">
        <is>
          <t>NYSE</t>
        </is>
      </c>
      <c r="D2061" t="n">
        <v>1293135</v>
      </c>
      <c r="E2061" t="inlineStr">
        <is>
          <t>SEC</t>
        </is>
      </c>
    </row>
    <row r="2062">
      <c r="A2062" s="5">
        <f>HYPERLINK("https://finance.yahoo.com/quote/PLGO","PLGO")</f>
        <v/>
      </c>
      <c r="B2062" t="inlineStr">
        <is>
          <t>Pelagos Insurance Capital Ltd</t>
        </is>
      </c>
      <c r="C2062" t="inlineStr">
        <is>
          <t>NYSE</t>
        </is>
      </c>
      <c r="D2062" t="n">
        <v>1636639</v>
      </c>
      <c r="E2062" t="inlineStr">
        <is>
          <t>SEC</t>
        </is>
      </c>
    </row>
    <row r="2063">
      <c r="A2063" s="5">
        <f>HYPERLINK("https://finance.yahoo.com/quote/LEU","LEU")</f>
        <v/>
      </c>
      <c r="B2063" t="inlineStr">
        <is>
          <t>CENTRUS ENERGY CORP</t>
        </is>
      </c>
      <c r="C2063" t="inlineStr">
        <is>
          <t>NYSE</t>
        </is>
      </c>
      <c r="D2063" t="n">
        <v>1065059</v>
      </c>
      <c r="E2063" t="inlineStr">
        <is>
          <t>SEC</t>
        </is>
      </c>
    </row>
    <row r="2064">
      <c r="A2064" s="5">
        <f>HYPERLINK("https://finance.yahoo.com/quote/DV","DV")</f>
        <v/>
      </c>
      <c r="B2064" t="inlineStr">
        <is>
          <t>DoubleVerify Holdings, Inc.</t>
        </is>
      </c>
      <c r="C2064" t="inlineStr">
        <is>
          <t>NYSE</t>
        </is>
      </c>
      <c r="D2064" t="n">
        <v>1819928</v>
      </c>
      <c r="E2064" t="inlineStr">
        <is>
          <t>SEC</t>
        </is>
      </c>
    </row>
    <row r="2065">
      <c r="A2065" s="5">
        <f>HYPERLINK("https://finance.yahoo.com/quote/BHVN","BHVN")</f>
        <v/>
      </c>
      <c r="B2065" t="inlineStr">
        <is>
          <t>Biohaven Ltd.</t>
        </is>
      </c>
      <c r="C2065" t="inlineStr">
        <is>
          <t>NYSE</t>
        </is>
      </c>
      <c r="D2065" t="n">
        <v>1935979</v>
      </c>
      <c r="E2065" t="inlineStr">
        <is>
          <t>SEC</t>
        </is>
      </c>
    </row>
    <row r="2066">
      <c r="A2066" s="5">
        <f>HYPERLINK("https://finance.yahoo.com/quote/BOBS","BOBS")</f>
        <v/>
      </c>
      <c r="B2066" t="inlineStr">
        <is>
          <t>Bob's Discount Furniture, Inc.</t>
        </is>
      </c>
      <c r="C2066" t="inlineStr">
        <is>
          <t>NYSE</t>
        </is>
      </c>
      <c r="D2066" t="n">
        <v>2085187</v>
      </c>
      <c r="E2066" t="inlineStr">
        <is>
          <t>SEC</t>
        </is>
      </c>
    </row>
    <row r="2067">
      <c r="A2067" s="5">
        <f>HYPERLINK("https://finance.yahoo.com/quote/SRCE","SRCE")</f>
        <v/>
      </c>
      <c r="B2067" t="inlineStr">
        <is>
          <t>1ST SOURCE CORP</t>
        </is>
      </c>
      <c r="C2067" t="inlineStr">
        <is>
          <t>Nasdaq</t>
        </is>
      </c>
      <c r="D2067" t="n">
        <v>34782</v>
      </c>
      <c r="E2067" t="inlineStr">
        <is>
          <t>SEC</t>
        </is>
      </c>
    </row>
    <row r="2068">
      <c r="A2068" s="5">
        <f>HYPERLINK("https://finance.yahoo.com/quote/TIC","TIC")</f>
        <v/>
      </c>
      <c r="B2068" t="inlineStr">
        <is>
          <t>TIC Solutions, Inc.</t>
        </is>
      </c>
      <c r="C2068" t="inlineStr">
        <is>
          <t>NYSE</t>
        </is>
      </c>
      <c r="D2068" t="n">
        <v>2032966</v>
      </c>
      <c r="E2068" t="inlineStr">
        <is>
          <t>SEC</t>
        </is>
      </c>
    </row>
    <row r="2069">
      <c r="A2069" s="5">
        <f>HYPERLINK("https://finance.yahoo.com/quote/TILE","TILE")</f>
        <v/>
      </c>
      <c r="B2069" t="inlineStr">
        <is>
          <t>INTERFACE INC</t>
        </is>
      </c>
      <c r="C2069" t="inlineStr">
        <is>
          <t>Nasdaq</t>
        </is>
      </c>
      <c r="D2069" t="n">
        <v>715787</v>
      </c>
      <c r="E2069" t="inlineStr">
        <is>
          <t>SEC</t>
        </is>
      </c>
    </row>
    <row r="2070">
      <c r="A2070" s="5">
        <f>HYPERLINK("https://finance.yahoo.com/quote/IMNM","IMNM")</f>
        <v/>
      </c>
      <c r="B2070" t="inlineStr">
        <is>
          <t>Immunome Inc.</t>
        </is>
      </c>
      <c r="C2070" t="inlineStr">
        <is>
          <t>Nasdaq</t>
        </is>
      </c>
      <c r="D2070" t="n">
        <v>1472012</v>
      </c>
      <c r="E2070" t="inlineStr">
        <is>
          <t>SEC</t>
        </is>
      </c>
    </row>
    <row r="2071">
      <c r="A2071" s="5">
        <f>HYPERLINK("https://finance.yahoo.com/quote/PRDO","PRDO")</f>
        <v/>
      </c>
      <c r="B2071" t="inlineStr">
        <is>
          <t>PERDOCEO EDUCATION Corp</t>
        </is>
      </c>
      <c r="C2071" t="inlineStr">
        <is>
          <t>Nasdaq</t>
        </is>
      </c>
      <c r="D2071" t="n">
        <v>1046568</v>
      </c>
      <c r="E2071" t="inlineStr">
        <is>
          <t>SEC</t>
        </is>
      </c>
    </row>
    <row r="2072">
      <c r="A2072" s="5">
        <f>HYPERLINK("https://finance.yahoo.com/quote/CURLF","CURLF")</f>
        <v/>
      </c>
      <c r="B2072" t="inlineStr">
        <is>
          <t>Curaleaf Holdings, Inc.</t>
        </is>
      </c>
      <c r="C2072" t="inlineStr">
        <is>
          <t>OTC</t>
        </is>
      </c>
      <c r="D2072" t="n">
        <v>1756770</v>
      </c>
      <c r="E2072" t="inlineStr">
        <is>
          <t>SEC</t>
        </is>
      </c>
    </row>
    <row r="2073">
      <c r="A2073" s="5">
        <f>HYPERLINK("https://finance.yahoo.com/quote/NLST","NLST")</f>
        <v/>
      </c>
      <c r="B2073" t="inlineStr">
        <is>
          <t>NETLIST INC</t>
        </is>
      </c>
      <c r="C2073" t="inlineStr">
        <is>
          <t>OTC</t>
        </is>
      </c>
      <c r="D2073" t="n">
        <v>1282631</v>
      </c>
      <c r="E2073" t="inlineStr">
        <is>
          <t>SEC</t>
        </is>
      </c>
    </row>
    <row r="2074">
      <c r="A2074" s="5">
        <f>HYPERLINK("https://finance.yahoo.com/quote/LASR","LASR")</f>
        <v/>
      </c>
      <c r="B2074" t="inlineStr">
        <is>
          <t>NLIGHT, INC.</t>
        </is>
      </c>
      <c r="C2074" t="inlineStr">
        <is>
          <t>Nasdaq</t>
        </is>
      </c>
      <c r="D2074" t="n">
        <v>1124796</v>
      </c>
      <c r="E2074" t="inlineStr">
        <is>
          <t>SEC</t>
        </is>
      </c>
    </row>
    <row r="2075">
      <c r="A2075" s="5">
        <f>HYPERLINK("https://finance.yahoo.com/quote/HTH","HTH")</f>
        <v/>
      </c>
      <c r="B2075" t="inlineStr">
        <is>
          <t>Hilltop Holdings Inc.</t>
        </is>
      </c>
      <c r="C2075" t="inlineStr">
        <is>
          <t>NYSE</t>
        </is>
      </c>
      <c r="D2075" t="n">
        <v>1265131</v>
      </c>
      <c r="E2075" t="inlineStr">
        <is>
          <t>SEC</t>
        </is>
      </c>
    </row>
    <row r="2076">
      <c r="A2076" s="5">
        <f>HYPERLINK("https://finance.yahoo.com/quote/NWN","NWN")</f>
        <v/>
      </c>
      <c r="B2076" t="inlineStr">
        <is>
          <t>Northwest Natural Holding Co</t>
        </is>
      </c>
      <c r="C2076" t="inlineStr">
        <is>
          <t>NYSE</t>
        </is>
      </c>
      <c r="D2076" t="n">
        <v>1733998</v>
      </c>
      <c r="E2076" t="inlineStr">
        <is>
          <t>SEC</t>
        </is>
      </c>
    </row>
    <row r="2077">
      <c r="A2077" s="5">
        <f>HYPERLINK("https://finance.yahoo.com/quote/GCT","GCT")</f>
        <v/>
      </c>
      <c r="B2077" t="inlineStr">
        <is>
          <t>GigaCloud Technology Inc</t>
        </is>
      </c>
      <c r="C2077" t="inlineStr">
        <is>
          <t>Nasdaq</t>
        </is>
      </c>
      <c r="D2077" t="n">
        <v>1857816</v>
      </c>
      <c r="E2077" t="inlineStr">
        <is>
          <t>SEC</t>
        </is>
      </c>
    </row>
    <row r="2078">
      <c r="A2078" s="5">
        <f>HYPERLINK("https://finance.yahoo.com/quote/RDW","RDW")</f>
        <v/>
      </c>
      <c r="B2078" t="inlineStr">
        <is>
          <t>Redwire Corp</t>
        </is>
      </c>
      <c r="C2078" t="inlineStr">
        <is>
          <t>NYSE</t>
        </is>
      </c>
      <c r="D2078" t="n">
        <v>1819810</v>
      </c>
      <c r="E2078" t="inlineStr">
        <is>
          <t>SEC</t>
        </is>
      </c>
    </row>
    <row r="2079">
      <c r="A2079" s="5">
        <f>HYPERLINK("https://finance.yahoo.com/quote/INVX","INVX")</f>
        <v/>
      </c>
      <c r="B2079" t="inlineStr">
        <is>
          <t>Innovex International, Inc.</t>
        </is>
      </c>
      <c r="C2079" t="inlineStr">
        <is>
          <t>NYSE</t>
        </is>
      </c>
      <c r="D2079" t="n">
        <v>1042893</v>
      </c>
      <c r="E2079" t="inlineStr">
        <is>
          <t>SEC</t>
        </is>
      </c>
    </row>
    <row r="2080">
      <c r="A2080" s="5">
        <f>HYPERLINK("https://finance.yahoo.com/quote/DRD","DRD")</f>
        <v/>
      </c>
      <c r="B2080" t="inlineStr">
        <is>
          <t>DRDGOLD LTD</t>
        </is>
      </c>
      <c r="C2080" t="inlineStr">
        <is>
          <t>NYSE</t>
        </is>
      </c>
      <c r="D2080" t="n">
        <v>1023512</v>
      </c>
      <c r="E2080" t="inlineStr">
        <is>
          <t>SEC</t>
        </is>
      </c>
    </row>
    <row r="2081">
      <c r="A2081" s="5">
        <f>HYPERLINK("https://finance.yahoo.com/quote/PHIN","PHIN")</f>
        <v/>
      </c>
      <c r="B2081" t="inlineStr">
        <is>
          <t>PHINIA INC.</t>
        </is>
      </c>
      <c r="C2081" t="inlineStr">
        <is>
          <t>NYSE</t>
        </is>
      </c>
      <c r="D2081" t="n">
        <v>1968915</v>
      </c>
      <c r="E2081" t="inlineStr">
        <is>
          <t>SEC</t>
        </is>
      </c>
    </row>
    <row r="2082">
      <c r="A2082" s="5">
        <f>HYPERLINK("https://finance.yahoo.com/quote/NSP","NSP")</f>
        <v/>
      </c>
      <c r="B2082" t="inlineStr">
        <is>
          <t>INSPERITY, INC.</t>
        </is>
      </c>
      <c r="C2082" t="inlineStr">
        <is>
          <t>NYSE</t>
        </is>
      </c>
      <c r="D2082" t="n">
        <v>1000753</v>
      </c>
      <c r="E2082" t="inlineStr">
        <is>
          <t>SEC</t>
        </is>
      </c>
    </row>
    <row r="2083">
      <c r="A2083" s="5">
        <f>HYPERLINK("https://finance.yahoo.com/quote/AMR","AMR")</f>
        <v/>
      </c>
      <c r="B2083" t="inlineStr">
        <is>
          <t>Alpha Metallurgical Resources, Inc.</t>
        </is>
      </c>
      <c r="C2083" t="inlineStr">
        <is>
          <t>NYSE</t>
        </is>
      </c>
      <c r="D2083" t="n">
        <v>1704715</v>
      </c>
      <c r="E2083" t="inlineStr">
        <is>
          <t>SEC</t>
        </is>
      </c>
    </row>
    <row r="2084">
      <c r="A2084" s="5">
        <f>HYPERLINK("https://finance.yahoo.com/quote/PPTA","PPTA")</f>
        <v/>
      </c>
      <c r="B2084" t="inlineStr">
        <is>
          <t>PERPETUA RESOURCES CORP.</t>
        </is>
      </c>
      <c r="C2084" t="inlineStr">
        <is>
          <t>Nasdaq</t>
        </is>
      </c>
      <c r="D2084" t="n">
        <v>1526243</v>
      </c>
      <c r="E2084" t="inlineStr">
        <is>
          <t>SEC</t>
        </is>
      </c>
    </row>
    <row r="2085">
      <c r="A2085" s="5">
        <f>HYPERLINK("https://finance.yahoo.com/quote/TBBK","TBBK")</f>
        <v/>
      </c>
      <c r="B2085" t="inlineStr">
        <is>
          <t>Bancorp, Inc.</t>
        </is>
      </c>
      <c r="C2085" t="inlineStr">
        <is>
          <t>Nasdaq</t>
        </is>
      </c>
      <c r="D2085" t="n">
        <v>1295401</v>
      </c>
      <c r="E2085" t="inlineStr">
        <is>
          <t>SEC</t>
        </is>
      </c>
    </row>
    <row r="2086">
      <c r="A2086" s="5">
        <f>HYPERLINK("https://finance.yahoo.com/quote/LKFT","LKFT")</f>
        <v/>
      </c>
      <c r="B2086" t="inlineStr">
        <is>
          <t>Lakefront Biotherapeutics NV</t>
        </is>
      </c>
      <c r="C2086" t="inlineStr">
        <is>
          <t>Nasdaq</t>
        </is>
      </c>
      <c r="D2086" t="n">
        <v>1421876</v>
      </c>
      <c r="E2086" t="inlineStr">
        <is>
          <t>SEC</t>
        </is>
      </c>
    </row>
    <row r="2087">
      <c r="A2087" s="5">
        <f>HYPERLINK("https://finance.yahoo.com/quote/SONO","SONO")</f>
        <v/>
      </c>
      <c r="B2087" t="inlineStr">
        <is>
          <t>Sonos Inc</t>
        </is>
      </c>
      <c r="C2087" t="inlineStr">
        <is>
          <t>Nasdaq</t>
        </is>
      </c>
      <c r="D2087" t="n">
        <v>1314727</v>
      </c>
      <c r="E2087" t="inlineStr">
        <is>
          <t>SEC</t>
        </is>
      </c>
    </row>
    <row r="2088">
      <c r="A2088" s="5">
        <f>HYPERLINK("https://finance.yahoo.com/quote/NESR","NESR")</f>
        <v/>
      </c>
      <c r="B2088" t="inlineStr">
        <is>
          <t>National Energy Services Reunited Corp.</t>
        </is>
      </c>
      <c r="C2088" t="inlineStr">
        <is>
          <t>Nasdaq</t>
        </is>
      </c>
      <c r="D2088" t="n">
        <v>1698514</v>
      </c>
      <c r="E2088" t="inlineStr">
        <is>
          <t>SEC</t>
        </is>
      </c>
    </row>
    <row r="2089">
      <c r="A2089" s="5">
        <f>HYPERLINK("https://finance.yahoo.com/quote/EBCRY","EBCRY")</f>
        <v/>
      </c>
      <c r="B2089" t="inlineStr">
        <is>
          <t>Embracer Group AB/ADR</t>
        </is>
      </c>
      <c r="C2089" t="inlineStr">
        <is>
          <t>OTC</t>
        </is>
      </c>
      <c r="D2089" t="n">
        <v>1969796</v>
      </c>
      <c r="E2089" t="inlineStr">
        <is>
          <t>SEC</t>
        </is>
      </c>
    </row>
    <row r="2090">
      <c r="A2090" s="5">
        <f>HYPERLINK("https://finance.yahoo.com/quote/INOD","INOD")</f>
        <v/>
      </c>
      <c r="B2090" t="inlineStr">
        <is>
          <t>INNODATA INC</t>
        </is>
      </c>
      <c r="C2090" t="inlineStr">
        <is>
          <t>Nasdaq</t>
        </is>
      </c>
      <c r="D2090" t="n">
        <v>903651</v>
      </c>
      <c r="E2090" t="inlineStr">
        <is>
          <t>SEC</t>
        </is>
      </c>
    </row>
    <row r="2091">
      <c r="A2091" s="5">
        <f>HYPERLINK("https://finance.yahoo.com/quote/HRMY","HRMY")</f>
        <v/>
      </c>
      <c r="B2091" t="inlineStr">
        <is>
          <t>Harmony Biosciences Holdings, Inc.</t>
        </is>
      </c>
      <c r="C2091" t="inlineStr">
        <is>
          <t>Nasdaq</t>
        </is>
      </c>
      <c r="D2091" t="n">
        <v>1802665</v>
      </c>
      <c r="E2091" t="inlineStr">
        <is>
          <t>SEC</t>
        </is>
      </c>
    </row>
    <row r="2092">
      <c r="A2092" s="5">
        <f>HYPERLINK("https://finance.yahoo.com/quote/PRLB","PRLB")</f>
        <v/>
      </c>
      <c r="B2092" t="inlineStr">
        <is>
          <t>Proto Labs Inc</t>
        </is>
      </c>
      <c r="C2092" t="inlineStr">
        <is>
          <t>NYSE</t>
        </is>
      </c>
      <c r="D2092" t="n">
        <v>1443669</v>
      </c>
      <c r="E2092" t="inlineStr">
        <is>
          <t>SEC</t>
        </is>
      </c>
    </row>
    <row r="2093">
      <c r="A2093" s="5">
        <f>HYPERLINK("https://finance.yahoo.com/quote/RVT","RVT")</f>
        <v/>
      </c>
      <c r="B2093" t="inlineStr">
        <is>
          <t>ROYCE SMALL-CAP TRUST, INC.</t>
        </is>
      </c>
      <c r="C2093" t="inlineStr">
        <is>
          <t>NYSE</t>
        </is>
      </c>
      <c r="D2093" t="n">
        <v>804116</v>
      </c>
      <c r="E2093" t="inlineStr">
        <is>
          <t>SEC</t>
        </is>
      </c>
    </row>
    <row r="2094">
      <c r="A2094" s="5">
        <f>HYPERLINK("https://finance.yahoo.com/quote/INSP","INSP")</f>
        <v/>
      </c>
      <c r="B2094" t="inlineStr">
        <is>
          <t>Inspire Medical Systems, Inc.</t>
        </is>
      </c>
      <c r="C2094" t="inlineStr">
        <is>
          <t>NYSE</t>
        </is>
      </c>
      <c r="D2094" t="n">
        <v>1609550</v>
      </c>
      <c r="E2094" t="inlineStr">
        <is>
          <t>SEC</t>
        </is>
      </c>
    </row>
    <row r="2095">
      <c r="A2095" s="5">
        <f>HYPERLINK("https://finance.yahoo.com/quote/CLSK","CLSK")</f>
        <v/>
      </c>
      <c r="B2095" t="inlineStr">
        <is>
          <t>CLEANSPARK, INC.</t>
        </is>
      </c>
      <c r="C2095" t="inlineStr">
        <is>
          <t>Nasdaq</t>
        </is>
      </c>
      <c r="D2095" t="n">
        <v>827876</v>
      </c>
      <c r="E2095" t="inlineStr">
        <is>
          <t>SEC</t>
        </is>
      </c>
    </row>
    <row r="2096">
      <c r="A2096" s="5">
        <f>HYPERLINK("https://finance.yahoo.com/quote/UTZ","UTZ")</f>
        <v/>
      </c>
      <c r="B2096" t="inlineStr">
        <is>
          <t>Utz Brands, Inc.</t>
        </is>
      </c>
      <c r="C2096" t="inlineStr">
        <is>
          <t>NYSE</t>
        </is>
      </c>
      <c r="D2096" t="n">
        <v>1739566</v>
      </c>
      <c r="E2096" t="inlineStr">
        <is>
          <t>SEC</t>
        </is>
      </c>
    </row>
    <row r="2097">
      <c r="A2097" s="5">
        <f>HYPERLINK("https://finance.yahoo.com/quote/UCTT","UCTT")</f>
        <v/>
      </c>
      <c r="B2097" t="inlineStr">
        <is>
          <t>Ultra Clean Holdings, Inc.</t>
        </is>
      </c>
      <c r="C2097" t="inlineStr">
        <is>
          <t>Nasdaq</t>
        </is>
      </c>
      <c r="D2097" t="n">
        <v>1275014</v>
      </c>
      <c r="E2097" t="inlineStr">
        <is>
          <t>SEC</t>
        </is>
      </c>
    </row>
    <row r="2098">
      <c r="A2098" s="5">
        <f>HYPERLINK("https://finance.yahoo.com/quote/EBOSY","EBOSY")</f>
        <v/>
      </c>
      <c r="B2098" t="inlineStr">
        <is>
          <t>EBOS Group Limited/ADR</t>
        </is>
      </c>
      <c r="C2098" t="inlineStr">
        <is>
          <t>OTC</t>
        </is>
      </c>
      <c r="D2098" t="n">
        <v>1533082</v>
      </c>
      <c r="E2098" t="inlineStr">
        <is>
          <t>SEC</t>
        </is>
      </c>
    </row>
    <row r="2099">
      <c r="A2099" s="5">
        <f>HYPERLINK("https://finance.yahoo.com/quote/SEDG","SEDG")</f>
        <v/>
      </c>
      <c r="B2099" t="inlineStr">
        <is>
          <t>SOLAREDGE TECHNOLOGIES, INC.</t>
        </is>
      </c>
      <c r="C2099" t="inlineStr">
        <is>
          <t>Nasdaq</t>
        </is>
      </c>
      <c r="D2099" t="n">
        <v>1419612</v>
      </c>
      <c r="E2099" t="inlineStr">
        <is>
          <t>SEC</t>
        </is>
      </c>
    </row>
    <row r="2100">
      <c r="A2100" s="5">
        <f>HYPERLINK("https://finance.yahoo.com/quote/SGRY","SGRY")</f>
        <v/>
      </c>
      <c r="B2100" t="inlineStr">
        <is>
          <t>Surgery Partners, Inc.</t>
        </is>
      </c>
      <c r="C2100" t="inlineStr">
        <is>
          <t>Nasdaq</t>
        </is>
      </c>
      <c r="D2100" t="n">
        <v>1638833</v>
      </c>
      <c r="E2100" t="inlineStr">
        <is>
          <t>SEC</t>
        </is>
      </c>
    </row>
    <row r="2101">
      <c r="A2101" s="5">
        <f>HYPERLINK("https://finance.yahoo.com/quote/IDT","IDT")</f>
        <v/>
      </c>
      <c r="B2101" t="inlineStr">
        <is>
          <t>IDT CORP</t>
        </is>
      </c>
      <c r="C2101" t="inlineStr">
        <is>
          <t>NYSE</t>
        </is>
      </c>
      <c r="D2101" t="n">
        <v>1005731</v>
      </c>
      <c r="E2101" t="inlineStr">
        <is>
          <t>SEC</t>
        </is>
      </c>
    </row>
    <row r="2102">
      <c r="A2102" s="5">
        <f>HYPERLINK("https://finance.yahoo.com/quote/LCII","LCII")</f>
        <v/>
      </c>
      <c r="B2102" t="inlineStr">
        <is>
          <t>LCI INDUSTRIES</t>
        </is>
      </c>
      <c r="C2102" t="inlineStr">
        <is>
          <t>NYSE</t>
        </is>
      </c>
      <c r="D2102" t="n">
        <v>763744</v>
      </c>
      <c r="E2102" t="inlineStr">
        <is>
          <t>SEC</t>
        </is>
      </c>
    </row>
    <row r="2103">
      <c r="A2103" s="5">
        <f>HYPERLINK("https://finance.yahoo.com/quote/CTOS","CTOS")</f>
        <v/>
      </c>
      <c r="B2103" t="inlineStr">
        <is>
          <t>Custom Truck One Source, Inc.</t>
        </is>
      </c>
      <c r="C2103" t="inlineStr">
        <is>
          <t>NYSE</t>
        </is>
      </c>
      <c r="D2103" t="n">
        <v>1709682</v>
      </c>
      <c r="E2103" t="inlineStr">
        <is>
          <t>SEC</t>
        </is>
      </c>
    </row>
    <row r="2104">
      <c r="A2104" s="5">
        <f>HYPERLINK("https://finance.yahoo.com/quote/WS","WS")</f>
        <v/>
      </c>
      <c r="B2104" t="inlineStr">
        <is>
          <t>Worthington Steel, Inc.</t>
        </is>
      </c>
      <c r="C2104" t="inlineStr">
        <is>
          <t>NYSE</t>
        </is>
      </c>
      <c r="D2104" t="n">
        <v>1968487</v>
      </c>
      <c r="E2104" t="inlineStr">
        <is>
          <t>SEC</t>
        </is>
      </c>
    </row>
    <row r="2105">
      <c r="A2105" s="5">
        <f>HYPERLINK("https://finance.yahoo.com/quote/TRN","TRN")</f>
        <v/>
      </c>
      <c r="B2105" t="inlineStr">
        <is>
          <t>TRINITY INDUSTRIES INC</t>
        </is>
      </c>
      <c r="C2105" t="inlineStr">
        <is>
          <t>NYSE</t>
        </is>
      </c>
      <c r="D2105" t="n">
        <v>99780</v>
      </c>
      <c r="E2105" t="inlineStr">
        <is>
          <t>SEC</t>
        </is>
      </c>
    </row>
    <row r="2106">
      <c r="A2106" s="5">
        <f>HYPERLINK("https://finance.yahoo.com/quote/STDN","STDN")</f>
        <v/>
      </c>
      <c r="B2106" t="inlineStr">
        <is>
          <t>Standard Nuclear, Inc.</t>
        </is>
      </c>
      <c r="C2106" t="inlineStr">
        <is>
          <t>NYSE</t>
        </is>
      </c>
      <c r="D2106" t="n">
        <v>2086716</v>
      </c>
      <c r="E2106" t="inlineStr">
        <is>
          <t>SEC</t>
        </is>
      </c>
    </row>
    <row r="2107">
      <c r="A2107" s="5">
        <f>HYPERLINK("https://finance.yahoo.com/quote/ECPG","ECPG")</f>
        <v/>
      </c>
      <c r="B2107" t="inlineStr">
        <is>
          <t>ENCORE CAPITAL GROUP INC</t>
        </is>
      </c>
      <c r="C2107" t="inlineStr">
        <is>
          <t>Nasdaq</t>
        </is>
      </c>
      <c r="D2107" t="n">
        <v>1084961</v>
      </c>
      <c r="E2107" t="inlineStr">
        <is>
          <t>SEC</t>
        </is>
      </c>
    </row>
    <row r="2108">
      <c r="A2108" s="5">
        <f>HYPERLINK("https://finance.yahoo.com/quote/ZYME","ZYME")</f>
        <v/>
      </c>
      <c r="B2108" t="inlineStr">
        <is>
          <t>Zymeworks Inc.</t>
        </is>
      </c>
      <c r="C2108" t="inlineStr">
        <is>
          <t>Nasdaq</t>
        </is>
      </c>
      <c r="D2108" t="n">
        <v>1937653</v>
      </c>
      <c r="E2108" t="inlineStr">
        <is>
          <t>SEC</t>
        </is>
      </c>
    </row>
    <row r="2109">
      <c r="A2109" s="5">
        <f>HYPERLINK("https://finance.yahoo.com/quote/SMA","SMA")</f>
        <v/>
      </c>
      <c r="B2109" t="inlineStr">
        <is>
          <t>SmartStop Self Storage REIT, Inc.</t>
        </is>
      </c>
      <c r="C2109" t="inlineStr">
        <is>
          <t>NYSE</t>
        </is>
      </c>
      <c r="D2109" t="n">
        <v>1585389</v>
      </c>
      <c r="E2109" t="inlineStr">
        <is>
          <t>SEC</t>
        </is>
      </c>
    </row>
    <row r="2110">
      <c r="A2110" s="5">
        <f>HYPERLINK("https://finance.yahoo.com/quote/DEI","DEI")</f>
        <v/>
      </c>
      <c r="B2110" t="inlineStr">
        <is>
          <t>Douglas Emmett Inc</t>
        </is>
      </c>
      <c r="C2110" t="inlineStr">
        <is>
          <t>NYSE</t>
        </is>
      </c>
      <c r="D2110" t="n">
        <v>1364250</v>
      </c>
      <c r="E2110" t="inlineStr">
        <is>
          <t>SEC</t>
        </is>
      </c>
    </row>
    <row r="2111">
      <c r="A2111" s="5">
        <f>HYPERLINK("https://finance.yahoo.com/quote/EVT","EVT")</f>
        <v/>
      </c>
      <c r="B2111" t="inlineStr">
        <is>
          <t>Eaton Vance Tax-Advantaged Dividend Income Fund</t>
        </is>
      </c>
      <c r="C2111" t="inlineStr">
        <is>
          <t>NYSE</t>
        </is>
      </c>
      <c r="D2111" t="n">
        <v>1253327</v>
      </c>
      <c r="E2111" t="inlineStr">
        <is>
          <t>SEC</t>
        </is>
      </c>
    </row>
    <row r="2112">
      <c r="A2112" s="5">
        <f>HYPERLINK("https://finance.yahoo.com/quote/PRCH","PRCH")</f>
        <v/>
      </c>
      <c r="B2112" t="inlineStr">
        <is>
          <t>Porch Group, Inc.</t>
        </is>
      </c>
      <c r="C2112" t="inlineStr">
        <is>
          <t>Nasdaq</t>
        </is>
      </c>
      <c r="D2112" t="n">
        <v>1784535</v>
      </c>
      <c r="E2112" t="inlineStr">
        <is>
          <t>SEC</t>
        </is>
      </c>
    </row>
    <row r="2113">
      <c r="A2113" s="5">
        <f>HYPERLINK("https://finance.yahoo.com/quote/SAM","SAM")</f>
        <v/>
      </c>
      <c r="B2113" t="inlineStr">
        <is>
          <t>BOSTON BEER CO INC</t>
        </is>
      </c>
      <c r="C2113" t="inlineStr">
        <is>
          <t>NYSE</t>
        </is>
      </c>
      <c r="D2113" t="n">
        <v>949870</v>
      </c>
      <c r="E2113" t="inlineStr">
        <is>
          <t>SEC</t>
        </is>
      </c>
    </row>
    <row r="2114">
      <c r="A2114" s="5">
        <f>HYPERLINK("https://finance.yahoo.com/quote/UUUU","UUUU")</f>
        <v/>
      </c>
      <c r="B2114" t="inlineStr">
        <is>
          <t>ENERGY FUELS INC</t>
        </is>
      </c>
      <c r="C2114" t="inlineStr">
        <is>
          <t>NYSE</t>
        </is>
      </c>
      <c r="D2114" t="n">
        <v>1385849</v>
      </c>
      <c r="E2114" t="inlineStr">
        <is>
          <t>SEC</t>
        </is>
      </c>
    </row>
    <row r="2115">
      <c r="A2115" s="5">
        <f>HYPERLINK("https://finance.yahoo.com/quote/PLBL","PLBL")</f>
        <v/>
      </c>
      <c r="B2115" t="inlineStr">
        <is>
          <t>Polibeli Group Ltd</t>
        </is>
      </c>
      <c r="C2115" t="inlineStr">
        <is>
          <t>Nasdaq</t>
        </is>
      </c>
      <c r="D2115" t="n">
        <v>2035697</v>
      </c>
      <c r="E2115" t="inlineStr">
        <is>
          <t>SEC</t>
        </is>
      </c>
    </row>
    <row r="2116">
      <c r="A2116" s="5">
        <f>HYPERLINK("https://finance.yahoo.com/quote/MCRI","MCRI")</f>
        <v/>
      </c>
      <c r="B2116" t="inlineStr">
        <is>
          <t>MONARCH CASINO &amp; RESORT INC</t>
        </is>
      </c>
      <c r="C2116" t="inlineStr">
        <is>
          <t>Nasdaq</t>
        </is>
      </c>
      <c r="D2116" t="n">
        <v>907242</v>
      </c>
      <c r="E2116" t="inlineStr">
        <is>
          <t>SEC</t>
        </is>
      </c>
    </row>
    <row r="2117">
      <c r="A2117" s="5">
        <f>HYPERLINK("https://finance.yahoo.com/quote/VERA","VERA")</f>
        <v/>
      </c>
      <c r="B2117" t="inlineStr">
        <is>
          <t>Vera Therapeutics, Inc.</t>
        </is>
      </c>
      <c r="C2117" t="inlineStr">
        <is>
          <t>Nasdaq</t>
        </is>
      </c>
      <c r="D2117" t="n">
        <v>1831828</v>
      </c>
      <c r="E2117" t="inlineStr">
        <is>
          <t>SEC</t>
        </is>
      </c>
    </row>
    <row r="2118">
      <c r="A2118" s="5">
        <f>HYPERLINK("https://finance.yahoo.com/quote/UAA","UAA")</f>
        <v/>
      </c>
      <c r="B2118" t="inlineStr">
        <is>
          <t>Under Armour, Inc.</t>
        </is>
      </c>
      <c r="C2118" t="inlineStr">
        <is>
          <t>NYSE</t>
        </is>
      </c>
      <c r="D2118" t="n">
        <v>1336917</v>
      </c>
      <c r="E2118" t="inlineStr">
        <is>
          <t>SEC</t>
        </is>
      </c>
    </row>
    <row r="2119">
      <c r="A2119" s="5">
        <f>HYPERLINK("https://finance.yahoo.com/quote/CHCO","CHCO")</f>
        <v/>
      </c>
      <c r="B2119" t="inlineStr">
        <is>
          <t>CITY HOLDING CO</t>
        </is>
      </c>
      <c r="C2119" t="inlineStr">
        <is>
          <t>Nasdaq</t>
        </is>
      </c>
      <c r="D2119" t="n">
        <v>726854</v>
      </c>
      <c r="E2119" t="inlineStr">
        <is>
          <t>SEC</t>
        </is>
      </c>
    </row>
    <row r="2120">
      <c r="A2120" s="5">
        <f>HYPERLINK("https://finance.yahoo.com/quote/BL","BL")</f>
        <v/>
      </c>
      <c r="B2120" t="inlineStr">
        <is>
          <t>BLACKLINE, INC.</t>
        </is>
      </c>
      <c r="C2120" t="inlineStr">
        <is>
          <t>Nasdaq</t>
        </is>
      </c>
      <c r="D2120" t="n">
        <v>1666134</v>
      </c>
      <c r="E2120" t="inlineStr">
        <is>
          <t>SEC</t>
        </is>
      </c>
    </row>
    <row r="2121">
      <c r="A2121" s="5">
        <f>HYPERLINK("https://finance.yahoo.com/quote/INFQ","INFQ")</f>
        <v/>
      </c>
      <c r="B2121" t="inlineStr">
        <is>
          <t>Infleqtion, Inc.</t>
        </is>
      </c>
      <c r="C2121" t="inlineStr">
        <is>
          <t>NYSE</t>
        </is>
      </c>
      <c r="D2121" t="n">
        <v>2007825</v>
      </c>
      <c r="E2121" t="inlineStr">
        <is>
          <t>SEC</t>
        </is>
      </c>
    </row>
    <row r="2122">
      <c r="A2122" s="5">
        <f>HYPERLINK("https://finance.yahoo.com/quote/HIMX","HIMX")</f>
        <v/>
      </c>
      <c r="B2122" t="inlineStr">
        <is>
          <t>Himax Technologies, Inc.</t>
        </is>
      </c>
      <c r="C2122" t="inlineStr">
        <is>
          <t>Nasdaq</t>
        </is>
      </c>
      <c r="D2122" t="n">
        <v>1342338</v>
      </c>
      <c r="E2122" t="inlineStr">
        <is>
          <t>SEC</t>
        </is>
      </c>
    </row>
    <row r="2123">
      <c r="A2123" s="5">
        <f>HYPERLINK("https://finance.yahoo.com/quote/TRLV","TRLV")</f>
        <v/>
      </c>
      <c r="B2123" t="inlineStr">
        <is>
          <t>Trulieve Cannabis Corp.</t>
        </is>
      </c>
      <c r="C2123" t="inlineStr">
        <is>
          <t>NYSE</t>
        </is>
      </c>
      <c r="D2123" t="n">
        <v>1754195</v>
      </c>
      <c r="E2123" t="inlineStr">
        <is>
          <t>SEC</t>
        </is>
      </c>
    </row>
    <row r="2124">
      <c r="A2124" s="5">
        <f>HYPERLINK("https://finance.yahoo.com/quote/SOUN","SOUN")</f>
        <v/>
      </c>
      <c r="B2124" t="inlineStr">
        <is>
          <t>SOUNDHOUND AI, INC.</t>
        </is>
      </c>
      <c r="C2124" t="inlineStr">
        <is>
          <t>Nasdaq</t>
        </is>
      </c>
      <c r="D2124" t="n">
        <v>1840856</v>
      </c>
      <c r="E2124" t="inlineStr">
        <is>
          <t>SEC</t>
        </is>
      </c>
    </row>
    <row r="2125">
      <c r="A2125" s="5">
        <f>HYPERLINK("https://finance.yahoo.com/quote/CNXC","CNXC")</f>
        <v/>
      </c>
      <c r="B2125" t="inlineStr">
        <is>
          <t>Concentrix Corp</t>
        </is>
      </c>
      <c r="C2125" t="inlineStr">
        <is>
          <t>Nasdaq</t>
        </is>
      </c>
      <c r="D2125" t="n">
        <v>1803599</v>
      </c>
      <c r="E2125" t="inlineStr">
        <is>
          <t>SEC</t>
        </is>
      </c>
    </row>
    <row r="2126">
      <c r="A2126" s="5">
        <f>HYPERLINK("https://finance.yahoo.com/quote/RLX","RLX")</f>
        <v/>
      </c>
      <c r="B2126" t="inlineStr">
        <is>
          <t>RLX Technology Inc.</t>
        </is>
      </c>
      <c r="C2126" t="inlineStr">
        <is>
          <t>NYSE</t>
        </is>
      </c>
      <c r="D2126" t="n">
        <v>1828365</v>
      </c>
      <c r="E2126" t="inlineStr">
        <is>
          <t>SEC</t>
        </is>
      </c>
    </row>
    <row r="2127">
      <c r="A2127" s="5">
        <f>HYPERLINK("https://finance.yahoo.com/quote/DNN","DNN")</f>
        <v/>
      </c>
      <c r="B2127" t="inlineStr">
        <is>
          <t>DENISON MINES CORP.</t>
        </is>
      </c>
      <c r="C2127" t="inlineStr">
        <is>
          <t>NYSE</t>
        </is>
      </c>
      <c r="D2127" t="n">
        <v>1063259</v>
      </c>
      <c r="E2127" t="inlineStr">
        <is>
          <t>SEC</t>
        </is>
      </c>
    </row>
    <row r="2128">
      <c r="A2128" s="5">
        <f>HYPERLINK("https://finance.yahoo.com/quote/KARO","KARO")</f>
        <v/>
      </c>
      <c r="B2128" t="inlineStr">
        <is>
          <t>Karooooo Ltd.</t>
        </is>
      </c>
      <c r="C2128" t="inlineStr">
        <is>
          <t>Nasdaq</t>
        </is>
      </c>
      <c r="D2128" t="n">
        <v>1828102</v>
      </c>
      <c r="E2128" t="inlineStr">
        <is>
          <t>SEC</t>
        </is>
      </c>
    </row>
    <row r="2129">
      <c r="A2129" s="5">
        <f>HYPERLINK("https://finance.yahoo.com/quote/WU","WU")</f>
        <v/>
      </c>
      <c r="B2129" t="inlineStr">
        <is>
          <t>Western Union CO</t>
        </is>
      </c>
      <c r="C2129" t="inlineStr">
        <is>
          <t>NYSE</t>
        </is>
      </c>
      <c r="D2129" t="n">
        <v>1365135</v>
      </c>
      <c r="E2129" t="inlineStr">
        <is>
          <t>SEC</t>
        </is>
      </c>
    </row>
    <row r="2130">
      <c r="A2130" s="5">
        <f>HYPERLINK("https://finance.yahoo.com/quote/ZD","ZD")</f>
        <v/>
      </c>
      <c r="B2130" t="inlineStr">
        <is>
          <t>ZIFF DAVIS, INC.</t>
        </is>
      </c>
      <c r="C2130" t="inlineStr">
        <is>
          <t>Nasdaq</t>
        </is>
      </c>
      <c r="D2130" t="n">
        <v>1084048</v>
      </c>
      <c r="E2130" t="inlineStr">
        <is>
          <t>SEC</t>
        </is>
      </c>
    </row>
    <row r="2131">
      <c r="A2131" s="5">
        <f>HYPERLINK("https://finance.yahoo.com/quote/RXRX","RXRX")</f>
        <v/>
      </c>
      <c r="B2131" t="inlineStr">
        <is>
          <t>RECURSION PHARMACEUTICALS, INC.</t>
        </is>
      </c>
      <c r="C2131" t="inlineStr">
        <is>
          <t>Nasdaq</t>
        </is>
      </c>
      <c r="D2131" t="n">
        <v>1601830</v>
      </c>
      <c r="E2131" t="inlineStr">
        <is>
          <t>SEC</t>
        </is>
      </c>
    </row>
    <row r="2132">
      <c r="A2132" s="5">
        <f>HYPERLINK("https://finance.yahoo.com/quote/MQ","MQ")</f>
        <v/>
      </c>
      <c r="B2132" t="inlineStr">
        <is>
          <t>Marqeta, Inc.</t>
        </is>
      </c>
      <c r="C2132" t="inlineStr">
        <is>
          <t>Nasdaq</t>
        </is>
      </c>
      <c r="D2132" t="n">
        <v>1522540</v>
      </c>
      <c r="E2132" t="inlineStr">
        <is>
          <t>SEC</t>
        </is>
      </c>
    </row>
    <row r="2133">
      <c r="A2133" s="5">
        <f>HYPERLINK("https://finance.yahoo.com/quote/MTX","MTX")</f>
        <v/>
      </c>
      <c r="B2133" t="inlineStr">
        <is>
          <t>MINERALS TECHNOLOGIES INC</t>
        </is>
      </c>
      <c r="C2133" t="inlineStr">
        <is>
          <t>NYSE</t>
        </is>
      </c>
      <c r="D2133" t="n">
        <v>891014</v>
      </c>
      <c r="E2133" t="inlineStr">
        <is>
          <t>SEC</t>
        </is>
      </c>
    </row>
    <row r="2134">
      <c r="A2134" s="5">
        <f>HYPERLINK("https://finance.yahoo.com/quote/CMPR","CMPR")</f>
        <v/>
      </c>
      <c r="B2134" t="inlineStr">
        <is>
          <t>CIMPRESS plc</t>
        </is>
      </c>
      <c r="C2134" t="inlineStr">
        <is>
          <t>Nasdaq</t>
        </is>
      </c>
      <c r="D2134" t="n">
        <v>1262976</v>
      </c>
      <c r="E2134" t="inlineStr">
        <is>
          <t>SEC</t>
        </is>
      </c>
    </row>
    <row r="2135">
      <c r="A2135" s="5">
        <f>HYPERLINK("https://finance.yahoo.com/quote/BLBD","BLBD")</f>
        <v/>
      </c>
      <c r="B2135" t="inlineStr">
        <is>
          <t>Blue Bird Corp</t>
        </is>
      </c>
      <c r="C2135" t="inlineStr">
        <is>
          <t>Nasdaq</t>
        </is>
      </c>
      <c r="D2135" t="n">
        <v>1589526</v>
      </c>
      <c r="E2135" t="inlineStr">
        <is>
          <t>SEC</t>
        </is>
      </c>
    </row>
    <row r="2136">
      <c r="A2136" s="5">
        <f>HYPERLINK("https://finance.yahoo.com/quote/AI","AI")</f>
        <v/>
      </c>
      <c r="B2136" t="inlineStr">
        <is>
          <t>C3.ai, Inc.</t>
        </is>
      </c>
      <c r="C2136" t="inlineStr">
        <is>
          <t>NYSE</t>
        </is>
      </c>
      <c r="D2136" t="n">
        <v>1577526</v>
      </c>
      <c r="E2136" t="inlineStr">
        <is>
          <t>SEC</t>
        </is>
      </c>
    </row>
    <row r="2137">
      <c r="A2137" s="5">
        <f>HYPERLINK("https://finance.yahoo.com/quote/IMOS","IMOS")</f>
        <v/>
      </c>
      <c r="B2137" t="inlineStr">
        <is>
          <t>CHIPMOS TECHNOLOGIES INC</t>
        </is>
      </c>
      <c r="C2137" t="inlineStr">
        <is>
          <t>Nasdaq</t>
        </is>
      </c>
      <c r="D2137" t="n">
        <v>1123134</v>
      </c>
      <c r="E2137" t="inlineStr">
        <is>
          <t>SEC</t>
        </is>
      </c>
    </row>
    <row r="2138">
      <c r="A2138" s="5">
        <f>HYPERLINK("https://finance.yahoo.com/quote/AGBK","AGBK")</f>
        <v/>
      </c>
      <c r="B2138" t="inlineStr">
        <is>
          <t>AGI Inc</t>
        </is>
      </c>
      <c r="C2138" t="inlineStr">
        <is>
          <t>NYSE</t>
        </is>
      </c>
      <c r="D2138" t="n">
        <v>2081206</v>
      </c>
      <c r="E2138" t="inlineStr">
        <is>
          <t>SEC</t>
        </is>
      </c>
    </row>
    <row r="2139">
      <c r="A2139" s="5">
        <f>HYPERLINK("https://finance.yahoo.com/quote/PAEXY","PAEXY")</f>
        <v/>
      </c>
      <c r="B2139" t="inlineStr">
        <is>
          <t>Parex Resources Inc./ADR</t>
        </is>
      </c>
      <c r="C2139" t="inlineStr">
        <is>
          <t>OTC</t>
        </is>
      </c>
      <c r="D2139" t="n">
        <v>2073620</v>
      </c>
      <c r="E2139" t="inlineStr">
        <is>
          <t>SEC</t>
        </is>
      </c>
    </row>
    <row r="2140">
      <c r="A2140" s="5">
        <f>HYPERLINK("https://finance.yahoo.com/quote/GLOB","GLOB")</f>
        <v/>
      </c>
      <c r="B2140" t="inlineStr">
        <is>
          <t>Globant S.A.</t>
        </is>
      </c>
      <c r="C2140" t="inlineStr">
        <is>
          <t>NYSE</t>
        </is>
      </c>
      <c r="D2140" t="n">
        <v>1557860</v>
      </c>
      <c r="E2140" t="inlineStr">
        <is>
          <t>SEC</t>
        </is>
      </c>
    </row>
    <row r="2141">
      <c r="A2141" s="5">
        <f>HYPERLINK("https://finance.yahoo.com/quote/PLUG","PLUG")</f>
        <v/>
      </c>
      <c r="B2141" t="inlineStr">
        <is>
          <t>PLUG POWER INC</t>
        </is>
      </c>
      <c r="C2141" t="inlineStr">
        <is>
          <t>Nasdaq</t>
        </is>
      </c>
      <c r="D2141" t="n">
        <v>1093691</v>
      </c>
      <c r="E2141" t="inlineStr">
        <is>
          <t>SEC</t>
        </is>
      </c>
    </row>
    <row r="2142">
      <c r="A2142" s="5">
        <f>HYPERLINK("https://finance.yahoo.com/quote/CC","CC")</f>
        <v/>
      </c>
      <c r="B2142" t="inlineStr">
        <is>
          <t>Chemours Co</t>
        </is>
      </c>
      <c r="C2142" t="inlineStr">
        <is>
          <t>NYSE</t>
        </is>
      </c>
      <c r="D2142" t="n">
        <v>1627223</v>
      </c>
      <c r="E2142" t="inlineStr">
        <is>
          <t>SEC</t>
        </is>
      </c>
    </row>
    <row r="2143">
      <c r="A2143" s="5">
        <f>HYPERLINK("https://finance.yahoo.com/quote/CTRI","CTRI")</f>
        <v/>
      </c>
      <c r="B2143" t="inlineStr">
        <is>
          <t>Centuri Holdings, Inc.</t>
        </is>
      </c>
      <c r="C2143" t="inlineStr">
        <is>
          <t>NYSE</t>
        </is>
      </c>
      <c r="D2143" t="n">
        <v>1981599</v>
      </c>
      <c r="E2143" t="inlineStr">
        <is>
          <t>SEC</t>
        </is>
      </c>
    </row>
    <row r="2144">
      <c r="A2144" s="5">
        <f>HYPERLINK("https://finance.yahoo.com/quote/PENN","PENN")</f>
        <v/>
      </c>
      <c r="B2144" t="inlineStr">
        <is>
          <t>PENN Entertainment, Inc.</t>
        </is>
      </c>
      <c r="C2144" t="inlineStr">
        <is>
          <t>Nasdaq</t>
        </is>
      </c>
      <c r="D2144" t="n">
        <v>921738</v>
      </c>
      <c r="E2144" t="inlineStr">
        <is>
          <t>SEC</t>
        </is>
      </c>
    </row>
    <row r="2145">
      <c r="A2145" s="5">
        <f>HYPERLINK("https://finance.yahoo.com/quote/OPEN","OPEN")</f>
        <v/>
      </c>
      <c r="B2145" t="inlineStr">
        <is>
          <t>Opendoor Technologies Inc.</t>
        </is>
      </c>
      <c r="C2145" t="inlineStr">
        <is>
          <t>Nasdaq</t>
        </is>
      </c>
      <c r="D2145" t="n">
        <v>1801169</v>
      </c>
      <c r="E2145" t="inlineStr">
        <is>
          <t>SEC</t>
        </is>
      </c>
    </row>
    <row r="2146">
      <c r="A2146" s="5">
        <f>HYPERLINK("https://finance.yahoo.com/quote/BVENY","BVENY")</f>
        <v/>
      </c>
      <c r="B2146" t="inlineStr">
        <is>
          <t>Brava Energia S.A.</t>
        </is>
      </c>
      <c r="C2146" t="inlineStr">
        <is>
          <t>OTC</t>
        </is>
      </c>
      <c r="D2146" t="n">
        <v>2095292</v>
      </c>
      <c r="E2146" t="inlineStr">
        <is>
          <t>SEC</t>
        </is>
      </c>
    </row>
    <row r="2147">
      <c r="A2147" s="5">
        <f>HYPERLINK("https://finance.yahoo.com/quote/VSTS","VSTS")</f>
        <v/>
      </c>
      <c r="B2147" t="inlineStr">
        <is>
          <t>Vestis Corp</t>
        </is>
      </c>
      <c r="C2147" t="inlineStr">
        <is>
          <t>NYSE</t>
        </is>
      </c>
      <c r="D2147" t="n">
        <v>1967649</v>
      </c>
      <c r="E2147" t="inlineStr">
        <is>
          <t>SEC</t>
        </is>
      </c>
    </row>
    <row r="2148">
      <c r="A2148" s="5">
        <f>HYPERLINK("https://finance.yahoo.com/quote/EVTC","EVTC")</f>
        <v/>
      </c>
      <c r="B2148" t="inlineStr">
        <is>
          <t>EVERTEC, Inc.</t>
        </is>
      </c>
      <c r="C2148" t="inlineStr">
        <is>
          <t>NYSE</t>
        </is>
      </c>
      <c r="D2148" t="n">
        <v>1559865</v>
      </c>
      <c r="E2148" t="inlineStr">
        <is>
          <t>SEC</t>
        </is>
      </c>
    </row>
    <row r="2149">
      <c r="A2149" s="5">
        <f>HYPERLINK("https://finance.yahoo.com/quote/BCRX","BCRX")</f>
        <v/>
      </c>
      <c r="B2149" t="inlineStr">
        <is>
          <t>BIOCRYST PHARMACEUTICALS INC</t>
        </is>
      </c>
      <c r="C2149" t="inlineStr">
        <is>
          <t>Nasdaq</t>
        </is>
      </c>
      <c r="D2149" t="n">
        <v>882796</v>
      </c>
      <c r="E2149" t="inlineStr">
        <is>
          <t>SEC</t>
        </is>
      </c>
    </row>
    <row r="2150">
      <c r="A2150" s="5">
        <f>HYPERLINK("https://finance.yahoo.com/quote/SAH","SAH")</f>
        <v/>
      </c>
      <c r="B2150" t="inlineStr">
        <is>
          <t>SONIC AUTOMOTIVE INC</t>
        </is>
      </c>
      <c r="C2150" t="inlineStr">
        <is>
          <t>NYSE</t>
        </is>
      </c>
      <c r="D2150" t="n">
        <v>1043509</v>
      </c>
      <c r="E2150" t="inlineStr">
        <is>
          <t>SEC</t>
        </is>
      </c>
    </row>
    <row r="2151">
      <c r="A2151" s="5">
        <f>HYPERLINK("https://finance.yahoo.com/quote/GRC","GRC")</f>
        <v/>
      </c>
      <c r="B2151" t="inlineStr">
        <is>
          <t>GORMAN RUPP CO</t>
        </is>
      </c>
      <c r="C2151" t="inlineStr">
        <is>
          <t>NYSE</t>
        </is>
      </c>
      <c r="D2151" t="n">
        <v>42682</v>
      </c>
      <c r="E2151" t="inlineStr">
        <is>
          <t>SEC</t>
        </is>
      </c>
    </row>
    <row r="2152">
      <c r="A2152" s="5">
        <f>HYPERLINK("https://finance.yahoo.com/quote/LMAT","LMAT")</f>
        <v/>
      </c>
      <c r="B2152" t="inlineStr">
        <is>
          <t>LEMAITRE VASCULAR INC</t>
        </is>
      </c>
      <c r="C2152" t="inlineStr">
        <is>
          <t>Nasdaq</t>
        </is>
      </c>
      <c r="D2152" t="n">
        <v>1158895</v>
      </c>
      <c r="E2152" t="inlineStr">
        <is>
          <t>SEC</t>
        </is>
      </c>
    </row>
    <row r="2153">
      <c r="A2153" s="5">
        <f>HYPERLINK("https://finance.yahoo.com/quote/GOF","GOF")</f>
        <v/>
      </c>
      <c r="B2153" t="inlineStr">
        <is>
          <t>GUGGENHEIM STRATEGIC OPPORTUNITIES FUND</t>
        </is>
      </c>
      <c r="C2153" t="inlineStr">
        <is>
          <t>NYSE</t>
        </is>
      </c>
      <c r="D2153" t="n">
        <v>1380936</v>
      </c>
      <c r="E2153" t="inlineStr">
        <is>
          <t>SEC</t>
        </is>
      </c>
    </row>
    <row r="2154">
      <c r="A2154" s="5">
        <f>HYPERLINK("https://finance.yahoo.com/quote/XHR","XHR")</f>
        <v/>
      </c>
      <c r="B2154" t="inlineStr">
        <is>
          <t>Xenia Hotels &amp; Resorts, Inc.</t>
        </is>
      </c>
      <c r="C2154" t="inlineStr">
        <is>
          <t>NYSE</t>
        </is>
      </c>
      <c r="D2154" t="n">
        <v>1616000</v>
      </c>
      <c r="E2154" t="inlineStr">
        <is>
          <t>SEC</t>
        </is>
      </c>
    </row>
    <row r="2155">
      <c r="A2155" s="5">
        <f>HYPERLINK("https://finance.yahoo.com/quote/TOP","TOP")</f>
        <v/>
      </c>
      <c r="B2155" t="inlineStr">
        <is>
          <t>TOP Financial Group Ltd</t>
        </is>
      </c>
      <c r="C2155" t="inlineStr">
        <is>
          <t>Nasdaq</t>
        </is>
      </c>
      <c r="D2155" t="n">
        <v>1848275</v>
      </c>
      <c r="E2155" t="inlineStr">
        <is>
          <t>SEC</t>
        </is>
      </c>
    </row>
    <row r="2156">
      <c r="A2156" s="5">
        <f>HYPERLINK("https://finance.yahoo.com/quote/ESTA","ESTA")</f>
        <v/>
      </c>
      <c r="B2156" t="inlineStr">
        <is>
          <t>ESTABLISHMENT LABS HOLDINGS INC.</t>
        </is>
      </c>
      <c r="C2156" t="inlineStr">
        <is>
          <t>Nasdaq</t>
        </is>
      </c>
      <c r="D2156" t="n">
        <v>1688757</v>
      </c>
      <c r="E2156" t="inlineStr">
        <is>
          <t>SEC</t>
        </is>
      </c>
    </row>
    <row r="2157">
      <c r="A2157" s="5">
        <f>HYPERLINK("https://finance.yahoo.com/quote/SSMR","SSMR")</f>
        <v/>
      </c>
      <c r="B2157" t="inlineStr">
        <is>
          <t>Sunshine Silver Mining &amp; Refining Co</t>
        </is>
      </c>
      <c r="C2157" t="inlineStr">
        <is>
          <t>NYSE</t>
        </is>
      </c>
      <c r="D2157" t="n">
        <v>2091017</v>
      </c>
      <c r="E2157" t="inlineStr">
        <is>
          <t>SEC</t>
        </is>
      </c>
    </row>
    <row r="2158">
      <c r="A2158" s="5">
        <f>HYPERLINK("https://finance.yahoo.com/quote/GABC","GABC")</f>
        <v/>
      </c>
      <c r="B2158" t="inlineStr">
        <is>
          <t>GERMAN AMERICAN BANCORP, INC.</t>
        </is>
      </c>
      <c r="C2158" t="inlineStr">
        <is>
          <t>Nasdaq</t>
        </is>
      </c>
      <c r="D2158" t="n">
        <v>714395</v>
      </c>
      <c r="E2158" t="inlineStr">
        <is>
          <t>SEC</t>
        </is>
      </c>
    </row>
    <row r="2159">
      <c r="A2159" s="5">
        <f>HYPERLINK("https://finance.yahoo.com/quote/PAX","PAX")</f>
        <v/>
      </c>
      <c r="B2159" t="inlineStr">
        <is>
          <t>Patria Investments Ltd</t>
        </is>
      </c>
      <c r="C2159" t="inlineStr">
        <is>
          <t>Nasdaq</t>
        </is>
      </c>
      <c r="D2159" t="n">
        <v>1825570</v>
      </c>
      <c r="E2159" t="inlineStr">
        <is>
          <t>SEC</t>
        </is>
      </c>
    </row>
    <row r="2160">
      <c r="A2160" s="5">
        <f>HYPERLINK("https://finance.yahoo.com/quote/ETOR","ETOR")</f>
        <v/>
      </c>
      <c r="B2160" t="inlineStr">
        <is>
          <t>eToro Group Ltd.</t>
        </is>
      </c>
      <c r="C2160" t="inlineStr">
        <is>
          <t>Nasdaq</t>
        </is>
      </c>
      <c r="D2160" t="n">
        <v>1493318</v>
      </c>
      <c r="E2160" t="inlineStr">
        <is>
          <t>SEC</t>
        </is>
      </c>
    </row>
    <row r="2161">
      <c r="A2161" s="5">
        <f>HYPERLINK("https://finance.yahoo.com/quote/BRVE","BRVE")</f>
        <v/>
      </c>
      <c r="B2161" t="inlineStr">
        <is>
          <t>Braveheart Bio, Inc.</t>
        </is>
      </c>
      <c r="C2161" t="inlineStr">
        <is>
          <t>Nasdaq</t>
        </is>
      </c>
      <c r="D2161" t="n">
        <v>2131524</v>
      </c>
      <c r="E2161" t="inlineStr">
        <is>
          <t>SEC</t>
        </is>
      </c>
    </row>
    <row r="2162">
      <c r="A2162" s="5">
        <f>HYPERLINK("https://finance.yahoo.com/quote/PRGS","PRGS")</f>
        <v/>
      </c>
      <c r="B2162" t="inlineStr">
        <is>
          <t>PROGRESS SOFTWARE CORP /MA</t>
        </is>
      </c>
      <c r="C2162" t="inlineStr">
        <is>
          <t>Nasdaq</t>
        </is>
      </c>
      <c r="D2162" t="n">
        <v>876167</v>
      </c>
      <c r="E2162" t="inlineStr">
        <is>
          <t>SEC</t>
        </is>
      </c>
    </row>
    <row r="2163">
      <c r="A2163" s="5">
        <f>HYPERLINK("https://finance.yahoo.com/quote/MFP","MFP")</f>
        <v/>
      </c>
      <c r="B2163" t="inlineStr">
        <is>
          <t>Midera Food Processing, Inc.</t>
        </is>
      </c>
      <c r="C2163" t="inlineStr">
        <is>
          <t>Nasdaq</t>
        </is>
      </c>
      <c r="D2163" t="n">
        <v>2088281</v>
      </c>
      <c r="E2163" t="inlineStr">
        <is>
          <t>SEC</t>
        </is>
      </c>
    </row>
    <row r="2164">
      <c r="A2164" s="5">
        <f>HYPERLINK("https://finance.yahoo.com/quote/DRVN","DRVN")</f>
        <v/>
      </c>
      <c r="B2164" t="inlineStr">
        <is>
          <t>Driven Brands Holdings Inc.</t>
        </is>
      </c>
      <c r="C2164" t="inlineStr">
        <is>
          <t>Nasdaq</t>
        </is>
      </c>
      <c r="D2164" t="n">
        <v>1804745</v>
      </c>
      <c r="E2164" t="inlineStr">
        <is>
          <t>SEC</t>
        </is>
      </c>
    </row>
    <row r="2165">
      <c r="A2165" s="5">
        <f>HYPERLINK("https://finance.yahoo.com/quote/XPRO","XPRO")</f>
        <v/>
      </c>
      <c r="B2165" t="inlineStr">
        <is>
          <t>Expro Ltd</t>
        </is>
      </c>
      <c r="C2165" t="inlineStr">
        <is>
          <t>NYSE</t>
        </is>
      </c>
      <c r="D2165" t="n">
        <v>2126198</v>
      </c>
      <c r="E2165" t="inlineStr">
        <is>
          <t>SEC</t>
        </is>
      </c>
    </row>
    <row r="2166">
      <c r="A2166" s="5">
        <f>HYPERLINK("https://finance.yahoo.com/quote/MTLMY","MTLMY")</f>
        <v/>
      </c>
      <c r="B2166" t="inlineStr">
        <is>
          <t>Metallium Limited/ADR</t>
        </is>
      </c>
      <c r="C2166" t="inlineStr">
        <is>
          <t>OTC</t>
        </is>
      </c>
      <c r="D2166" t="n">
        <v>2091028</v>
      </c>
      <c r="E2166" t="inlineStr">
        <is>
          <t>SEC</t>
        </is>
      </c>
    </row>
    <row r="2167">
      <c r="A2167" s="5">
        <f>HYPERLINK("https://finance.yahoo.com/quote/DHC","DHC")</f>
        <v/>
      </c>
      <c r="B2167" t="inlineStr">
        <is>
          <t>DIVERSIFIED HEALTHCARE TRUST</t>
        </is>
      </c>
      <c r="C2167" t="inlineStr">
        <is>
          <t>Nasdaq</t>
        </is>
      </c>
      <c r="D2167" t="n">
        <v>1075415</v>
      </c>
      <c r="E2167" t="inlineStr">
        <is>
          <t>SEC</t>
        </is>
      </c>
    </row>
    <row r="2168">
      <c r="A2168" s="5">
        <f>HYPERLINK("https://finance.yahoo.com/quote/VC","VC")</f>
        <v/>
      </c>
      <c r="B2168" t="inlineStr">
        <is>
          <t>VISTEON CORP</t>
        </is>
      </c>
      <c r="C2168" t="inlineStr">
        <is>
          <t>Nasdaq</t>
        </is>
      </c>
      <c r="D2168" t="n">
        <v>1111335</v>
      </c>
      <c r="E2168" t="inlineStr">
        <is>
          <t>SEC</t>
        </is>
      </c>
    </row>
    <row r="2169">
      <c r="A2169" s="5">
        <f>HYPERLINK("https://finance.yahoo.com/quote/DCOM","DCOM")</f>
        <v/>
      </c>
      <c r="B2169" t="inlineStr">
        <is>
          <t>Dime Commercial Bancshares, Inc. /NY/</t>
        </is>
      </c>
      <c r="C2169" t="inlineStr">
        <is>
          <t>NYSE</t>
        </is>
      </c>
      <c r="D2169" t="n">
        <v>846617</v>
      </c>
      <c r="E2169" t="inlineStr">
        <is>
          <t>SEC</t>
        </is>
      </c>
    </row>
    <row r="2170">
      <c r="A2170" s="5">
        <f>HYPERLINK("https://finance.yahoo.com/quote/SEPN","SEPN")</f>
        <v/>
      </c>
      <c r="B2170" t="inlineStr">
        <is>
          <t>Septerna, Inc.</t>
        </is>
      </c>
      <c r="C2170" t="inlineStr">
        <is>
          <t>Nasdaq</t>
        </is>
      </c>
      <c r="D2170" t="n">
        <v>1984086</v>
      </c>
      <c r="E2170" t="inlineStr">
        <is>
          <t>SEC</t>
        </is>
      </c>
    </row>
    <row r="2171">
      <c r="A2171" s="5">
        <f>HYPERLINK("https://finance.yahoo.com/quote/GTY","GTY")</f>
        <v/>
      </c>
      <c r="B2171" t="inlineStr">
        <is>
          <t>GETTY REALTY CORP /MD/</t>
        </is>
      </c>
      <c r="C2171" t="inlineStr">
        <is>
          <t>NYSE</t>
        </is>
      </c>
      <c r="D2171" t="n">
        <v>1052752</v>
      </c>
      <c r="E2171" t="inlineStr">
        <is>
          <t>SEC</t>
        </is>
      </c>
    </row>
    <row r="2172">
      <c r="A2172" s="5">
        <f>HYPERLINK("https://finance.yahoo.com/quote/CLM","CLM")</f>
        <v/>
      </c>
      <c r="B2172" t="inlineStr">
        <is>
          <t>Cornerstone Strategic Investment Fund, Inc.</t>
        </is>
      </c>
      <c r="C2172" t="inlineStr">
        <is>
          <t>NYSE</t>
        </is>
      </c>
      <c r="D2172" t="n">
        <v>814083</v>
      </c>
      <c r="E2172" t="inlineStr">
        <is>
          <t>SEC</t>
        </is>
      </c>
    </row>
    <row r="2173">
      <c r="A2173" s="5">
        <f>HYPERLINK("https://finance.yahoo.com/quote/XRAY","XRAY")</f>
        <v/>
      </c>
      <c r="B2173" t="inlineStr">
        <is>
          <t>DENTSPLY SIRONA Inc.</t>
        </is>
      </c>
      <c r="C2173" t="inlineStr">
        <is>
          <t>Nasdaq</t>
        </is>
      </c>
      <c r="D2173" t="n">
        <v>818479</v>
      </c>
      <c r="E2173" t="inlineStr">
        <is>
          <t>SEC</t>
        </is>
      </c>
    </row>
    <row r="2174">
      <c r="A2174" s="5">
        <f>HYPERLINK("https://finance.yahoo.com/quote/SVM","SVM")</f>
        <v/>
      </c>
      <c r="B2174" t="inlineStr">
        <is>
          <t>SILVERCORP METALS INC</t>
        </is>
      </c>
      <c r="C2174" t="inlineStr">
        <is>
          <t>NYSE</t>
        </is>
      </c>
      <c r="D2174" t="n">
        <v>1340677</v>
      </c>
      <c r="E2174" t="inlineStr">
        <is>
          <t>SEC</t>
        </is>
      </c>
    </row>
    <row r="2175">
      <c r="A2175" s="5">
        <f>HYPERLINK("https://finance.yahoo.com/quote/WKC","WKC")</f>
        <v/>
      </c>
      <c r="B2175" t="inlineStr">
        <is>
          <t>WORLD KINECT CORP</t>
        </is>
      </c>
      <c r="C2175" t="inlineStr">
        <is>
          <t>NYSE</t>
        </is>
      </c>
      <c r="D2175" t="n">
        <v>789460</v>
      </c>
      <c r="E2175" t="inlineStr">
        <is>
          <t>SEC</t>
        </is>
      </c>
    </row>
    <row r="2176">
      <c r="A2176" s="5">
        <f>HYPERLINK("https://finance.yahoo.com/quote/HMN","HMN")</f>
        <v/>
      </c>
      <c r="B2176" t="inlineStr">
        <is>
          <t>HORACE MANN EDUCATORS CORP /DE/</t>
        </is>
      </c>
      <c r="C2176" t="inlineStr">
        <is>
          <t>NYSE</t>
        </is>
      </c>
      <c r="D2176" t="n">
        <v>850141</v>
      </c>
      <c r="E2176" t="inlineStr">
        <is>
          <t>SEC</t>
        </is>
      </c>
    </row>
    <row r="2177">
      <c r="A2177" s="5">
        <f>HYPERLINK("https://finance.yahoo.com/quote/BTDR","BTDR")</f>
        <v/>
      </c>
      <c r="B2177" t="inlineStr">
        <is>
          <t>Bitdeer Technologies Group</t>
        </is>
      </c>
      <c r="C2177" t="inlineStr">
        <is>
          <t>Nasdaq</t>
        </is>
      </c>
      <c r="D2177" t="n">
        <v>1899123</v>
      </c>
      <c r="E2177" t="inlineStr">
        <is>
          <t>SEC</t>
        </is>
      </c>
    </row>
    <row r="2178">
      <c r="A2178" s="5">
        <f>HYPERLINK("https://finance.yahoo.com/quote/NMZ","NMZ")</f>
        <v/>
      </c>
      <c r="B2178" t="inlineStr">
        <is>
          <t>NUVEEN MUNICIPAL HIGH INCOME OPPORTUNITY FUND</t>
        </is>
      </c>
      <c r="C2178" t="inlineStr">
        <is>
          <t>NYSE</t>
        </is>
      </c>
      <c r="D2178" t="n">
        <v>1266585</v>
      </c>
      <c r="E2178" t="inlineStr">
        <is>
          <t>SEC</t>
        </is>
      </c>
    </row>
    <row r="2179">
      <c r="A2179" s="5">
        <f>HYPERLINK("https://finance.yahoo.com/quote/ATS","ATS")</f>
        <v/>
      </c>
      <c r="B2179" t="inlineStr">
        <is>
          <t>ATS Corp /ATS</t>
        </is>
      </c>
      <c r="C2179" t="inlineStr">
        <is>
          <t>NYSE</t>
        </is>
      </c>
      <c r="D2179" t="n">
        <v>1394832</v>
      </c>
      <c r="E2179" t="inlineStr">
        <is>
          <t>SEC</t>
        </is>
      </c>
    </row>
    <row r="2180">
      <c r="A2180" s="5">
        <f>HYPERLINK("https://finance.yahoo.com/quote/ASTH","ASTH")</f>
        <v/>
      </c>
      <c r="B2180" t="inlineStr">
        <is>
          <t>Astrana Health, Inc.</t>
        </is>
      </c>
      <c r="C2180" t="inlineStr">
        <is>
          <t>Nasdaq</t>
        </is>
      </c>
      <c r="D2180" t="n">
        <v>1083446</v>
      </c>
      <c r="E2180" t="inlineStr">
        <is>
          <t>SEC</t>
        </is>
      </c>
    </row>
    <row r="2181">
      <c r="A2181" s="5">
        <f>HYPERLINK("https://finance.yahoo.com/quote/SRPT","SRPT")</f>
        <v/>
      </c>
      <c r="B2181" t="inlineStr">
        <is>
          <t>Sarepta Therapeutics, Inc.</t>
        </is>
      </c>
      <c r="C2181" t="inlineStr">
        <is>
          <t>Nasdaq</t>
        </is>
      </c>
      <c r="D2181" t="n">
        <v>873303</v>
      </c>
      <c r="E2181" t="inlineStr">
        <is>
          <t>SEC</t>
        </is>
      </c>
    </row>
    <row r="2182">
      <c r="A2182" s="5">
        <f>HYPERLINK("https://finance.yahoo.com/quote/XERS","XERS")</f>
        <v/>
      </c>
      <c r="B2182" t="inlineStr">
        <is>
          <t>Xeris Biopharma Holdings, Inc.</t>
        </is>
      </c>
      <c r="C2182" t="inlineStr">
        <is>
          <t>Nasdaq</t>
        </is>
      </c>
      <c r="D2182" t="n">
        <v>1867096</v>
      </c>
      <c r="E2182" t="inlineStr">
        <is>
          <t>SEC</t>
        </is>
      </c>
    </row>
    <row r="2183">
      <c r="A2183" s="5">
        <f>HYPERLINK("https://finance.yahoo.com/quote/TY","TY")</f>
        <v/>
      </c>
      <c r="B2183" t="inlineStr">
        <is>
          <t>TRI-CONTINENTAL Corp</t>
        </is>
      </c>
      <c r="C2183" t="inlineStr">
        <is>
          <t>NYSE</t>
        </is>
      </c>
      <c r="D2183" t="n">
        <v>99614</v>
      </c>
      <c r="E2183" t="inlineStr">
        <is>
          <t>SEC</t>
        </is>
      </c>
    </row>
    <row r="2184">
      <c r="A2184" s="5">
        <f>HYPERLINK("https://finance.yahoo.com/quote/SPB","SPB")</f>
        <v/>
      </c>
      <c r="B2184" t="inlineStr">
        <is>
          <t>Spectrum Brands Holdings, Inc.</t>
        </is>
      </c>
      <c r="C2184" t="inlineStr">
        <is>
          <t>NYSE</t>
        </is>
      </c>
      <c r="D2184" t="n">
        <v>109177</v>
      </c>
      <c r="E2184" t="inlineStr">
        <is>
          <t>SEC</t>
        </is>
      </c>
    </row>
    <row r="2185">
      <c r="A2185" s="5">
        <f>HYPERLINK("https://finance.yahoo.com/quote/ATEN","ATEN")</f>
        <v/>
      </c>
      <c r="B2185" t="inlineStr">
        <is>
          <t>A10 Networks, Inc.</t>
        </is>
      </c>
      <c r="C2185" t="inlineStr">
        <is>
          <t>NYSE</t>
        </is>
      </c>
      <c r="D2185" t="n">
        <v>1580808</v>
      </c>
      <c r="E2185" t="inlineStr">
        <is>
          <t>SEC</t>
        </is>
      </c>
    </row>
    <row r="2186">
      <c r="A2186" s="5">
        <f>HYPERLINK("https://finance.yahoo.com/quote/MHD","MHD")</f>
        <v/>
      </c>
      <c r="B2186" t="inlineStr">
        <is>
          <t>BLACKROCK MUNIHOLDINGS FUND, INC.</t>
        </is>
      </c>
      <c r="C2186" t="inlineStr">
        <is>
          <t>NYSE</t>
        </is>
      </c>
      <c r="D2186" t="n">
        <v>1034665</v>
      </c>
      <c r="E2186" t="inlineStr">
        <is>
          <t>SEC</t>
        </is>
      </c>
    </row>
    <row r="2187">
      <c r="A2187" s="5">
        <f>HYPERLINK("https://finance.yahoo.com/quote/AEHR","AEHR")</f>
        <v/>
      </c>
      <c r="B2187" t="inlineStr">
        <is>
          <t>AEHR TEST SYSTEMS</t>
        </is>
      </c>
      <c r="C2187" t="inlineStr">
        <is>
          <t>Nasdaq</t>
        </is>
      </c>
      <c r="D2187" t="n">
        <v>1040470</v>
      </c>
      <c r="E2187" t="inlineStr">
        <is>
          <t>SEC</t>
        </is>
      </c>
    </row>
    <row r="2188">
      <c r="A2188" s="5">
        <f>HYPERLINK("https://finance.yahoo.com/quote/BSTZ","BSTZ")</f>
        <v/>
      </c>
      <c r="B2188" t="inlineStr">
        <is>
          <t>BlackRock Science &amp; Technology Term Trust</t>
        </is>
      </c>
      <c r="C2188" t="inlineStr">
        <is>
          <t>NYSE</t>
        </is>
      </c>
      <c r="D2188" t="n">
        <v>1768666</v>
      </c>
      <c r="E2188" t="inlineStr">
        <is>
          <t>SEC</t>
        </is>
      </c>
    </row>
    <row r="2189">
      <c r="A2189" s="5">
        <f>HYPERLINK("https://finance.yahoo.com/quote/RLJ","RLJ")</f>
        <v/>
      </c>
      <c r="B2189" t="inlineStr">
        <is>
          <t>RLJ Lodging Trust</t>
        </is>
      </c>
      <c r="C2189" t="inlineStr">
        <is>
          <t>NYSE</t>
        </is>
      </c>
      <c r="D2189" t="n">
        <v>1511337</v>
      </c>
      <c r="E2189" t="inlineStr">
        <is>
          <t>SEC</t>
        </is>
      </c>
    </row>
    <row r="2190">
      <c r="A2190" s="5">
        <f>HYPERLINK("https://finance.yahoo.com/quote/XNCR","XNCR")</f>
        <v/>
      </c>
      <c r="B2190" t="inlineStr">
        <is>
          <t>Xencor Inc</t>
        </is>
      </c>
      <c r="C2190" t="inlineStr">
        <is>
          <t>Nasdaq</t>
        </is>
      </c>
      <c r="D2190" t="n">
        <v>1326732</v>
      </c>
      <c r="E2190" t="inlineStr">
        <is>
          <t>SEC</t>
        </is>
      </c>
    </row>
    <row r="2191">
      <c r="A2191" s="5">
        <f>HYPERLINK("https://finance.yahoo.com/quote/SIND","SIND")</f>
        <v/>
      </c>
      <c r="B2191" t="inlineStr">
        <is>
          <t>Sinda Ltd.</t>
        </is>
      </c>
      <c r="C2191" t="inlineStr">
        <is>
          <t>NYSE</t>
        </is>
      </c>
      <c r="D2191" t="n">
        <v>2096861</v>
      </c>
      <c r="E2191" t="inlineStr">
        <is>
          <t>SEC</t>
        </is>
      </c>
    </row>
    <row r="2192">
      <c r="A2192" s="5">
        <f>HYPERLINK("https://finance.yahoo.com/quote/WHR","WHR")</f>
        <v/>
      </c>
      <c r="B2192" t="inlineStr">
        <is>
          <t>WHIRLPOOL CORP /DE/</t>
        </is>
      </c>
      <c r="C2192" t="inlineStr">
        <is>
          <t>NYSE</t>
        </is>
      </c>
      <c r="D2192" t="n">
        <v>106640</v>
      </c>
      <c r="E2192" t="inlineStr">
        <is>
          <t>SEC</t>
        </is>
      </c>
    </row>
    <row r="2193">
      <c r="A2193" s="5">
        <f>HYPERLINK("https://finance.yahoo.com/quote/ALGT","ALGT")</f>
        <v/>
      </c>
      <c r="B2193" t="inlineStr">
        <is>
          <t>Allegiant Travel CO</t>
        </is>
      </c>
      <c r="C2193" t="inlineStr">
        <is>
          <t>Nasdaq</t>
        </is>
      </c>
      <c r="D2193" t="n">
        <v>1362468</v>
      </c>
      <c r="E2193" t="inlineStr">
        <is>
          <t>SEC</t>
        </is>
      </c>
    </row>
    <row r="2194">
      <c r="A2194" s="5">
        <f>HYPERLINK("https://finance.yahoo.com/quote/EPAC","EPAC")</f>
        <v/>
      </c>
      <c r="B2194" t="inlineStr">
        <is>
          <t>ENERPAC TOOL GROUP CORP</t>
        </is>
      </c>
      <c r="C2194" t="inlineStr">
        <is>
          <t>NYSE</t>
        </is>
      </c>
      <c r="D2194" t="n">
        <v>6955</v>
      </c>
      <c r="E2194" t="inlineStr">
        <is>
          <t>SEC</t>
        </is>
      </c>
    </row>
    <row r="2195">
      <c r="A2195" s="5">
        <f>HYPERLINK("https://finance.yahoo.com/quote/ADRX","ADRX")</f>
        <v/>
      </c>
      <c r="B2195" t="inlineStr">
        <is>
          <t>ADARx Pharmaceuticals, Inc.</t>
        </is>
      </c>
      <c r="C2195" t="inlineStr">
        <is>
          <t>Nasdaq</t>
        </is>
      </c>
      <c r="D2195" t="n">
        <v>1802369</v>
      </c>
      <c r="E2195" t="inlineStr">
        <is>
          <t>SEC</t>
        </is>
      </c>
    </row>
    <row r="2196">
      <c r="A2196" s="5">
        <f>HYPERLINK("https://finance.yahoo.com/quote/CPRI","CPRI")</f>
        <v/>
      </c>
      <c r="B2196" t="inlineStr">
        <is>
          <t>Capri Holdings Ltd</t>
        </is>
      </c>
      <c r="C2196" t="inlineStr">
        <is>
          <t>NYSE</t>
        </is>
      </c>
      <c r="D2196" t="n">
        <v>1530721</v>
      </c>
      <c r="E2196" t="inlineStr">
        <is>
          <t>SEC</t>
        </is>
      </c>
    </row>
    <row r="2197">
      <c r="A2197" s="5">
        <f>HYPERLINK("https://finance.yahoo.com/quote/AMN","AMN")</f>
        <v/>
      </c>
      <c r="B2197" t="inlineStr">
        <is>
          <t>AMN HEALTHCARE SERVICES INC</t>
        </is>
      </c>
      <c r="C2197" t="inlineStr">
        <is>
          <t>NYSE</t>
        </is>
      </c>
      <c r="D2197" t="n">
        <v>1142750</v>
      </c>
      <c r="E2197" t="inlineStr">
        <is>
          <t>SEC</t>
        </is>
      </c>
    </row>
    <row r="2198">
      <c r="A2198" s="5">
        <f>HYPERLINK("https://finance.yahoo.com/quote/NYAX","NYAX")</f>
        <v/>
      </c>
      <c r="B2198" t="inlineStr">
        <is>
          <t>Nayax Ltd.</t>
        </is>
      </c>
      <c r="C2198" t="inlineStr">
        <is>
          <t>Nasdaq</t>
        </is>
      </c>
      <c r="D2198" t="n">
        <v>1901279</v>
      </c>
      <c r="E2198" t="inlineStr">
        <is>
          <t>SEC</t>
        </is>
      </c>
    </row>
    <row r="2199">
      <c r="A2199" s="5">
        <f>HYPERLINK("https://finance.yahoo.com/quote/MNR","MNR")</f>
        <v/>
      </c>
      <c r="B2199" t="inlineStr">
        <is>
          <t>MACH NATURAL RESOURCES LP</t>
        </is>
      </c>
      <c r="C2199" t="inlineStr">
        <is>
          <t>NYSE</t>
        </is>
      </c>
      <c r="D2199" t="n">
        <v>1980088</v>
      </c>
      <c r="E2199" t="inlineStr">
        <is>
          <t>SEC</t>
        </is>
      </c>
    </row>
    <row r="2200">
      <c r="A2200" s="5">
        <f>HYPERLINK("https://finance.yahoo.com/quote/WGS","WGS")</f>
        <v/>
      </c>
      <c r="B2200" t="inlineStr">
        <is>
          <t>GeneDx Holdings Corp.</t>
        </is>
      </c>
      <c r="C2200" t="inlineStr">
        <is>
          <t>Nasdaq</t>
        </is>
      </c>
      <c r="D2200" t="n">
        <v>1818331</v>
      </c>
      <c r="E2200" t="inlineStr">
        <is>
          <t>SEC</t>
        </is>
      </c>
    </row>
    <row r="2201">
      <c r="A2201" s="5">
        <f>HYPERLINK("https://finance.yahoo.com/quote/MLYS","MLYS")</f>
        <v/>
      </c>
      <c r="B2201" t="inlineStr">
        <is>
          <t>Mineralys Therapeutics, Inc.</t>
        </is>
      </c>
      <c r="C2201" t="inlineStr">
        <is>
          <t>Nasdaq</t>
        </is>
      </c>
      <c r="D2201" t="n">
        <v>1933414</v>
      </c>
      <c r="E2201" t="inlineStr">
        <is>
          <t>SEC</t>
        </is>
      </c>
    </row>
    <row r="2202">
      <c r="A2202" s="5">
        <f>HYPERLINK("https://finance.yahoo.com/quote/RUN","RUN")</f>
        <v/>
      </c>
      <c r="B2202" t="inlineStr">
        <is>
          <t>Sunrun Inc.</t>
        </is>
      </c>
      <c r="C2202" t="inlineStr">
        <is>
          <t>Nasdaq</t>
        </is>
      </c>
      <c r="D2202" t="n">
        <v>1469367</v>
      </c>
      <c r="E2202" t="inlineStr">
        <is>
          <t>SEC</t>
        </is>
      </c>
    </row>
    <row r="2203">
      <c r="A2203" s="5">
        <f>HYPERLINK("https://finance.yahoo.com/quote/CEPU","CEPU")</f>
        <v/>
      </c>
      <c r="B2203" t="inlineStr">
        <is>
          <t>CENTRAL PUERTO S.A.</t>
        </is>
      </c>
      <c r="C2203" t="inlineStr">
        <is>
          <t>NYSE</t>
        </is>
      </c>
      <c r="D2203" t="n">
        <v>1717161</v>
      </c>
      <c r="E2203" t="inlineStr">
        <is>
          <t>SEC</t>
        </is>
      </c>
    </row>
    <row r="2204">
      <c r="A2204" s="5">
        <f>HYPERLINK("https://finance.yahoo.com/quote/STRA","STRA")</f>
        <v/>
      </c>
      <c r="B2204" t="inlineStr">
        <is>
          <t>Strategic Education, Inc.</t>
        </is>
      </c>
      <c r="C2204" t="inlineStr">
        <is>
          <t>Nasdaq</t>
        </is>
      </c>
      <c r="D2204" t="n">
        <v>1013934</v>
      </c>
      <c r="E2204" t="inlineStr">
        <is>
          <t>SEC</t>
        </is>
      </c>
    </row>
    <row r="2205">
      <c r="A2205" s="5">
        <f>HYPERLINK("https://finance.yahoo.com/quote/HOPE","HOPE")</f>
        <v/>
      </c>
      <c r="B2205" t="inlineStr">
        <is>
          <t>HOPE BANCORP INC</t>
        </is>
      </c>
      <c r="C2205" t="inlineStr">
        <is>
          <t>Nasdaq</t>
        </is>
      </c>
      <c r="D2205" t="n">
        <v>1128361</v>
      </c>
      <c r="E2205" t="inlineStr">
        <is>
          <t>SEC</t>
        </is>
      </c>
    </row>
    <row r="2206">
      <c r="A2206" s="5">
        <f>HYPERLINK("https://finance.yahoo.com/quote/ARR","ARR")</f>
        <v/>
      </c>
      <c r="B2206" t="inlineStr">
        <is>
          <t>Armour Residential REIT, Inc.</t>
        </is>
      </c>
      <c r="C2206" t="inlineStr">
        <is>
          <t>NYSE</t>
        </is>
      </c>
      <c r="D2206" t="n">
        <v>1428205</v>
      </c>
      <c r="E2206" t="inlineStr">
        <is>
          <t>SEC</t>
        </is>
      </c>
    </row>
    <row r="2207">
      <c r="A2207" s="5">
        <f>HYPERLINK("https://finance.yahoo.com/quote/FORTY","FORTY")</f>
        <v/>
      </c>
      <c r="B2207" t="inlineStr">
        <is>
          <t>FORMULA SYSTEMS (1985) LTD</t>
        </is>
      </c>
      <c r="C2207" t="inlineStr">
        <is>
          <t>Nasdaq</t>
        </is>
      </c>
      <c r="D2207" t="n">
        <v>1045986</v>
      </c>
      <c r="E2207" t="inlineStr">
        <is>
          <t>SEC</t>
        </is>
      </c>
    </row>
    <row r="2208">
      <c r="A2208" s="5">
        <f>HYPERLINK("https://finance.yahoo.com/quote/PVLA","PVLA")</f>
        <v/>
      </c>
      <c r="B2208" t="inlineStr">
        <is>
          <t>PALVELLA THERAPEUTICS, INC.</t>
        </is>
      </c>
      <c r="C2208" t="inlineStr">
        <is>
          <t>Nasdaq</t>
        </is>
      </c>
      <c r="D2208" t="n">
        <v>1583648</v>
      </c>
      <c r="E2208" t="inlineStr">
        <is>
          <t>SEC</t>
        </is>
      </c>
    </row>
    <row r="2209">
      <c r="A2209" s="5">
        <f>HYPERLINK("https://finance.yahoo.com/quote/PTXKY","PTXKY")</f>
        <v/>
      </c>
      <c r="B2209" t="inlineStr">
        <is>
          <t>PT XLSMART Telecom Sejahtera Tbk/ADR</t>
        </is>
      </c>
      <c r="C2209" t="inlineStr">
        <is>
          <t>OTC</t>
        </is>
      </c>
      <c r="D2209" t="n">
        <v>1545057</v>
      </c>
      <c r="E2209" t="inlineStr">
        <is>
          <t>SEC</t>
        </is>
      </c>
    </row>
    <row r="2210">
      <c r="A2210" s="5">
        <f>HYPERLINK("https://finance.yahoo.com/quote/OLN","OLN")</f>
        <v/>
      </c>
      <c r="B2210" t="inlineStr">
        <is>
          <t>OLIN Corp</t>
        </is>
      </c>
      <c r="C2210" t="inlineStr">
        <is>
          <t>NYSE</t>
        </is>
      </c>
      <c r="D2210" t="n">
        <v>74303</v>
      </c>
      <c r="E2210" t="inlineStr">
        <is>
          <t>SEC</t>
        </is>
      </c>
    </row>
    <row r="2211">
      <c r="A2211" s="5">
        <f>HYPERLINK("https://finance.yahoo.com/quote/TRVI","TRVI")</f>
        <v/>
      </c>
      <c r="B2211" t="inlineStr">
        <is>
          <t>Trevi Therapeutics, Inc.</t>
        </is>
      </c>
      <c r="C2211" t="inlineStr">
        <is>
          <t>Nasdaq</t>
        </is>
      </c>
      <c r="D2211" t="n">
        <v>1563880</v>
      </c>
      <c r="E2211" t="inlineStr">
        <is>
          <t>SEC</t>
        </is>
      </c>
    </row>
    <row r="2212">
      <c r="A2212" s="5">
        <f>HYPERLINK("https://finance.yahoo.com/quote/PICS","PICS")</f>
        <v/>
      </c>
      <c r="B2212" t="inlineStr">
        <is>
          <t>PicS N.V.</t>
        </is>
      </c>
      <c r="C2212" t="inlineStr">
        <is>
          <t>Nasdaq</t>
        </is>
      </c>
      <c r="D2212" t="n">
        <v>1841644</v>
      </c>
      <c r="E2212" t="inlineStr">
        <is>
          <t>SEC</t>
        </is>
      </c>
    </row>
    <row r="2213">
      <c r="A2213" s="5">
        <f>HYPERLINK("https://finance.yahoo.com/quote/STBA","STBA")</f>
        <v/>
      </c>
      <c r="B2213" t="inlineStr">
        <is>
          <t>S&amp;T BANCORP INC</t>
        </is>
      </c>
      <c r="C2213" t="inlineStr">
        <is>
          <t>Nasdaq</t>
        </is>
      </c>
      <c r="D2213" t="n">
        <v>719220</v>
      </c>
      <c r="E2213" t="inlineStr">
        <is>
          <t>SEC</t>
        </is>
      </c>
    </row>
    <row r="2214">
      <c r="A2214" s="5">
        <f>HYPERLINK("https://finance.yahoo.com/quote/RBCAA","RBCAA")</f>
        <v/>
      </c>
      <c r="B2214" t="inlineStr">
        <is>
          <t>REPUBLIC BANCORP INC /KY/</t>
        </is>
      </c>
      <c r="C2214" t="inlineStr">
        <is>
          <t>Nasdaq</t>
        </is>
      </c>
      <c r="D2214" t="n">
        <v>921557</v>
      </c>
      <c r="E2214" t="inlineStr">
        <is>
          <t>SEC</t>
        </is>
      </c>
    </row>
    <row r="2215">
      <c r="A2215" s="5">
        <f>HYPERLINK("https://finance.yahoo.com/quote/BFLY","BFLY")</f>
        <v/>
      </c>
      <c r="B2215" t="inlineStr">
        <is>
          <t>Butterfly Network, Inc.</t>
        </is>
      </c>
      <c r="C2215" t="inlineStr">
        <is>
          <t>NYSE</t>
        </is>
      </c>
      <c r="D2215" t="n">
        <v>1804176</v>
      </c>
      <c r="E2215" t="inlineStr">
        <is>
          <t>SEC</t>
        </is>
      </c>
    </row>
    <row r="2216">
      <c r="A2216" s="5">
        <f>HYPERLINK("https://finance.yahoo.com/quote/BPRE","BPRE")</f>
        <v/>
      </c>
      <c r="B2216" t="inlineStr">
        <is>
          <t>Bluerock Private Real Estate Fund</t>
        </is>
      </c>
      <c r="C2216" t="inlineStr">
        <is>
          <t>NYSE</t>
        </is>
      </c>
      <c r="D2216" t="n">
        <v>1551047</v>
      </c>
      <c r="E2216" t="inlineStr">
        <is>
          <t>SEC</t>
        </is>
      </c>
    </row>
    <row r="2217">
      <c r="A2217" s="5">
        <f>HYPERLINK("https://finance.yahoo.com/quote/AIN","AIN")</f>
        <v/>
      </c>
      <c r="B2217" t="inlineStr">
        <is>
          <t>ALBANY INTERNATIONAL CORP /DE/</t>
        </is>
      </c>
      <c r="C2217" t="inlineStr">
        <is>
          <t>NYSE</t>
        </is>
      </c>
      <c r="D2217" t="n">
        <v>819793</v>
      </c>
      <c r="E2217" t="inlineStr">
        <is>
          <t>SEC</t>
        </is>
      </c>
    </row>
    <row r="2218">
      <c r="A2218" s="5">
        <f>HYPERLINK("https://finance.yahoo.com/quote/VIR","VIR")</f>
        <v/>
      </c>
      <c r="B2218" t="inlineStr">
        <is>
          <t>Vir Biotechnology, Inc.</t>
        </is>
      </c>
      <c r="C2218" t="inlineStr">
        <is>
          <t>Nasdaq</t>
        </is>
      </c>
      <c r="D2218" t="n">
        <v>1706431</v>
      </c>
      <c r="E2218" t="inlineStr">
        <is>
          <t>SEC</t>
        </is>
      </c>
    </row>
    <row r="2219">
      <c r="A2219" s="5">
        <f>HYPERLINK("https://finance.yahoo.com/quote/SDGR","SDGR")</f>
        <v/>
      </c>
      <c r="B2219" t="inlineStr">
        <is>
          <t>Schrodinger, Inc.</t>
        </is>
      </c>
      <c r="C2219" t="inlineStr">
        <is>
          <t>Nasdaq</t>
        </is>
      </c>
      <c r="D2219" t="n">
        <v>1490978</v>
      </c>
      <c r="E2219" t="inlineStr">
        <is>
          <t>SEC</t>
        </is>
      </c>
    </row>
    <row r="2220">
      <c r="A2220" s="5">
        <f>HYPERLINK("https://finance.yahoo.com/quote/DJT","DJT")</f>
        <v/>
      </c>
      <c r="B2220" t="inlineStr">
        <is>
          <t>Trump Media &amp; Technology Group Corp.</t>
        </is>
      </c>
      <c r="C2220" t="inlineStr">
        <is>
          <t>Nasdaq</t>
        </is>
      </c>
      <c r="D2220" t="n">
        <v>1849635</v>
      </c>
      <c r="E2220" t="inlineStr">
        <is>
          <t>SEC</t>
        </is>
      </c>
    </row>
    <row r="2221">
      <c r="A2221" s="5">
        <f>HYPERLINK("https://finance.yahoo.com/quote/ALG","ALG")</f>
        <v/>
      </c>
      <c r="B2221" t="inlineStr">
        <is>
          <t>ALAMO GROUP INC</t>
        </is>
      </c>
      <c r="C2221" t="inlineStr">
        <is>
          <t>NYSE</t>
        </is>
      </c>
      <c r="D2221" t="n">
        <v>897077</v>
      </c>
      <c r="E2221" t="inlineStr">
        <is>
          <t>SEC</t>
        </is>
      </c>
    </row>
    <row r="2222">
      <c r="A2222" s="5">
        <f>HYPERLINK("https://finance.yahoo.com/quote/EFOR","EFOR")</f>
        <v/>
      </c>
      <c r="B2222" t="inlineStr">
        <is>
          <t>Everforth Inc</t>
        </is>
      </c>
      <c r="C2222" t="inlineStr">
        <is>
          <t>NYSE</t>
        </is>
      </c>
      <c r="D2222" t="n">
        <v>890564</v>
      </c>
      <c r="E2222" t="inlineStr">
        <is>
          <t>SEC</t>
        </is>
      </c>
    </row>
    <row r="2223">
      <c r="A2223" s="5">
        <f>HYPERLINK("https://finance.yahoo.com/quote/BXMT","BXMT")</f>
        <v/>
      </c>
      <c r="B2223" t="inlineStr">
        <is>
          <t>BLACKSTONE MORTGAGE TRUST, INC.</t>
        </is>
      </c>
      <c r="C2223" t="inlineStr">
        <is>
          <t>NYSE</t>
        </is>
      </c>
      <c r="D2223" t="n">
        <v>1061630</v>
      </c>
      <c r="E2223" t="inlineStr">
        <is>
          <t>SEC</t>
        </is>
      </c>
    </row>
    <row r="2224">
      <c r="A2224" s="5">
        <f>HYPERLINK("https://finance.yahoo.com/quote/GAB","GAB")</f>
        <v/>
      </c>
      <c r="B2224" t="inlineStr">
        <is>
          <t>GABELLI EQUITY TRUST INC</t>
        </is>
      </c>
      <c r="C2224" t="inlineStr">
        <is>
          <t>NYSE</t>
        </is>
      </c>
      <c r="D2224" t="n">
        <v>794685</v>
      </c>
      <c r="E2224" t="inlineStr">
        <is>
          <t>SEC</t>
        </is>
      </c>
    </row>
    <row r="2225">
      <c r="A2225" s="5">
        <f>HYPERLINK("https://finance.yahoo.com/quote/KALU","KALU")</f>
        <v/>
      </c>
      <c r="B2225" t="inlineStr">
        <is>
          <t>KAISER ALUMINUM CORP</t>
        </is>
      </c>
      <c r="C2225" t="inlineStr">
        <is>
          <t>Nasdaq</t>
        </is>
      </c>
      <c r="D2225" t="n">
        <v>811596</v>
      </c>
      <c r="E2225" t="inlineStr">
        <is>
          <t>SEC</t>
        </is>
      </c>
    </row>
    <row r="2226">
      <c r="A2226" s="5">
        <f>HYPERLINK("https://finance.yahoo.com/quote/ZBIO","ZBIO")</f>
        <v/>
      </c>
      <c r="B2226" t="inlineStr">
        <is>
          <t>Zenas BioPharma, Inc.</t>
        </is>
      </c>
      <c r="C2226" t="inlineStr">
        <is>
          <t>Nasdaq</t>
        </is>
      </c>
      <c r="D2226" t="n">
        <v>1953926</v>
      </c>
      <c r="E2226" t="inlineStr">
        <is>
          <t>SEC</t>
        </is>
      </c>
    </row>
    <row r="2227">
      <c r="A2227" s="5">
        <f>HYPERLINK("https://finance.yahoo.com/quote/SFL","SFL")</f>
        <v/>
      </c>
      <c r="B2227" t="inlineStr">
        <is>
          <t>SFL Corp Ltd.</t>
        </is>
      </c>
      <c r="C2227" t="inlineStr">
        <is>
          <t>NYSE</t>
        </is>
      </c>
      <c r="D2227" t="n">
        <v>1289877</v>
      </c>
      <c r="E2227" t="inlineStr">
        <is>
          <t>SEC</t>
        </is>
      </c>
    </row>
    <row r="2228">
      <c r="A2228" s="5">
        <f>HYPERLINK("https://finance.yahoo.com/quote/NTST","NTST")</f>
        <v/>
      </c>
      <c r="B2228" t="inlineStr">
        <is>
          <t>NETSTREIT Corp.</t>
        </is>
      </c>
      <c r="C2228" t="inlineStr">
        <is>
          <t>NYSE</t>
        </is>
      </c>
      <c r="D2228" t="n">
        <v>1798100</v>
      </c>
      <c r="E2228" t="inlineStr">
        <is>
          <t>SEC</t>
        </is>
      </c>
    </row>
    <row r="2229">
      <c r="A2229" s="5">
        <f>HYPERLINK("https://finance.yahoo.com/quote/BY","BY")</f>
        <v/>
      </c>
      <c r="B2229" t="inlineStr">
        <is>
          <t>BYLINE BANCORP, INC.</t>
        </is>
      </c>
      <c r="C2229" t="inlineStr">
        <is>
          <t>NYSE</t>
        </is>
      </c>
      <c r="D2229" t="n">
        <v>1702750</v>
      </c>
      <c r="E2229" t="inlineStr">
        <is>
          <t>SEC</t>
        </is>
      </c>
    </row>
    <row r="2230">
      <c r="A2230" s="5">
        <f>HYPERLINK("https://finance.yahoo.com/quote/FSUN","FSUN")</f>
        <v/>
      </c>
      <c r="B2230" t="inlineStr">
        <is>
          <t>FIRSTSUN CAPITAL BANCORP</t>
        </is>
      </c>
      <c r="C2230" t="inlineStr">
        <is>
          <t>Nasdaq</t>
        </is>
      </c>
      <c r="D2230" t="n">
        <v>1709442</v>
      </c>
      <c r="E2230" t="inlineStr">
        <is>
          <t>SEC</t>
        </is>
      </c>
    </row>
    <row r="2231">
      <c r="A2231" s="5">
        <f>HYPERLINK("https://finance.yahoo.com/quote/ETG","ETG")</f>
        <v/>
      </c>
      <c r="B2231" t="inlineStr">
        <is>
          <t>Eaton Vance Tax-Advantaged Global Dividend Income Fund</t>
        </is>
      </c>
      <c r="C2231" t="inlineStr">
        <is>
          <t>NYSE</t>
        </is>
      </c>
      <c r="D2231" t="n">
        <v>1270523</v>
      </c>
      <c r="E2231" t="inlineStr">
        <is>
          <t>SEC</t>
        </is>
      </c>
    </row>
    <row r="2232">
      <c r="A2232" s="5">
        <f>HYPERLINK("https://finance.yahoo.com/quote/STEW","STEW")</f>
        <v/>
      </c>
      <c r="B2232" t="inlineStr">
        <is>
          <t>SRH Total Return Fund, Inc.</t>
        </is>
      </c>
      <c r="C2232" t="inlineStr">
        <is>
          <t>NYSE</t>
        </is>
      </c>
      <c r="D2232" t="n">
        <v>102426</v>
      </c>
      <c r="E2232" t="inlineStr">
        <is>
          <t>SEC</t>
        </is>
      </c>
    </row>
    <row r="2233">
      <c r="A2233" s="5">
        <f>HYPERLINK("https://finance.yahoo.com/quote/MDCOY","MDCOY")</f>
        <v/>
      </c>
      <c r="B2233" t="inlineStr">
        <is>
          <t>PT Medco Energi Internasional Tbk/ADR</t>
        </is>
      </c>
      <c r="C2233" t="inlineStr">
        <is>
          <t>OTC</t>
        </is>
      </c>
      <c r="D2233" t="n">
        <v>2094100</v>
      </c>
      <c r="E2233" t="inlineStr">
        <is>
          <t>SEC</t>
        </is>
      </c>
    </row>
    <row r="2234">
      <c r="A2234" s="5">
        <f>HYPERLINK("https://finance.yahoo.com/quote/ARDT","ARDT")</f>
        <v/>
      </c>
      <c r="B2234" t="inlineStr">
        <is>
          <t>Ardent Health, Inc.</t>
        </is>
      </c>
      <c r="C2234" t="inlineStr">
        <is>
          <t>NYSE</t>
        </is>
      </c>
      <c r="D2234" t="n">
        <v>1756655</v>
      </c>
      <c r="E2234" t="inlineStr">
        <is>
          <t>SEC</t>
        </is>
      </c>
    </row>
    <row r="2235">
      <c r="A2235" s="5">
        <f>HYPERLINK("https://finance.yahoo.com/quote/EZPW","EZPW")</f>
        <v/>
      </c>
      <c r="B2235" t="inlineStr">
        <is>
          <t>EZCORP INC</t>
        </is>
      </c>
      <c r="C2235" t="inlineStr">
        <is>
          <t>Nasdaq</t>
        </is>
      </c>
      <c r="D2235" t="n">
        <v>876523</v>
      </c>
      <c r="E2235" t="inlineStr">
        <is>
          <t>SEC</t>
        </is>
      </c>
    </row>
    <row r="2236">
      <c r="A2236" s="5">
        <f>HYPERLINK("https://finance.yahoo.com/quote/GEL","GEL")</f>
        <v/>
      </c>
      <c r="B2236" t="inlineStr">
        <is>
          <t>GENESIS ENERGY LP</t>
        </is>
      </c>
      <c r="C2236" t="inlineStr">
        <is>
          <t>NYSE</t>
        </is>
      </c>
      <c r="D2236" t="n">
        <v>1022321</v>
      </c>
      <c r="E2236" t="inlineStr">
        <is>
          <t>SEC</t>
        </is>
      </c>
    </row>
    <row r="2237">
      <c r="A2237" s="5">
        <f>HYPERLINK("https://finance.yahoo.com/quote/WLTH","WLTH")</f>
        <v/>
      </c>
      <c r="B2237" t="inlineStr">
        <is>
          <t>WEALTHFRONT CORP</t>
        </is>
      </c>
      <c r="C2237" t="inlineStr">
        <is>
          <t>Nasdaq</t>
        </is>
      </c>
      <c r="D2237" t="n">
        <v>1524566</v>
      </c>
      <c r="E2237" t="inlineStr">
        <is>
          <t>SEC</t>
        </is>
      </c>
    </row>
    <row r="2238">
      <c r="A2238" s="5">
        <f>HYPERLINK("https://finance.yahoo.com/quote/GSHD","GSHD")</f>
        <v/>
      </c>
      <c r="B2238" t="inlineStr">
        <is>
          <t>Goosehead Insurance, Inc.</t>
        </is>
      </c>
      <c r="C2238" t="inlineStr">
        <is>
          <t>Nasdaq</t>
        </is>
      </c>
      <c r="D2238" t="n">
        <v>1726978</v>
      </c>
      <c r="E2238" t="inlineStr">
        <is>
          <t>SEC</t>
        </is>
      </c>
    </row>
    <row r="2239">
      <c r="A2239" s="5">
        <f>HYPERLINK("https://finance.yahoo.com/quote/ATEC","ATEC")</f>
        <v/>
      </c>
      <c r="B2239" t="inlineStr">
        <is>
          <t>Alphatec Holdings, Inc.</t>
        </is>
      </c>
      <c r="C2239" t="inlineStr">
        <is>
          <t>Nasdaq</t>
        </is>
      </c>
      <c r="D2239" t="n">
        <v>1350653</v>
      </c>
      <c r="E2239" t="inlineStr">
        <is>
          <t>SEC</t>
        </is>
      </c>
    </row>
    <row r="2240">
      <c r="A2240" s="5">
        <f>HYPERLINK("https://finance.yahoo.com/quote/MAZE","MAZE")</f>
        <v/>
      </c>
      <c r="B2240" t="inlineStr">
        <is>
          <t>Maze Therapeutics, Inc.</t>
        </is>
      </c>
      <c r="C2240" t="inlineStr">
        <is>
          <t>Nasdaq</t>
        </is>
      </c>
      <c r="D2240" t="n">
        <v>1842295</v>
      </c>
      <c r="E2240" t="inlineStr">
        <is>
          <t>SEC</t>
        </is>
      </c>
    </row>
    <row r="2241">
      <c r="A2241" s="5">
        <f>HYPERLINK("https://finance.yahoo.com/quote/AADX","AADX")</f>
        <v/>
      </c>
      <c r="B2241" t="inlineStr">
        <is>
          <t>Applied Aerospace &amp; Defense, Inc.</t>
        </is>
      </c>
      <c r="C2241" t="inlineStr">
        <is>
          <t>NYSE</t>
        </is>
      </c>
      <c r="D2241" t="n">
        <v>2118195</v>
      </c>
      <c r="E2241" t="inlineStr">
        <is>
          <t>SEC</t>
        </is>
      </c>
    </row>
    <row r="2242">
      <c r="A2242" s="5">
        <f>HYPERLINK("https://finance.yahoo.com/quote/WERN","WERN")</f>
        <v/>
      </c>
      <c r="B2242" t="inlineStr">
        <is>
          <t>WERNER ENTERPRISES INC</t>
        </is>
      </c>
      <c r="C2242" t="inlineStr">
        <is>
          <t>Nasdaq</t>
        </is>
      </c>
      <c r="D2242" t="n">
        <v>793074</v>
      </c>
      <c r="E2242" t="inlineStr">
        <is>
          <t>SEC</t>
        </is>
      </c>
    </row>
    <row r="2243">
      <c r="A2243" s="5">
        <f>HYPERLINK("https://finance.yahoo.com/quote/NVCR","NVCR")</f>
        <v/>
      </c>
      <c r="B2243" t="inlineStr">
        <is>
          <t>NovoCure Ltd</t>
        </is>
      </c>
      <c r="C2243" t="inlineStr">
        <is>
          <t>Nasdaq</t>
        </is>
      </c>
      <c r="D2243" t="n">
        <v>1645113</v>
      </c>
      <c r="E2243" t="inlineStr">
        <is>
          <t>SEC</t>
        </is>
      </c>
    </row>
    <row r="2244">
      <c r="A2244" s="5">
        <f>HYPERLINK("https://finance.yahoo.com/quote/NBHC","NBHC")</f>
        <v/>
      </c>
      <c r="B2244" t="inlineStr">
        <is>
          <t>National Bank Holdings Corp</t>
        </is>
      </c>
      <c r="C2244" t="inlineStr">
        <is>
          <t>NYSE</t>
        </is>
      </c>
      <c r="D2244" t="n">
        <v>1475841</v>
      </c>
      <c r="E2244" t="inlineStr">
        <is>
          <t>SEC</t>
        </is>
      </c>
    </row>
    <row r="2245">
      <c r="A2245" s="5">
        <f>HYPERLINK("https://finance.yahoo.com/quote/BRSL","BRSL")</f>
        <v/>
      </c>
      <c r="B2245" t="inlineStr">
        <is>
          <t>Brightstar Lottery PLC</t>
        </is>
      </c>
      <c r="C2245" t="inlineStr">
        <is>
          <t>NYSE</t>
        </is>
      </c>
      <c r="D2245" t="n">
        <v>1619762</v>
      </c>
      <c r="E2245" t="inlineStr">
        <is>
          <t>SEC</t>
        </is>
      </c>
    </row>
    <row r="2246">
      <c r="A2246" s="5">
        <f>HYPERLINK("https://finance.yahoo.com/quote/LUNR","LUNR")</f>
        <v/>
      </c>
      <c r="B2246" t="inlineStr">
        <is>
          <t>Intuitive Machines, Inc.</t>
        </is>
      </c>
      <c r="C2246" t="inlineStr">
        <is>
          <t>Nasdaq</t>
        </is>
      </c>
      <c r="D2246" t="n">
        <v>1844452</v>
      </c>
      <c r="E2246" t="inlineStr">
        <is>
          <t>SEC</t>
        </is>
      </c>
    </row>
    <row r="2247">
      <c r="A2247" s="5">
        <f>HYPERLINK("https://finance.yahoo.com/quote/NUV","NUV")</f>
        <v/>
      </c>
      <c r="B2247" t="inlineStr">
        <is>
          <t>NUVEEN MUNICIPAL VALUE FUND INC</t>
        </is>
      </c>
      <c r="C2247" t="inlineStr">
        <is>
          <t>NYSE</t>
        </is>
      </c>
      <c r="D2247" t="n">
        <v>812801</v>
      </c>
      <c r="E2247" t="inlineStr">
        <is>
          <t>SEC</t>
        </is>
      </c>
    </row>
    <row r="2248">
      <c r="A2248" s="5">
        <f>HYPERLINK("https://finance.yahoo.com/quote/HCSG","HCSG")</f>
        <v/>
      </c>
      <c r="B2248" t="inlineStr">
        <is>
          <t>HEALTHCARE SERVICES GROUP INC</t>
        </is>
      </c>
      <c r="C2248" t="inlineStr">
        <is>
          <t>Nasdaq</t>
        </is>
      </c>
      <c r="D2248" t="n">
        <v>731012</v>
      </c>
      <c r="E2248" t="inlineStr">
        <is>
          <t>SEC</t>
        </is>
      </c>
    </row>
    <row r="2249">
      <c r="A2249" s="5">
        <f>HYPERLINK("https://finance.yahoo.com/quote/ALKT","ALKT")</f>
        <v/>
      </c>
      <c r="B2249" t="inlineStr">
        <is>
          <t>ALKAMI TECHNOLOGY, INC.</t>
        </is>
      </c>
      <c r="C2249" t="inlineStr">
        <is>
          <t>Nasdaq</t>
        </is>
      </c>
      <c r="D2249" t="n">
        <v>1529274</v>
      </c>
      <c r="E2249" t="inlineStr">
        <is>
          <t>SEC</t>
        </is>
      </c>
    </row>
    <row r="2250">
      <c r="A2250" s="5">
        <f>HYPERLINK("https://finance.yahoo.com/quote/KOS","KOS")</f>
        <v/>
      </c>
      <c r="B2250" t="inlineStr">
        <is>
          <t>Kosmos Energy Ltd.</t>
        </is>
      </c>
      <c r="C2250" t="inlineStr">
        <is>
          <t>NYSE</t>
        </is>
      </c>
      <c r="D2250" t="n">
        <v>1509991</v>
      </c>
      <c r="E2250" t="inlineStr">
        <is>
          <t>SEC</t>
        </is>
      </c>
    </row>
    <row r="2251">
      <c r="A2251" s="5">
        <f>HYPERLINK("https://finance.yahoo.com/quote/OMCL","OMCL")</f>
        <v/>
      </c>
      <c r="B2251" t="inlineStr">
        <is>
          <t>OMNICELL, INC.</t>
        </is>
      </c>
      <c r="C2251" t="inlineStr">
        <is>
          <t>Nasdaq</t>
        </is>
      </c>
      <c r="D2251" t="n">
        <v>926326</v>
      </c>
      <c r="E2251" t="inlineStr">
        <is>
          <t>SEC</t>
        </is>
      </c>
    </row>
    <row r="2252">
      <c r="A2252" s="5">
        <f>HYPERLINK("https://finance.yahoo.com/quote/KMPR","KMPR")</f>
        <v/>
      </c>
      <c r="B2252" t="inlineStr">
        <is>
          <t>KEMPER Corp</t>
        </is>
      </c>
      <c r="C2252" t="inlineStr">
        <is>
          <t>NYSE</t>
        </is>
      </c>
      <c r="D2252" t="n">
        <v>860748</v>
      </c>
      <c r="E2252" t="inlineStr">
        <is>
          <t>SEC</t>
        </is>
      </c>
    </row>
    <row r="2253">
      <c r="A2253" s="5">
        <f>HYPERLINK("https://finance.yahoo.com/quote/KMTS","KMTS")</f>
        <v/>
      </c>
      <c r="B2253" t="inlineStr">
        <is>
          <t>KESTRA MEDICAL TECHNOLOGIES, LTD.</t>
        </is>
      </c>
      <c r="C2253" t="inlineStr">
        <is>
          <t>Nasdaq</t>
        </is>
      </c>
      <c r="D2253" t="n">
        <v>1877184</v>
      </c>
      <c r="E2253" t="inlineStr">
        <is>
          <t>SEC</t>
        </is>
      </c>
    </row>
    <row r="2254">
      <c r="A2254" s="5">
        <f>HYPERLINK("https://finance.yahoo.com/quote/QCRH","QCRH")</f>
        <v/>
      </c>
      <c r="B2254" t="inlineStr">
        <is>
          <t>QCR HOLDINGS INC</t>
        </is>
      </c>
      <c r="C2254" t="inlineStr">
        <is>
          <t>Nasdaq</t>
        </is>
      </c>
      <c r="D2254" t="n">
        <v>906465</v>
      </c>
      <c r="E2254" t="inlineStr">
        <is>
          <t>SEC</t>
        </is>
      </c>
    </row>
    <row r="2255">
      <c r="A2255" s="5">
        <f>HYPERLINK("https://finance.yahoo.com/quote/IQMX","IQMX")</f>
        <v/>
      </c>
      <c r="B2255" t="inlineStr">
        <is>
          <t>IQM Quantum Computers Oyj</t>
        </is>
      </c>
      <c r="C2255" t="inlineStr">
        <is>
          <t>Nasdaq</t>
        </is>
      </c>
      <c r="D2255" t="n">
        <v>2113060</v>
      </c>
      <c r="E2255" t="inlineStr">
        <is>
          <t>SEC</t>
        </is>
      </c>
    </row>
    <row r="2256">
      <c r="A2256" s="5">
        <f>HYPERLINK("https://finance.yahoo.com/quote/GIC","GIC")</f>
        <v/>
      </c>
      <c r="B2256" t="inlineStr">
        <is>
          <t>GLOBAL INDUSTRIAL Co</t>
        </is>
      </c>
      <c r="C2256" t="inlineStr">
        <is>
          <t>NYSE</t>
        </is>
      </c>
      <c r="D2256" t="n">
        <v>945114</v>
      </c>
      <c r="E2256" t="inlineStr">
        <is>
          <t>SEC</t>
        </is>
      </c>
    </row>
    <row r="2257">
      <c r="A2257" s="5">
        <f>HYPERLINK("https://finance.yahoo.com/quote/ARCO","ARCO")</f>
        <v/>
      </c>
      <c r="B2257" t="inlineStr">
        <is>
          <t>Arcos Dorados Holdings Inc.</t>
        </is>
      </c>
      <c r="C2257" t="inlineStr">
        <is>
          <t>NYSE</t>
        </is>
      </c>
      <c r="D2257" t="n">
        <v>1508478</v>
      </c>
      <c r="E2257" t="inlineStr">
        <is>
          <t>SEC</t>
        </is>
      </c>
    </row>
    <row r="2258">
      <c r="A2258" s="5">
        <f>HYPERLINK("https://finance.yahoo.com/quote/TGLS","TGLS")</f>
        <v/>
      </c>
      <c r="B2258" t="inlineStr">
        <is>
          <t>Tecnoglass Holdings Inc.</t>
        </is>
      </c>
      <c r="C2258" t="inlineStr">
        <is>
          <t>NYSE</t>
        </is>
      </c>
      <c r="D2258" t="n">
        <v>1534675</v>
      </c>
      <c r="E2258" t="inlineStr">
        <is>
          <t>SEC</t>
        </is>
      </c>
    </row>
    <row r="2259">
      <c r="A2259" s="5">
        <f>HYPERLINK("https://finance.yahoo.com/quote/ETV","ETV")</f>
        <v/>
      </c>
      <c r="B2259" t="inlineStr">
        <is>
          <t>Eaton Vance Tax-Managed Buy-Write Opportunities Fund</t>
        </is>
      </c>
      <c r="C2259" t="inlineStr">
        <is>
          <t>NYSE</t>
        </is>
      </c>
      <c r="D2259" t="n">
        <v>1322436</v>
      </c>
      <c r="E2259" t="inlineStr">
        <is>
          <t>SEC</t>
        </is>
      </c>
    </row>
    <row r="2260">
      <c r="A2260" s="5">
        <f>HYPERLINK("https://finance.yahoo.com/quote/PSNL","PSNL")</f>
        <v/>
      </c>
      <c r="B2260" t="inlineStr">
        <is>
          <t>Personalis, Inc.</t>
        </is>
      </c>
      <c r="C2260" t="inlineStr">
        <is>
          <t>Nasdaq</t>
        </is>
      </c>
      <c r="D2260" t="n">
        <v>1527753</v>
      </c>
      <c r="E2260" t="inlineStr">
        <is>
          <t>SEC</t>
        </is>
      </c>
    </row>
    <row r="2261">
      <c r="A2261" s="5">
        <f>HYPERLINK("https://finance.yahoo.com/quote/ICFI","ICFI")</f>
        <v/>
      </c>
      <c r="B2261" t="inlineStr">
        <is>
          <t>ICF International, Inc.</t>
        </is>
      </c>
      <c r="C2261" t="inlineStr">
        <is>
          <t>Nasdaq</t>
        </is>
      </c>
      <c r="D2261" t="n">
        <v>1362004</v>
      </c>
      <c r="E2261" t="inlineStr">
        <is>
          <t>SEC</t>
        </is>
      </c>
    </row>
    <row r="2262">
      <c r="A2262" s="5">
        <f>HYPERLINK("https://finance.yahoo.com/quote/PDO","PDO")</f>
        <v/>
      </c>
      <c r="B2262" t="inlineStr">
        <is>
          <t>PIMCO Dynamic Income Opportunities Fund</t>
        </is>
      </c>
      <c r="C2262" t="inlineStr">
        <is>
          <t>NYSE</t>
        </is>
      </c>
      <c r="D2262" t="n">
        <v>1798618</v>
      </c>
      <c r="E2262" t="inlineStr">
        <is>
          <t>SEC</t>
        </is>
      </c>
    </row>
    <row r="2263">
      <c r="A2263" s="5">
        <f>HYPERLINK("https://finance.yahoo.com/quote/GENI","GENI")</f>
        <v/>
      </c>
      <c r="B2263" t="inlineStr">
        <is>
          <t>Genius Sports Ltd</t>
        </is>
      </c>
      <c r="C2263" t="inlineStr">
        <is>
          <t>NYSE</t>
        </is>
      </c>
      <c r="D2263" t="n">
        <v>1834489</v>
      </c>
      <c r="E2263" t="inlineStr">
        <is>
          <t>SEC</t>
        </is>
      </c>
    </row>
    <row r="2264">
      <c r="A2264" s="5">
        <f>HYPERLINK("https://finance.yahoo.com/quote/CMRE","CMRE")</f>
        <v/>
      </c>
      <c r="B2264" t="inlineStr">
        <is>
          <t>Costamare Inc.</t>
        </is>
      </c>
      <c r="C2264" t="inlineStr">
        <is>
          <t>NYSE</t>
        </is>
      </c>
      <c r="D2264" t="n">
        <v>1503584</v>
      </c>
      <c r="E2264" t="inlineStr">
        <is>
          <t>SEC</t>
        </is>
      </c>
    </row>
    <row r="2265">
      <c r="A2265" s="5">
        <f>HYPERLINK("https://finance.yahoo.com/quote/TCBK","TCBK")</f>
        <v/>
      </c>
      <c r="B2265" t="inlineStr">
        <is>
          <t>TRICO BANCSHARES /</t>
        </is>
      </c>
      <c r="C2265" t="inlineStr">
        <is>
          <t>Nasdaq</t>
        </is>
      </c>
      <c r="D2265" t="n">
        <v>356171</v>
      </c>
      <c r="E2265" t="inlineStr">
        <is>
          <t>SEC</t>
        </is>
      </c>
    </row>
    <row r="2266">
      <c r="A2266" s="5">
        <f>HYPERLINK("https://finance.yahoo.com/quote/NN","NN")</f>
        <v/>
      </c>
      <c r="B2266" t="inlineStr">
        <is>
          <t>NEXTNAV INC.</t>
        </is>
      </c>
      <c r="C2266" t="inlineStr">
        <is>
          <t>Nasdaq</t>
        </is>
      </c>
      <c r="D2266" t="n">
        <v>1865631</v>
      </c>
      <c r="E2266" t="inlineStr">
        <is>
          <t>SEC</t>
        </is>
      </c>
    </row>
    <row r="2267">
      <c r="A2267" s="5">
        <f>HYPERLINK("https://finance.yahoo.com/quote/NEXT","NEXT")</f>
        <v/>
      </c>
      <c r="B2267" t="inlineStr">
        <is>
          <t>NextDecade Corp</t>
        </is>
      </c>
      <c r="C2267" t="inlineStr">
        <is>
          <t>Nasdaq</t>
        </is>
      </c>
      <c r="D2267" t="n">
        <v>1612720</v>
      </c>
      <c r="E2267" t="inlineStr">
        <is>
          <t>SEC</t>
        </is>
      </c>
    </row>
    <row r="2268">
      <c r="A2268" s="5">
        <f>HYPERLINK("https://finance.yahoo.com/quote/BDJ","BDJ")</f>
        <v/>
      </c>
      <c r="B2268" t="inlineStr">
        <is>
          <t>BlackRock Enhanced Equity Dividend Trust</t>
        </is>
      </c>
      <c r="C2268" t="inlineStr">
        <is>
          <t>NYSE</t>
        </is>
      </c>
      <c r="D2268" t="n">
        <v>1332283</v>
      </c>
      <c r="E2268" t="inlineStr">
        <is>
          <t>SEC</t>
        </is>
      </c>
    </row>
    <row r="2269">
      <c r="A2269" s="5">
        <f>HYPERLINK("https://finance.yahoo.com/quote/NOMD","NOMD")</f>
        <v/>
      </c>
      <c r="B2269" t="inlineStr">
        <is>
          <t>Nomad Foods Ltd</t>
        </is>
      </c>
      <c r="C2269" t="inlineStr">
        <is>
          <t>NYSE</t>
        </is>
      </c>
      <c r="D2269" t="n">
        <v>1651717</v>
      </c>
      <c r="E2269" t="inlineStr">
        <is>
          <t>SEC</t>
        </is>
      </c>
    </row>
    <row r="2270">
      <c r="A2270" s="5">
        <f>HYPERLINK("https://finance.yahoo.com/quote/URGN","URGN")</f>
        <v/>
      </c>
      <c r="B2270" t="inlineStr">
        <is>
          <t>UroGen Pharma Ltd.</t>
        </is>
      </c>
      <c r="C2270" t="inlineStr">
        <is>
          <t>Nasdaq</t>
        </is>
      </c>
      <c r="D2270" t="n">
        <v>1668243</v>
      </c>
      <c r="E2270" t="inlineStr">
        <is>
          <t>SEC</t>
        </is>
      </c>
    </row>
    <row r="2271">
      <c r="A2271" s="5">
        <f>HYPERLINK("https://finance.yahoo.com/quote/GFR","GFR")</f>
        <v/>
      </c>
      <c r="B2271" t="inlineStr">
        <is>
          <t>Greenfire Resources Ltd.</t>
        </is>
      </c>
      <c r="C2271" t="inlineStr">
        <is>
          <t>NYSE</t>
        </is>
      </c>
      <c r="D2271" t="n">
        <v>1966287</v>
      </c>
      <c r="E2271" t="inlineStr">
        <is>
          <t>SEC</t>
        </is>
      </c>
    </row>
    <row r="2272">
      <c r="A2272" s="5">
        <f>HYPERLINK("https://finance.yahoo.com/quote/WWW","WWW")</f>
        <v/>
      </c>
      <c r="B2272" t="inlineStr">
        <is>
          <t>WOLVERINE WORLD WIDE INC /DE/</t>
        </is>
      </c>
      <c r="C2272" t="inlineStr">
        <is>
          <t>NYSE</t>
        </is>
      </c>
      <c r="D2272" t="n">
        <v>110471</v>
      </c>
      <c r="E2272" t="inlineStr">
        <is>
          <t>SEC</t>
        </is>
      </c>
    </row>
    <row r="2273">
      <c r="A2273" s="5">
        <f>HYPERLINK("https://finance.yahoo.com/quote/KLRA","KLRA")</f>
        <v/>
      </c>
      <c r="B2273" t="inlineStr">
        <is>
          <t>Kailera Therapeutics, Inc.</t>
        </is>
      </c>
      <c r="C2273" t="inlineStr">
        <is>
          <t>Nasdaq</t>
        </is>
      </c>
      <c r="D2273" t="n">
        <v>2096997</v>
      </c>
      <c r="E2273" t="inlineStr">
        <is>
          <t>SEC</t>
        </is>
      </c>
    </row>
    <row r="2274">
      <c r="A2274" s="5">
        <f>HYPERLINK("https://finance.yahoo.com/quote/LIME","LIME")</f>
        <v/>
      </c>
      <c r="B2274" t="inlineStr">
        <is>
          <t>Neutron Holdings, Inc.</t>
        </is>
      </c>
      <c r="C2274" t="inlineStr">
        <is>
          <t>Nasdaq</t>
        </is>
      </c>
      <c r="D2274" t="n">
        <v>1699963</v>
      </c>
      <c r="E2274" t="inlineStr">
        <is>
          <t>SEC</t>
        </is>
      </c>
    </row>
    <row r="2275">
      <c r="A2275" s="5">
        <f>HYPERLINK("https://finance.yahoo.com/quote/ANIP","ANIP")</f>
        <v/>
      </c>
      <c r="B2275" t="inlineStr">
        <is>
          <t>ANI PHARMACEUTICALS INC</t>
        </is>
      </c>
      <c r="C2275" t="inlineStr">
        <is>
          <t>Nasdaq</t>
        </is>
      </c>
      <c r="D2275" t="n">
        <v>1023024</v>
      </c>
      <c r="E2275" t="inlineStr">
        <is>
          <t>SEC</t>
        </is>
      </c>
    </row>
    <row r="2276">
      <c r="A2276" s="5">
        <f>HYPERLINK("https://finance.yahoo.com/quote/FRMI","FRMI")</f>
        <v/>
      </c>
      <c r="B2276" t="inlineStr">
        <is>
          <t>Fermi Inc.</t>
        </is>
      </c>
      <c r="C2276" t="inlineStr">
        <is>
          <t>Nasdaq</t>
        </is>
      </c>
      <c r="D2276" t="n">
        <v>2071778</v>
      </c>
      <c r="E2276" t="inlineStr">
        <is>
          <t>SEC</t>
        </is>
      </c>
    </row>
    <row r="2277">
      <c r="A2277" s="5">
        <f>HYPERLINK("https://finance.yahoo.com/quote/GNL","GNL")</f>
        <v/>
      </c>
      <c r="B2277" t="inlineStr">
        <is>
          <t>Global Net Lease, Inc.</t>
        </is>
      </c>
      <c r="C2277" t="inlineStr">
        <is>
          <t>NYSE</t>
        </is>
      </c>
      <c r="D2277" t="n">
        <v>1526113</v>
      </c>
      <c r="E2277" t="inlineStr">
        <is>
          <t>SEC</t>
        </is>
      </c>
    </row>
    <row r="2278">
      <c r="A2278" s="5">
        <f>HYPERLINK("https://finance.yahoo.com/quote/PLAB","PLAB")</f>
        <v/>
      </c>
      <c r="B2278" t="inlineStr">
        <is>
          <t>PHOTRONICS INC</t>
        </is>
      </c>
      <c r="C2278" t="inlineStr">
        <is>
          <t>Nasdaq</t>
        </is>
      </c>
      <c r="D2278" t="n">
        <v>810136</v>
      </c>
      <c r="E2278" t="inlineStr">
        <is>
          <t>SEC</t>
        </is>
      </c>
    </row>
    <row r="2279">
      <c r="A2279" s="5">
        <f>HYPERLINK("https://finance.yahoo.com/quote/SBET","SBET")</f>
        <v/>
      </c>
      <c r="B2279" t="inlineStr">
        <is>
          <t>Sharplink, Inc.</t>
        </is>
      </c>
      <c r="C2279" t="inlineStr">
        <is>
          <t>Nasdaq</t>
        </is>
      </c>
      <c r="D2279" t="n">
        <v>1981535</v>
      </c>
      <c r="E2279" t="inlineStr">
        <is>
          <t>SEC</t>
        </is>
      </c>
    </row>
    <row r="2280">
      <c r="A2280" s="5">
        <f>HYPERLINK("https://finance.yahoo.com/quote/ALHC","ALHC")</f>
        <v/>
      </c>
      <c r="B2280" t="inlineStr">
        <is>
          <t>Alignment Healthcare, Inc.</t>
        </is>
      </c>
      <c r="C2280" t="inlineStr">
        <is>
          <t>Nasdaq</t>
        </is>
      </c>
      <c r="D2280" t="n">
        <v>1832466</v>
      </c>
      <c r="E2280" t="inlineStr">
        <is>
          <t>SEC</t>
        </is>
      </c>
    </row>
    <row r="2281">
      <c r="A2281" s="5">
        <f>HYPERLINK("https://finance.yahoo.com/quote/PDFS","PDFS")</f>
        <v/>
      </c>
      <c r="B2281" t="inlineStr">
        <is>
          <t>PDF SOLUTIONS INC</t>
        </is>
      </c>
      <c r="C2281" t="inlineStr">
        <is>
          <t>Nasdaq</t>
        </is>
      </c>
      <c r="D2281" t="n">
        <v>1120914</v>
      </c>
      <c r="E2281" t="inlineStr">
        <is>
          <t>SEC</t>
        </is>
      </c>
    </row>
    <row r="2282">
      <c r="A2282" s="5">
        <f>HYPERLINK("https://finance.yahoo.com/quote/IMKTA","IMKTA")</f>
        <v/>
      </c>
      <c r="B2282" t="inlineStr">
        <is>
          <t>INGLES MARKETS INC</t>
        </is>
      </c>
      <c r="C2282" t="inlineStr">
        <is>
          <t>Nasdaq</t>
        </is>
      </c>
      <c r="D2282" t="n">
        <v>50493</v>
      </c>
      <c r="E2282" t="inlineStr">
        <is>
          <t>SEC</t>
        </is>
      </c>
    </row>
    <row r="2283">
      <c r="A2283" s="5">
        <f>HYPERLINK("https://finance.yahoo.com/quote/NAT","NAT")</f>
        <v/>
      </c>
      <c r="B2283" t="inlineStr">
        <is>
          <t>NORDIC AMERICAN TANKERS Ltd</t>
        </is>
      </c>
      <c r="C2283" t="inlineStr">
        <is>
          <t>NYSE</t>
        </is>
      </c>
      <c r="D2283" t="n">
        <v>1000177</v>
      </c>
      <c r="E2283" t="inlineStr">
        <is>
          <t>SEC</t>
        </is>
      </c>
    </row>
    <row r="2284">
      <c r="A2284" s="5">
        <f>HYPERLINK("https://finance.yahoo.com/quote/SXGCF","SXGCF")</f>
        <v/>
      </c>
      <c r="B2284" t="inlineStr">
        <is>
          <t>Southern Cross Gold Consolidated Ltd.</t>
        </is>
      </c>
      <c r="C2284" t="inlineStr">
        <is>
          <t>OTC</t>
        </is>
      </c>
      <c r="D2284" t="n">
        <v>1622629</v>
      </c>
      <c r="E2284" t="inlineStr">
        <is>
          <t>SEC</t>
        </is>
      </c>
    </row>
    <row r="2285">
      <c r="A2285" s="5">
        <f>HYPERLINK("https://finance.yahoo.com/quote/CNOB","CNOB")</f>
        <v/>
      </c>
      <c r="B2285" t="inlineStr">
        <is>
          <t>ConnectOne Bancorp, Inc.</t>
        </is>
      </c>
      <c r="C2285" t="inlineStr">
        <is>
          <t>Nasdaq</t>
        </is>
      </c>
      <c r="D2285" t="n">
        <v>712771</v>
      </c>
      <c r="E2285" t="inlineStr">
        <is>
          <t>SEC</t>
        </is>
      </c>
    </row>
    <row r="2286">
      <c r="A2286" s="5">
        <f>HYPERLINK("https://finance.yahoo.com/quote/AAT","AAT")</f>
        <v/>
      </c>
      <c r="B2286" t="inlineStr">
        <is>
          <t>American Assets Trust, Inc.</t>
        </is>
      </c>
      <c r="C2286" t="inlineStr">
        <is>
          <t>NYSE</t>
        </is>
      </c>
      <c r="D2286" t="n">
        <v>1500217</v>
      </c>
      <c r="E2286" t="inlineStr">
        <is>
          <t>SEC</t>
        </is>
      </c>
    </row>
    <row r="2287">
      <c r="A2287" s="5">
        <f>HYPERLINK("https://finance.yahoo.com/quote/CCS","CCS")</f>
        <v/>
      </c>
      <c r="B2287" t="inlineStr">
        <is>
          <t>Century Communities, Inc.</t>
        </is>
      </c>
      <c r="C2287" t="inlineStr">
        <is>
          <t>NYSE</t>
        </is>
      </c>
      <c r="D2287" t="n">
        <v>1576940</v>
      </c>
      <c r="E2287" t="inlineStr">
        <is>
          <t>SEC</t>
        </is>
      </c>
    </row>
    <row r="2288">
      <c r="A2288" s="5">
        <f>HYPERLINK("https://finance.yahoo.com/quote/ALVO","ALVO")</f>
        <v/>
      </c>
      <c r="B2288" t="inlineStr">
        <is>
          <t>Alvotech</t>
        </is>
      </c>
      <c r="C2288" t="inlineStr">
        <is>
          <t>Nasdaq</t>
        </is>
      </c>
      <c r="D2288" t="n">
        <v>1898416</v>
      </c>
      <c r="E2288" t="inlineStr">
        <is>
          <t>SEC</t>
        </is>
      </c>
    </row>
    <row r="2289">
      <c r="A2289" s="5">
        <f>HYPERLINK("https://finance.yahoo.com/quote/BFC","BFC")</f>
        <v/>
      </c>
      <c r="B2289" t="inlineStr">
        <is>
          <t>Bank First Corp</t>
        </is>
      </c>
      <c r="C2289" t="inlineStr">
        <is>
          <t>Nasdaq</t>
        </is>
      </c>
      <c r="D2289" t="n">
        <v>1746109</v>
      </c>
      <c r="E2289" t="inlineStr">
        <is>
          <t>SEC</t>
        </is>
      </c>
    </row>
    <row r="2290">
      <c r="A2290" s="5">
        <f>HYPERLINK("https://finance.yahoo.com/quote/GLP","GLP")</f>
        <v/>
      </c>
      <c r="B2290" t="inlineStr">
        <is>
          <t>GLOBAL PARTNERS LP</t>
        </is>
      </c>
      <c r="C2290" t="inlineStr">
        <is>
          <t>NYSE</t>
        </is>
      </c>
      <c r="D2290" t="n">
        <v>1323468</v>
      </c>
      <c r="E2290" t="inlineStr">
        <is>
          <t>SEC</t>
        </is>
      </c>
    </row>
    <row r="2291">
      <c r="A2291" s="5">
        <f>HYPERLINK("https://finance.yahoo.com/quote/ARHS","ARHS")</f>
        <v/>
      </c>
      <c r="B2291" t="inlineStr">
        <is>
          <t>Arhaus, Inc.</t>
        </is>
      </c>
      <c r="C2291" t="inlineStr">
        <is>
          <t>Nasdaq</t>
        </is>
      </c>
      <c r="D2291" t="n">
        <v>1875444</v>
      </c>
      <c r="E2291" t="inlineStr">
        <is>
          <t>SEC</t>
        </is>
      </c>
    </row>
    <row r="2292">
      <c r="A2292" s="5">
        <f>HYPERLINK("https://finance.yahoo.com/quote/PLPC","PLPC")</f>
        <v/>
      </c>
      <c r="B2292" t="inlineStr">
        <is>
          <t>PREFORMED LINE PRODUCTS CO</t>
        </is>
      </c>
      <c r="C2292" t="inlineStr">
        <is>
          <t>Nasdaq</t>
        </is>
      </c>
      <c r="D2292" t="n">
        <v>80035</v>
      </c>
      <c r="E2292" t="inlineStr">
        <is>
          <t>SEC</t>
        </is>
      </c>
    </row>
    <row r="2293">
      <c r="A2293" s="5">
        <f>HYPERLINK("https://finance.yahoo.com/quote/TSLX","TSLX")</f>
        <v/>
      </c>
      <c r="B2293" t="inlineStr">
        <is>
          <t>Sixth Street Specialty Lending, Inc.</t>
        </is>
      </c>
      <c r="C2293" t="inlineStr">
        <is>
          <t>NYSE</t>
        </is>
      </c>
      <c r="D2293" t="n">
        <v>1508655</v>
      </c>
      <c r="E2293" t="inlineStr">
        <is>
          <t>SEC</t>
        </is>
      </c>
    </row>
    <row r="2294">
      <c r="A2294" s="5">
        <f>HYPERLINK("https://finance.yahoo.com/quote/SNDA","SNDA")</f>
        <v/>
      </c>
      <c r="B2294" t="inlineStr">
        <is>
          <t>SONIDA SENIOR LIVING, INC.</t>
        </is>
      </c>
      <c r="C2294" t="inlineStr">
        <is>
          <t>NYSE</t>
        </is>
      </c>
      <c r="D2294" t="n">
        <v>1043000</v>
      </c>
      <c r="E2294" t="inlineStr">
        <is>
          <t>SEC</t>
        </is>
      </c>
    </row>
    <row r="2295">
      <c r="A2295" s="5">
        <f>HYPERLINK("https://finance.yahoo.com/quote/LOB","LOB")</f>
        <v/>
      </c>
      <c r="B2295" t="inlineStr">
        <is>
          <t>Live Oak Bancshares, Inc.</t>
        </is>
      </c>
      <c r="C2295" t="inlineStr">
        <is>
          <t>NYSE</t>
        </is>
      </c>
      <c r="D2295" t="n">
        <v>1462120</v>
      </c>
      <c r="E2295" t="inlineStr">
        <is>
          <t>SEC</t>
        </is>
      </c>
    </row>
    <row r="2296">
      <c r="A2296" s="5">
        <f>HYPERLINK("https://finance.yahoo.com/quote/OBK","OBK")</f>
        <v/>
      </c>
      <c r="B2296" t="inlineStr">
        <is>
          <t>Origin Bancorp, Inc.</t>
        </is>
      </c>
      <c r="C2296" t="inlineStr">
        <is>
          <t>TXSE</t>
        </is>
      </c>
      <c r="D2296" t="n">
        <v>1516912</v>
      </c>
      <c r="E2296" t="inlineStr">
        <is>
          <t>SEC</t>
        </is>
      </c>
    </row>
    <row r="2297">
      <c r="A2297" s="5">
        <f>HYPERLINK("https://finance.yahoo.com/quote/MGRT","MGRT")</f>
        <v/>
      </c>
      <c r="B2297" t="inlineStr">
        <is>
          <t>Mega Fortune Co Ltd</t>
        </is>
      </c>
      <c r="C2297" t="inlineStr">
        <is>
          <t>Nasdaq</t>
        </is>
      </c>
      <c r="D2297" t="n">
        <v>2033377</v>
      </c>
      <c r="E2297" t="inlineStr">
        <is>
          <t>SEC</t>
        </is>
      </c>
    </row>
    <row r="2298">
      <c r="A2298" s="5">
        <f>HYPERLINK("https://finance.yahoo.com/quote/DSGR","DSGR")</f>
        <v/>
      </c>
      <c r="B2298" t="inlineStr">
        <is>
          <t>Distribution Solutions Group, Inc.</t>
        </is>
      </c>
      <c r="C2298" t="inlineStr">
        <is>
          <t>Nasdaq</t>
        </is>
      </c>
      <c r="D2298" t="n">
        <v>703604</v>
      </c>
      <c r="E2298" t="inlineStr">
        <is>
          <t>SEC</t>
        </is>
      </c>
    </row>
    <row r="2299">
      <c r="A2299" s="5">
        <f>HYPERLINK("https://finance.yahoo.com/quote/BXDC","BXDC")</f>
        <v/>
      </c>
      <c r="B2299" t="inlineStr">
        <is>
          <t>Blackstone Digital Infrastructure Trust Inc.</t>
        </is>
      </c>
      <c r="C2299" t="inlineStr">
        <is>
          <t>NYSE</t>
        </is>
      </c>
      <c r="D2299" t="n">
        <v>2100161</v>
      </c>
      <c r="E2299" t="inlineStr">
        <is>
          <t>SEC</t>
        </is>
      </c>
    </row>
    <row r="2300">
      <c r="A2300" s="5">
        <f>HYPERLINK("https://finance.yahoo.com/quote/NVAX","NVAX")</f>
        <v/>
      </c>
      <c r="B2300" t="inlineStr">
        <is>
          <t>NOVAVAX INC</t>
        </is>
      </c>
      <c r="C2300" t="inlineStr">
        <is>
          <t>Nasdaq</t>
        </is>
      </c>
      <c r="D2300" t="n">
        <v>1000694</v>
      </c>
      <c r="E2300" t="inlineStr">
        <is>
          <t>SEC</t>
        </is>
      </c>
    </row>
    <row r="2301">
      <c r="A2301" s="5">
        <f>HYPERLINK("https://finance.yahoo.com/quote/HAPN","HAPN")</f>
        <v/>
      </c>
      <c r="B2301" t="inlineStr">
        <is>
          <t>Happen, Inc.</t>
        </is>
      </c>
      <c r="C2301" t="inlineStr">
        <is>
          <t>Nasdaq</t>
        </is>
      </c>
      <c r="D2301" t="n">
        <v>1409970</v>
      </c>
      <c r="E2301" t="inlineStr">
        <is>
          <t>SEC</t>
        </is>
      </c>
    </row>
    <row r="2302">
      <c r="A2302" s="5">
        <f>HYPERLINK("https://finance.yahoo.com/quote/SBH","SBH")</f>
        <v/>
      </c>
      <c r="B2302" t="inlineStr">
        <is>
          <t>Sally Beauty Holdings, Inc.</t>
        </is>
      </c>
      <c r="C2302" t="inlineStr">
        <is>
          <t>NYSE</t>
        </is>
      </c>
      <c r="D2302" t="n">
        <v>1368458</v>
      </c>
      <c r="E2302" t="inlineStr">
        <is>
          <t>SEC</t>
        </is>
      </c>
    </row>
    <row r="2303">
      <c r="A2303" s="5">
        <f>HYPERLINK("https://finance.yahoo.com/quote/CASH","CASH")</f>
        <v/>
      </c>
      <c r="B2303" t="inlineStr">
        <is>
          <t>PATHWARD FINANCIAL, INC.</t>
        </is>
      </c>
      <c r="C2303" t="inlineStr">
        <is>
          <t>Nasdaq</t>
        </is>
      </c>
      <c r="D2303" t="n">
        <v>907471</v>
      </c>
      <c r="E2303" t="inlineStr">
        <is>
          <t>SEC</t>
        </is>
      </c>
    </row>
    <row r="2304">
      <c r="A2304" s="5">
        <f>HYPERLINK("https://finance.yahoo.com/quote/COAG","COAG")</f>
        <v/>
      </c>
      <c r="B2304" t="inlineStr">
        <is>
          <t>Hemab Therapeutics Holdings, Inc.</t>
        </is>
      </c>
      <c r="C2304" t="inlineStr">
        <is>
          <t>Nasdaq</t>
        </is>
      </c>
      <c r="D2304" t="n">
        <v>2114044</v>
      </c>
      <c r="E2304" t="inlineStr">
        <is>
          <t>SEC</t>
        </is>
      </c>
    </row>
    <row r="2305">
      <c r="A2305" s="5">
        <f>HYPERLINK("https://finance.yahoo.com/quote/STOK","STOK")</f>
        <v/>
      </c>
      <c r="B2305" t="inlineStr">
        <is>
          <t>Stoke Therapeutics, Inc.</t>
        </is>
      </c>
      <c r="C2305" t="inlineStr">
        <is>
          <t>Nasdaq</t>
        </is>
      </c>
      <c r="D2305" t="n">
        <v>1623526</v>
      </c>
      <c r="E2305" t="inlineStr">
        <is>
          <t>SEC</t>
        </is>
      </c>
    </row>
    <row r="2306">
      <c r="A2306" s="5">
        <f>HYPERLINK("https://finance.yahoo.com/quote/OCFC","OCFC")</f>
        <v/>
      </c>
      <c r="B2306" t="inlineStr">
        <is>
          <t>OCEANFIRST FINANCIAL CORP</t>
        </is>
      </c>
      <c r="C2306" t="inlineStr">
        <is>
          <t>Nasdaq</t>
        </is>
      </c>
      <c r="D2306" t="n">
        <v>1004702</v>
      </c>
      <c r="E2306" t="inlineStr">
        <is>
          <t>SEC</t>
        </is>
      </c>
    </row>
    <row r="2307">
      <c r="A2307" s="5">
        <f>HYPERLINK("https://finance.yahoo.com/quote/TEN","TEN")</f>
        <v/>
      </c>
      <c r="B2307" t="inlineStr">
        <is>
          <t>TSAKOS ENERGY NAVIGATION LTD</t>
        </is>
      </c>
      <c r="C2307" t="inlineStr">
        <is>
          <t>NYSE</t>
        </is>
      </c>
      <c r="D2307" t="n">
        <v>1166663</v>
      </c>
      <c r="E2307" t="inlineStr">
        <is>
          <t>SEC</t>
        </is>
      </c>
    </row>
    <row r="2308">
      <c r="A2308" s="5">
        <f>HYPERLINK("https://finance.yahoo.com/quote/MPT","MPT")</f>
        <v/>
      </c>
      <c r="B2308" t="inlineStr">
        <is>
          <t>MEDICAL PROPERTIES TRUST INC</t>
        </is>
      </c>
      <c r="C2308" t="inlineStr">
        <is>
          <t>NYSE</t>
        </is>
      </c>
      <c r="D2308" t="n">
        <v>1287865</v>
      </c>
      <c r="E2308" t="inlineStr">
        <is>
          <t>SEC</t>
        </is>
      </c>
    </row>
    <row r="2309">
      <c r="A2309" s="5">
        <f>HYPERLINK("https://finance.yahoo.com/quote/EVCM","EVCM")</f>
        <v/>
      </c>
      <c r="B2309" t="inlineStr">
        <is>
          <t>EverCommerce Inc.</t>
        </is>
      </c>
      <c r="C2309" t="inlineStr">
        <is>
          <t>Nasdaq</t>
        </is>
      </c>
      <c r="D2309" t="n">
        <v>1853145</v>
      </c>
      <c r="E2309" t="inlineStr">
        <is>
          <t>SEC</t>
        </is>
      </c>
    </row>
    <row r="2310">
      <c r="A2310" s="5">
        <f>HYPERLINK("https://finance.yahoo.com/quote/IMCR","IMCR")</f>
        <v/>
      </c>
      <c r="B2310" t="inlineStr">
        <is>
          <t>Immunocore Holdings plc</t>
        </is>
      </c>
      <c r="C2310" t="inlineStr">
        <is>
          <t>Nasdaq</t>
        </is>
      </c>
      <c r="D2310" t="n">
        <v>1671927</v>
      </c>
      <c r="E2310" t="inlineStr">
        <is>
          <t>SEC</t>
        </is>
      </c>
    </row>
    <row r="2311">
      <c r="A2311" s="5">
        <f>HYPERLINK("https://finance.yahoo.com/quote/NUVB","NUVB")</f>
        <v/>
      </c>
      <c r="B2311" t="inlineStr">
        <is>
          <t>Nuvation Bio Inc.</t>
        </is>
      </c>
      <c r="C2311" t="inlineStr">
        <is>
          <t>NYSE</t>
        </is>
      </c>
      <c r="D2311" t="n">
        <v>1811063</v>
      </c>
      <c r="E2311" t="inlineStr">
        <is>
          <t>SEC</t>
        </is>
      </c>
    </row>
    <row r="2312">
      <c r="A2312" s="5">
        <f>HYPERLINK("https://finance.yahoo.com/quote/MESO","MESO")</f>
        <v/>
      </c>
      <c r="B2312" t="inlineStr">
        <is>
          <t>MESOBLAST LTD</t>
        </is>
      </c>
      <c r="C2312" t="inlineStr">
        <is>
          <t>Nasdaq</t>
        </is>
      </c>
      <c r="D2312" t="n">
        <v>1345099</v>
      </c>
      <c r="E2312" t="inlineStr">
        <is>
          <t>SEC</t>
        </is>
      </c>
    </row>
    <row r="2313">
      <c r="A2313" s="5">
        <f>HYPERLINK("https://finance.yahoo.com/quote/GENB","GENB")</f>
        <v/>
      </c>
      <c r="B2313" t="inlineStr">
        <is>
          <t>Generate Biomedicines, Inc.</t>
        </is>
      </c>
      <c r="C2313" t="inlineStr">
        <is>
          <t>Nasdaq</t>
        </is>
      </c>
      <c r="D2313" t="n">
        <v>2100782</v>
      </c>
      <c r="E2313" t="inlineStr">
        <is>
          <t>SEC</t>
        </is>
      </c>
    </row>
    <row r="2314">
      <c r="A2314" s="5">
        <f>HYPERLINK("https://finance.yahoo.com/quote/AZTA","AZTA")</f>
        <v/>
      </c>
      <c r="B2314" t="inlineStr">
        <is>
          <t>Azenta, Inc.</t>
        </is>
      </c>
      <c r="C2314" t="inlineStr">
        <is>
          <t>Nasdaq</t>
        </is>
      </c>
      <c r="D2314" t="n">
        <v>933974</v>
      </c>
      <c r="E2314" t="inlineStr">
        <is>
          <t>SEC</t>
        </is>
      </c>
    </row>
    <row r="2315">
      <c r="A2315" s="5">
        <f>HYPERLINK("https://finance.yahoo.com/quote/AVVSY","AVVSY")</f>
        <v/>
      </c>
      <c r="B2315" t="inlineStr">
        <is>
          <t>Avio S.p.A./ADR</t>
        </is>
      </c>
      <c r="C2315" t="inlineStr">
        <is>
          <t>OTC</t>
        </is>
      </c>
      <c r="D2315" t="n">
        <v>2082141</v>
      </c>
      <c r="E2315" t="inlineStr">
        <is>
          <t>SEC</t>
        </is>
      </c>
    </row>
    <row r="2316">
      <c r="A2316" s="5">
        <f>HYPERLINK("https://finance.yahoo.com/quote/RVLV","RVLV")</f>
        <v/>
      </c>
      <c r="B2316" t="inlineStr">
        <is>
          <t>Revolve Group, Inc.</t>
        </is>
      </c>
      <c r="C2316" t="inlineStr">
        <is>
          <t>NYSE</t>
        </is>
      </c>
      <c r="D2316" t="n">
        <v>1746618</v>
      </c>
      <c r="E2316" t="inlineStr">
        <is>
          <t>SEC</t>
        </is>
      </c>
    </row>
    <row r="2317">
      <c r="A2317" s="5">
        <f>HYPERLINK("https://finance.yahoo.com/quote/PGY","PGY")</f>
        <v/>
      </c>
      <c r="B2317" t="inlineStr">
        <is>
          <t>Pagaya Technologies Ltd.</t>
        </is>
      </c>
      <c r="C2317" t="inlineStr">
        <is>
          <t>Nasdaq</t>
        </is>
      </c>
      <c r="D2317" t="n">
        <v>1883085</v>
      </c>
      <c r="E2317" t="inlineStr">
        <is>
          <t>SEC</t>
        </is>
      </c>
    </row>
    <row r="2318">
      <c r="A2318" s="5">
        <f>HYPERLINK("https://finance.yahoo.com/quote/PAHC","PAHC")</f>
        <v/>
      </c>
      <c r="B2318" t="inlineStr">
        <is>
          <t>PHIBRO ANIMAL HEALTH CORP</t>
        </is>
      </c>
      <c r="C2318" t="inlineStr">
        <is>
          <t>Nasdaq</t>
        </is>
      </c>
      <c r="D2318" t="n">
        <v>1069899</v>
      </c>
      <c r="E2318" t="inlineStr">
        <is>
          <t>SEC</t>
        </is>
      </c>
    </row>
    <row r="2319">
      <c r="A2319" s="5">
        <f>HYPERLINK("https://finance.yahoo.com/quote/LILA","LILA")</f>
        <v/>
      </c>
      <c r="B2319" t="inlineStr">
        <is>
          <t>Liberty Latin America Ltd.</t>
        </is>
      </c>
      <c r="C2319" t="inlineStr">
        <is>
          <t>Nasdaq</t>
        </is>
      </c>
      <c r="D2319" t="n">
        <v>1712184</v>
      </c>
      <c r="E2319" t="inlineStr">
        <is>
          <t>SEC</t>
        </is>
      </c>
    </row>
    <row r="2320">
      <c r="A2320" s="5">
        <f>HYPERLINK("https://finance.yahoo.com/quote/ABSI","ABSI")</f>
        <v/>
      </c>
      <c r="B2320" t="inlineStr">
        <is>
          <t>Absci Corp</t>
        </is>
      </c>
      <c r="C2320" t="inlineStr">
        <is>
          <t>Nasdaq</t>
        </is>
      </c>
      <c r="D2320" t="n">
        <v>1672688</v>
      </c>
      <c r="E2320" t="inlineStr">
        <is>
          <t>SEC</t>
        </is>
      </c>
    </row>
    <row r="2321">
      <c r="A2321" s="5">
        <f>HYPERLINK("https://finance.yahoo.com/quote/PBT","PBT")</f>
        <v/>
      </c>
      <c r="B2321" t="inlineStr">
        <is>
          <t>PERMIAN BASIN ROYALTY TRUST</t>
        </is>
      </c>
      <c r="C2321" t="inlineStr">
        <is>
          <t>NYSE</t>
        </is>
      </c>
      <c r="D2321" t="n">
        <v>319654</v>
      </c>
      <c r="E2321" t="inlineStr">
        <is>
          <t>SEC</t>
        </is>
      </c>
    </row>
    <row r="2322">
      <c r="A2322" s="5">
        <f>HYPERLINK("https://finance.yahoo.com/quote/TRAX","TRAX")</f>
        <v/>
      </c>
      <c r="B2322" t="inlineStr">
        <is>
          <t>First Tracks Biotherapeutics, Inc.</t>
        </is>
      </c>
      <c r="C2322" t="inlineStr">
        <is>
          <t>Nasdaq</t>
        </is>
      </c>
      <c r="D2322" t="n">
        <v>2091349</v>
      </c>
      <c r="E2322" t="inlineStr">
        <is>
          <t>SEC</t>
        </is>
      </c>
    </row>
    <row r="2323">
      <c r="A2323" s="5">
        <f>HYPERLINK("https://finance.yahoo.com/quote/SBCLY","SBCLY")</f>
        <v/>
      </c>
      <c r="B2323" t="inlineStr">
        <is>
          <t>Sumitomo Bakelite Co Limited/ADR</t>
        </is>
      </c>
      <c r="C2323" t="inlineStr">
        <is>
          <t>OTC</t>
        </is>
      </c>
      <c r="D2323" t="n">
        <v>2087852</v>
      </c>
      <c r="E2323" t="inlineStr">
        <is>
          <t>SEC</t>
        </is>
      </c>
    </row>
    <row r="2324">
      <c r="A2324" s="5">
        <f>HYPERLINK("https://finance.yahoo.com/quote/HUBG","HUBG")</f>
        <v/>
      </c>
      <c r="B2324" t="inlineStr">
        <is>
          <t>Hub Group, Inc.</t>
        </is>
      </c>
      <c r="C2324" t="inlineStr">
        <is>
          <t>Nasdaq</t>
        </is>
      </c>
      <c r="D2324" t="n">
        <v>940942</v>
      </c>
      <c r="E2324" t="inlineStr">
        <is>
          <t>SEC</t>
        </is>
      </c>
    </row>
    <row r="2325">
      <c r="A2325" s="5">
        <f>HYPERLINK("https://finance.yahoo.com/quote/LYCA","LYCA")</f>
        <v/>
      </c>
      <c r="B2325" t="inlineStr">
        <is>
          <t>Lycia Therapeutics, Inc.</t>
        </is>
      </c>
      <c r="C2325" t="inlineStr">
        <is>
          <t>Nasdaq</t>
        </is>
      </c>
      <c r="D2325" t="n">
        <v>1806540</v>
      </c>
      <c r="E2325" t="inlineStr">
        <is>
          <t>SEC</t>
        </is>
      </c>
    </row>
    <row r="2326">
      <c r="A2326" s="5">
        <f>HYPERLINK("https://finance.yahoo.com/quote/CERT","CERT")</f>
        <v/>
      </c>
      <c r="B2326" t="inlineStr">
        <is>
          <t>Certara, Inc.</t>
        </is>
      </c>
      <c r="C2326" t="inlineStr">
        <is>
          <t>Nasdaq</t>
        </is>
      </c>
      <c r="D2326" t="n">
        <v>1827090</v>
      </c>
      <c r="E2326" t="inlineStr">
        <is>
          <t>SEC</t>
        </is>
      </c>
    </row>
    <row r="2327">
      <c r="A2327" s="5">
        <f>HYPERLINK("https://finance.yahoo.com/quote/THRM","THRM")</f>
        <v/>
      </c>
      <c r="B2327" t="inlineStr">
        <is>
          <t>Gentherm Inc</t>
        </is>
      </c>
      <c r="C2327" t="inlineStr">
        <is>
          <t>Nasdaq</t>
        </is>
      </c>
      <c r="D2327" t="n">
        <v>903129</v>
      </c>
      <c r="E2327" t="inlineStr">
        <is>
          <t>SEC</t>
        </is>
      </c>
    </row>
    <row r="2328">
      <c r="A2328" s="5">
        <f>HYPERLINK("https://finance.yahoo.com/quote/HUN","HUN")</f>
        <v/>
      </c>
      <c r="B2328" t="inlineStr">
        <is>
          <t>Huntsman CORP</t>
        </is>
      </c>
      <c r="C2328" t="inlineStr">
        <is>
          <t>NYSE</t>
        </is>
      </c>
      <c r="D2328" t="n">
        <v>1307954</v>
      </c>
      <c r="E2328" t="inlineStr">
        <is>
          <t>SEC</t>
        </is>
      </c>
    </row>
    <row r="2329">
      <c r="A2329" s="5">
        <f>HYPERLINK("https://finance.yahoo.com/quote/OPRA","OPRA")</f>
        <v/>
      </c>
      <c r="B2329" t="inlineStr">
        <is>
          <t>Opera Ltd</t>
        </is>
      </c>
      <c r="C2329" t="inlineStr">
        <is>
          <t>Nasdaq</t>
        </is>
      </c>
      <c r="D2329" t="n">
        <v>1737450</v>
      </c>
      <c r="E2329" t="inlineStr">
        <is>
          <t>SEC</t>
        </is>
      </c>
    </row>
    <row r="2330">
      <c r="A2330" s="5">
        <f>HYPERLINK("https://finance.yahoo.com/quote/JJSF","JJSF")</f>
        <v/>
      </c>
      <c r="B2330" t="inlineStr">
        <is>
          <t>J&amp;J SNACK FOODS CORP</t>
        </is>
      </c>
      <c r="C2330" t="inlineStr">
        <is>
          <t>Nasdaq</t>
        </is>
      </c>
      <c r="D2330" t="n">
        <v>785956</v>
      </c>
      <c r="E2330" t="inlineStr">
        <is>
          <t>SEC</t>
        </is>
      </c>
    </row>
    <row r="2331">
      <c r="A2331" s="5">
        <f>HYPERLINK("https://finance.yahoo.com/quote/NTLA","NTLA")</f>
        <v/>
      </c>
      <c r="B2331" t="inlineStr">
        <is>
          <t>Intellia Therapeutics, Inc.</t>
        </is>
      </c>
      <c r="C2331" t="inlineStr">
        <is>
          <t>Nasdaq</t>
        </is>
      </c>
      <c r="D2331" t="n">
        <v>1652130</v>
      </c>
      <c r="E2331" t="inlineStr">
        <is>
          <t>SEC</t>
        </is>
      </c>
    </row>
    <row r="2332">
      <c r="A2332" s="5">
        <f>HYPERLINK("https://finance.yahoo.com/quote/CXM","CXM")</f>
        <v/>
      </c>
      <c r="B2332" t="inlineStr">
        <is>
          <t>Sprinklr, Inc.</t>
        </is>
      </c>
      <c r="C2332" t="inlineStr">
        <is>
          <t>NYSE</t>
        </is>
      </c>
      <c r="D2332" t="n">
        <v>1569345</v>
      </c>
      <c r="E2332" t="inlineStr">
        <is>
          <t>SEC</t>
        </is>
      </c>
    </row>
    <row r="2333">
      <c r="A2333" s="5">
        <f>HYPERLINK("https://finance.yahoo.com/quote/QURE","QURE")</f>
        <v/>
      </c>
      <c r="B2333" t="inlineStr">
        <is>
          <t>uniQure N.V.</t>
        </is>
      </c>
      <c r="C2333" t="inlineStr">
        <is>
          <t>Nasdaq</t>
        </is>
      </c>
      <c r="D2333" t="n">
        <v>1590560</v>
      </c>
      <c r="E2333" t="inlineStr">
        <is>
          <t>SEC</t>
        </is>
      </c>
    </row>
    <row r="2334">
      <c r="A2334" s="5">
        <f>HYPERLINK("https://finance.yahoo.com/quote/RARE","RARE")</f>
        <v/>
      </c>
      <c r="B2334" t="inlineStr">
        <is>
          <t>Ultragenyx Pharmaceutical Inc.</t>
        </is>
      </c>
      <c r="C2334" t="inlineStr">
        <is>
          <t>Nasdaq</t>
        </is>
      </c>
      <c r="D2334" t="n">
        <v>1515673</v>
      </c>
      <c r="E2334" t="inlineStr">
        <is>
          <t>SEC</t>
        </is>
      </c>
    </row>
    <row r="2335">
      <c r="A2335" s="5">
        <f>HYPERLINK("https://finance.yahoo.com/quote/MQY","MQY")</f>
        <v/>
      </c>
      <c r="B2335" t="inlineStr">
        <is>
          <t>BLACKROCK MUNIYIELD QUALITY FUND, INC.</t>
        </is>
      </c>
      <c r="C2335" t="inlineStr">
        <is>
          <t>NYSE</t>
        </is>
      </c>
      <c r="D2335" t="n">
        <v>890196</v>
      </c>
      <c r="E2335" t="inlineStr">
        <is>
          <t>SEC</t>
        </is>
      </c>
    </row>
    <row r="2336">
      <c r="A2336" s="5">
        <f>HYPERLINK("https://finance.yahoo.com/quote/ESRT","ESRT")</f>
        <v/>
      </c>
      <c r="B2336" t="inlineStr">
        <is>
          <t>Empire State Realty Trust, Inc.</t>
        </is>
      </c>
      <c r="C2336" t="inlineStr">
        <is>
          <t>NYSE</t>
        </is>
      </c>
      <c r="D2336" t="n">
        <v>1541401</v>
      </c>
      <c r="E2336" t="inlineStr">
        <is>
          <t>SEC</t>
        </is>
      </c>
    </row>
    <row r="2337">
      <c r="A2337" s="5">
        <f>HYPERLINK("https://finance.yahoo.com/quote/CMPS","CMPS")</f>
        <v/>
      </c>
      <c r="B2337" t="inlineStr">
        <is>
          <t>COMPASS Pathways plc</t>
        </is>
      </c>
      <c r="C2337" t="inlineStr">
        <is>
          <t>Nasdaq</t>
        </is>
      </c>
      <c r="D2337" t="n">
        <v>1816590</v>
      </c>
      <c r="E2337" t="inlineStr">
        <is>
          <t>SEC</t>
        </is>
      </c>
    </row>
    <row r="2338">
      <c r="A2338" s="5">
        <f>HYPERLINK("https://finance.yahoo.com/quote/FLNG","FLNG")</f>
        <v/>
      </c>
      <c r="B2338" t="inlineStr">
        <is>
          <t>Flex LNG Ltd.</t>
        </is>
      </c>
      <c r="C2338" t="inlineStr">
        <is>
          <t>NYSE</t>
        </is>
      </c>
      <c r="D2338" t="n">
        <v>1772253</v>
      </c>
      <c r="E2338" t="inlineStr">
        <is>
          <t>SEC</t>
        </is>
      </c>
    </row>
    <row r="2339">
      <c r="A2339" s="5">
        <f>HYPERLINK("https://finance.yahoo.com/quote/CBL","CBL")</f>
        <v/>
      </c>
      <c r="B2339" t="inlineStr">
        <is>
          <t>CBL &amp; ASSOCIATES PROPERTIES INC</t>
        </is>
      </c>
      <c r="C2339" t="inlineStr">
        <is>
          <t>NYSE</t>
        </is>
      </c>
      <c r="D2339" t="n">
        <v>910612</v>
      </c>
      <c r="E2339" t="inlineStr">
        <is>
          <t>SEC</t>
        </is>
      </c>
    </row>
    <row r="2340">
      <c r="A2340" s="5">
        <f>HYPERLINK("https://finance.yahoo.com/quote/ENR","ENR")</f>
        <v/>
      </c>
      <c r="B2340" t="inlineStr">
        <is>
          <t>ENERGIZER HOLDINGS, INC.</t>
        </is>
      </c>
      <c r="C2340" t="inlineStr">
        <is>
          <t>NYSE</t>
        </is>
      </c>
      <c r="D2340" t="n">
        <v>1632790</v>
      </c>
      <c r="E2340" t="inlineStr">
        <is>
          <t>SEC</t>
        </is>
      </c>
    </row>
    <row r="2341">
      <c r="A2341" s="5">
        <f>HYPERLINK("https://finance.yahoo.com/quote/GPCR","GPCR")</f>
        <v/>
      </c>
      <c r="B2341" t="inlineStr">
        <is>
          <t>Structure Therapeutics Inc.</t>
        </is>
      </c>
      <c r="C2341" t="inlineStr">
        <is>
          <t>Nasdaq</t>
        </is>
      </c>
      <c r="D2341" t="n">
        <v>1888886</v>
      </c>
      <c r="E2341" t="inlineStr">
        <is>
          <t>SEC</t>
        </is>
      </c>
    </row>
    <row r="2342">
      <c r="A2342" s="5">
        <f>HYPERLINK("https://finance.yahoo.com/quote/WB","WB")</f>
        <v/>
      </c>
      <c r="B2342" t="inlineStr">
        <is>
          <t>WEIBO Corp</t>
        </is>
      </c>
      <c r="C2342" t="inlineStr">
        <is>
          <t>Nasdaq</t>
        </is>
      </c>
      <c r="D2342" t="n">
        <v>1595761</v>
      </c>
      <c r="E2342" t="inlineStr">
        <is>
          <t>SEC</t>
        </is>
      </c>
    </row>
    <row r="2343">
      <c r="A2343" s="5">
        <f>HYPERLINK("https://finance.yahoo.com/quote/SID","SID")</f>
        <v/>
      </c>
      <c r="B2343" t="inlineStr">
        <is>
          <t>NATIONAL STEEL CO</t>
        </is>
      </c>
      <c r="C2343" t="inlineStr">
        <is>
          <t>NYSE</t>
        </is>
      </c>
      <c r="D2343" t="n">
        <v>1049659</v>
      </c>
      <c r="E2343" t="inlineStr">
        <is>
          <t>SEC</t>
        </is>
      </c>
    </row>
    <row r="2344">
      <c r="A2344" s="5">
        <f>HYPERLINK("https://finance.yahoo.com/quote/EFC","EFC")</f>
        <v/>
      </c>
      <c r="B2344" t="inlineStr">
        <is>
          <t>Ellington Financial Inc.</t>
        </is>
      </c>
      <c r="C2344" t="inlineStr">
        <is>
          <t>NYSE</t>
        </is>
      </c>
      <c r="D2344" t="n">
        <v>1411342</v>
      </c>
      <c r="E2344" t="inlineStr">
        <is>
          <t>SEC</t>
        </is>
      </c>
    </row>
    <row r="2345">
      <c r="A2345" s="5">
        <f>HYPERLINK("https://finance.yahoo.com/quote/CTS","CTS")</f>
        <v/>
      </c>
      <c r="B2345" t="inlineStr">
        <is>
          <t>CTS CORP</t>
        </is>
      </c>
      <c r="C2345" t="inlineStr">
        <is>
          <t>NYSE</t>
        </is>
      </c>
      <c r="D2345" t="n">
        <v>26058</v>
      </c>
      <c r="E2345" t="inlineStr">
        <is>
          <t>SEC</t>
        </is>
      </c>
    </row>
    <row r="2346">
      <c r="A2346" s="5">
        <f>HYPERLINK("https://finance.yahoo.com/quote/SAFT","SAFT")</f>
        <v/>
      </c>
      <c r="B2346" t="inlineStr">
        <is>
          <t>SAFETY INSURANCE GROUP INC</t>
        </is>
      </c>
      <c r="C2346" t="inlineStr">
        <is>
          <t>Nasdaq</t>
        </is>
      </c>
      <c r="D2346" t="n">
        <v>1172052</v>
      </c>
      <c r="E2346" t="inlineStr">
        <is>
          <t>SEC</t>
        </is>
      </c>
    </row>
    <row r="2347">
      <c r="A2347" s="5">
        <f>HYPERLINK("https://finance.yahoo.com/quote/NEXA","NEXA")</f>
        <v/>
      </c>
      <c r="B2347" t="inlineStr">
        <is>
          <t>Nexa Resources S.A.</t>
        </is>
      </c>
      <c r="C2347" t="inlineStr">
        <is>
          <t>NYSE</t>
        </is>
      </c>
      <c r="D2347" t="n">
        <v>1713930</v>
      </c>
      <c r="E2347" t="inlineStr">
        <is>
          <t>SEC</t>
        </is>
      </c>
    </row>
    <row r="2348">
      <c r="A2348" s="5">
        <f>HYPERLINK("https://finance.yahoo.com/quote/VOYG","VOYG")</f>
        <v/>
      </c>
      <c r="B2348" t="inlineStr">
        <is>
          <t>Voyager Technologies, Inc./TX</t>
        </is>
      </c>
      <c r="C2348" t="inlineStr">
        <is>
          <t>NYSE</t>
        </is>
      </c>
      <c r="D2348" t="n">
        <v>1788060</v>
      </c>
      <c r="E2348" t="inlineStr">
        <is>
          <t>SEC</t>
        </is>
      </c>
    </row>
    <row r="2349">
      <c r="A2349" s="5">
        <f>HYPERLINK("https://finance.yahoo.com/quote/GAM","GAM")</f>
        <v/>
      </c>
      <c r="B2349" t="inlineStr">
        <is>
          <t>GENERAL AMERICAN INVESTORS CO INC</t>
        </is>
      </c>
      <c r="C2349" t="inlineStr">
        <is>
          <t>NYSE</t>
        </is>
      </c>
      <c r="D2349" t="n">
        <v>40417</v>
      </c>
      <c r="E2349" t="inlineStr">
        <is>
          <t>SEC</t>
        </is>
      </c>
    </row>
    <row r="2350">
      <c r="A2350" s="5">
        <f>HYPERLINK("https://finance.yahoo.com/quote/RQI","RQI")</f>
        <v/>
      </c>
      <c r="B2350" t="inlineStr">
        <is>
          <t>COHEN &amp; STEERS QUALITY INCOME REALTY FUND INC</t>
        </is>
      </c>
      <c r="C2350" t="inlineStr">
        <is>
          <t>NYSE</t>
        </is>
      </c>
      <c r="D2350" t="n">
        <v>1157842</v>
      </c>
      <c r="E2350" t="inlineStr">
        <is>
          <t>SEC</t>
        </is>
      </c>
    </row>
    <row r="2351">
      <c r="A2351" s="5">
        <f>HYPERLINK("https://finance.yahoo.com/quote/XZO","XZO")</f>
        <v/>
      </c>
      <c r="B2351" t="inlineStr">
        <is>
          <t>Exzeo Group, Inc.</t>
        </is>
      </c>
      <c r="C2351" t="inlineStr">
        <is>
          <t>NYSE</t>
        </is>
      </c>
      <c r="D2351" t="n">
        <v>1873951</v>
      </c>
      <c r="E2351" t="inlineStr">
        <is>
          <t>SEC</t>
        </is>
      </c>
    </row>
    <row r="2352">
      <c r="A2352" s="5">
        <f>HYPERLINK("https://finance.yahoo.com/quote/AMAL","AMAL")</f>
        <v/>
      </c>
      <c r="B2352" t="inlineStr">
        <is>
          <t>Amalgamated Financial Corp.</t>
        </is>
      </c>
      <c r="C2352" t="inlineStr">
        <is>
          <t>Nasdaq</t>
        </is>
      </c>
      <c r="D2352" t="n">
        <v>1823608</v>
      </c>
      <c r="E2352" t="inlineStr">
        <is>
          <t>SEC</t>
        </is>
      </c>
    </row>
    <row r="2353">
      <c r="A2353" s="5">
        <f>HYPERLINK("https://finance.yahoo.com/quote/TFIN","TFIN")</f>
        <v/>
      </c>
      <c r="B2353" t="inlineStr">
        <is>
          <t>Triumph Financial, Inc.</t>
        </is>
      </c>
      <c r="C2353" t="inlineStr">
        <is>
          <t>NYSE</t>
        </is>
      </c>
      <c r="D2353" t="n">
        <v>1539638</v>
      </c>
      <c r="E2353" t="inlineStr">
        <is>
          <t>SEC</t>
        </is>
      </c>
    </row>
    <row r="2354">
      <c r="A2354" s="5">
        <f>HYPERLINK("https://finance.yahoo.com/quote/INBT","INBT")</f>
        <v/>
      </c>
      <c r="B2354" t="inlineStr">
        <is>
          <t>InoBat B.V.</t>
        </is>
      </c>
      <c r="C2354" t="inlineStr"/>
      <c r="D2354" t="n">
        <v>2156068</v>
      </c>
      <c r="E2354" t="inlineStr">
        <is>
          <t>SEC</t>
        </is>
      </c>
    </row>
    <row r="2355">
      <c r="A2355" s="5">
        <f>HYPERLINK("https://finance.yahoo.com/quote/HYT","HYT")</f>
        <v/>
      </c>
      <c r="B2355" t="inlineStr">
        <is>
          <t>BLACKROCK CORPORATE HIGH YIELD FUND, INC.</t>
        </is>
      </c>
      <c r="C2355" t="inlineStr">
        <is>
          <t>NYSE</t>
        </is>
      </c>
      <c r="D2355" t="n">
        <v>1222401</v>
      </c>
      <c r="E2355" t="inlineStr">
        <is>
          <t>SEC</t>
        </is>
      </c>
    </row>
    <row r="2356">
      <c r="A2356" s="5">
        <f>HYPERLINK("https://finance.yahoo.com/quote/DMLP","DMLP")</f>
        <v/>
      </c>
      <c r="B2356" t="inlineStr">
        <is>
          <t>DORCHESTER MINERALS, L.P.</t>
        </is>
      </c>
      <c r="C2356" t="inlineStr">
        <is>
          <t>Nasdaq</t>
        </is>
      </c>
      <c r="D2356" t="n">
        <v>1172358</v>
      </c>
      <c r="E2356" t="inlineStr">
        <is>
          <t>SEC</t>
        </is>
      </c>
    </row>
    <row r="2357">
      <c r="A2357" s="5">
        <f>HYPERLINK("https://finance.yahoo.com/quote/PRSU","PRSU")</f>
        <v/>
      </c>
      <c r="B2357" t="inlineStr">
        <is>
          <t>Pursuit Attractions &amp; Hospitality, Inc.</t>
        </is>
      </c>
      <c r="C2357" t="inlineStr">
        <is>
          <t>NYSE</t>
        </is>
      </c>
      <c r="D2357" t="n">
        <v>884219</v>
      </c>
      <c r="E2357" t="inlineStr">
        <is>
          <t>SEC</t>
        </is>
      </c>
    </row>
    <row r="2358">
      <c r="A2358" s="5">
        <f>HYPERLINK("https://finance.yahoo.com/quote/ESQ","ESQ")</f>
        <v/>
      </c>
      <c r="B2358" t="inlineStr">
        <is>
          <t>Esquire Financial Holdings, Inc.</t>
        </is>
      </c>
      <c r="C2358" t="inlineStr">
        <is>
          <t>Nasdaq</t>
        </is>
      </c>
      <c r="D2358" t="n">
        <v>1531031</v>
      </c>
      <c r="E2358" t="inlineStr">
        <is>
          <t>SEC</t>
        </is>
      </c>
    </row>
    <row r="2359">
      <c r="A2359" s="5">
        <f>HYPERLINK("https://finance.yahoo.com/quote/CRSR","CRSR")</f>
        <v/>
      </c>
      <c r="B2359" t="inlineStr">
        <is>
          <t>Corsair Gaming, Inc.</t>
        </is>
      </c>
      <c r="C2359" t="inlineStr">
        <is>
          <t>Nasdaq</t>
        </is>
      </c>
      <c r="D2359" t="n">
        <v>1743759</v>
      </c>
      <c r="E2359" t="inlineStr">
        <is>
          <t>SEC</t>
        </is>
      </c>
    </row>
    <row r="2360">
      <c r="A2360" s="5">
        <f>HYPERLINK("https://finance.yahoo.com/quote/AGL","AGL")</f>
        <v/>
      </c>
      <c r="B2360" t="inlineStr">
        <is>
          <t>agilon health, inc.</t>
        </is>
      </c>
      <c r="C2360" t="inlineStr">
        <is>
          <t>NYSE</t>
        </is>
      </c>
      <c r="D2360" t="n">
        <v>1831097</v>
      </c>
      <c r="E2360" t="inlineStr">
        <is>
          <t>SEC</t>
        </is>
      </c>
    </row>
    <row r="2361">
      <c r="A2361" s="5">
        <f>HYPERLINK("https://finance.yahoo.com/quote/CBRL","CBRL")</f>
        <v/>
      </c>
      <c r="B2361" t="inlineStr">
        <is>
          <t>CRACKER BARREL OLD COUNTRY STORE, INC</t>
        </is>
      </c>
      <c r="C2361" t="inlineStr">
        <is>
          <t>Nasdaq</t>
        </is>
      </c>
      <c r="D2361" t="n">
        <v>1067294</v>
      </c>
      <c r="E2361" t="inlineStr">
        <is>
          <t>SEC</t>
        </is>
      </c>
    </row>
    <row r="2362">
      <c r="A2362" s="5">
        <f>HYPERLINK("https://finance.yahoo.com/quote/QUBT","QUBT")</f>
        <v/>
      </c>
      <c r="B2362" t="inlineStr">
        <is>
          <t>Quantum Computing Inc.</t>
        </is>
      </c>
      <c r="C2362" t="inlineStr">
        <is>
          <t>Nasdaq</t>
        </is>
      </c>
      <c r="D2362" t="n">
        <v>1758009</v>
      </c>
      <c r="E2362" t="inlineStr">
        <is>
          <t>SEC</t>
        </is>
      </c>
    </row>
    <row r="2363">
      <c r="A2363" s="5">
        <f>HYPERLINK("https://finance.yahoo.com/quote/ALNT","ALNT")</f>
        <v/>
      </c>
      <c r="B2363" t="inlineStr">
        <is>
          <t>ALLIENT INC</t>
        </is>
      </c>
      <c r="C2363" t="inlineStr">
        <is>
          <t>Nasdaq</t>
        </is>
      </c>
      <c r="D2363" t="n">
        <v>46129</v>
      </c>
      <c r="E2363" t="inlineStr">
        <is>
          <t>SEC</t>
        </is>
      </c>
    </row>
    <row r="2364">
      <c r="A2364" s="5">
        <f>HYPERLINK("https://finance.yahoo.com/quote/IIPR","IIPR")</f>
        <v/>
      </c>
      <c r="B2364" t="inlineStr">
        <is>
          <t>INNOVATIVE INDUSTRIAL PROPERTIES INC</t>
        </is>
      </c>
      <c r="C2364" t="inlineStr">
        <is>
          <t>NYSE</t>
        </is>
      </c>
      <c r="D2364" t="n">
        <v>1677576</v>
      </c>
      <c r="E2364" t="inlineStr">
        <is>
          <t>SEC</t>
        </is>
      </c>
    </row>
    <row r="2365">
      <c r="A2365" s="5">
        <f>HYPERLINK("https://finance.yahoo.com/quote/NBTX","NBTX")</f>
        <v/>
      </c>
      <c r="B2365" t="inlineStr">
        <is>
          <t>Nanobiotix S.A.</t>
        </is>
      </c>
      <c r="C2365" t="inlineStr">
        <is>
          <t>Nasdaq</t>
        </is>
      </c>
      <c r="D2365" t="n">
        <v>1760854</v>
      </c>
      <c r="E2365" t="inlineStr">
        <is>
          <t>SEC</t>
        </is>
      </c>
    </row>
    <row r="2366">
      <c r="A2366" s="5">
        <f>HYPERLINK("https://finance.yahoo.com/quote/INVA","INVA")</f>
        <v/>
      </c>
      <c r="B2366" t="inlineStr">
        <is>
          <t>Innoviva, Inc.</t>
        </is>
      </c>
      <c r="C2366" t="inlineStr">
        <is>
          <t>Nasdaq</t>
        </is>
      </c>
      <c r="D2366" t="n">
        <v>1080014</v>
      </c>
      <c r="E2366" t="inlineStr">
        <is>
          <t>SEC</t>
        </is>
      </c>
    </row>
    <row r="2367">
      <c r="A2367" s="5">
        <f>HYPERLINK("https://finance.yahoo.com/quote/MBC","MBC")</f>
        <v/>
      </c>
      <c r="B2367" t="inlineStr">
        <is>
          <t>MasterBrand, Inc.</t>
        </is>
      </c>
      <c r="C2367" t="inlineStr">
        <is>
          <t>NYSE</t>
        </is>
      </c>
      <c r="D2367" t="n">
        <v>1941365</v>
      </c>
      <c r="E2367" t="inlineStr">
        <is>
          <t>SEC</t>
        </is>
      </c>
    </row>
    <row r="2368">
      <c r="A2368" s="5">
        <f>HYPERLINK("https://finance.yahoo.com/quote/SVMB","SVMB")</f>
        <v/>
      </c>
      <c r="B2368" t="inlineStr">
        <is>
          <t>Jingbo Technology, Inc.</t>
        </is>
      </c>
      <c r="C2368" t="inlineStr">
        <is>
          <t>OTC</t>
        </is>
      </c>
      <c r="D2368" t="n">
        <v>1647822</v>
      </c>
      <c r="E2368" t="inlineStr">
        <is>
          <t>SEC</t>
        </is>
      </c>
    </row>
    <row r="2369">
      <c r="A2369" s="5">
        <f>HYPERLINK("https://finance.yahoo.com/quote/HE","HE")</f>
        <v/>
      </c>
      <c r="B2369" t="inlineStr">
        <is>
          <t>HAWAIIAN ELECTRIC INDUSTRIES INC</t>
        </is>
      </c>
      <c r="C2369" t="inlineStr">
        <is>
          <t>NYSE</t>
        </is>
      </c>
      <c r="D2369" t="n">
        <v>354707</v>
      </c>
      <c r="E2369" t="inlineStr">
        <is>
          <t>SEC</t>
        </is>
      </c>
    </row>
    <row r="2370">
      <c r="A2370" s="5">
        <f>HYPERLINK("https://finance.yahoo.com/quote/TRIN","TRIN")</f>
        <v/>
      </c>
      <c r="B2370" t="inlineStr">
        <is>
          <t>Trinity Capital Inc.</t>
        </is>
      </c>
      <c r="C2370" t="inlineStr">
        <is>
          <t>NYSE</t>
        </is>
      </c>
      <c r="D2370" t="n">
        <v>1786108</v>
      </c>
      <c r="E2370" t="inlineStr">
        <is>
          <t>SEC</t>
        </is>
      </c>
    </row>
    <row r="2371">
      <c r="A2371" s="5">
        <f>HYPERLINK("https://finance.yahoo.com/quote/HPK","HPK")</f>
        <v/>
      </c>
      <c r="B2371" t="inlineStr">
        <is>
          <t>HighPeak Energy, Inc.</t>
        </is>
      </c>
      <c r="C2371" t="inlineStr">
        <is>
          <t>Nasdaq</t>
        </is>
      </c>
      <c r="D2371" t="n">
        <v>1792849</v>
      </c>
      <c r="E2371" t="inlineStr">
        <is>
          <t>SEC</t>
        </is>
      </c>
    </row>
    <row r="2372">
      <c r="A2372" s="5">
        <f>HYPERLINK("https://finance.yahoo.com/quote/UFCS","UFCS")</f>
        <v/>
      </c>
      <c r="B2372" t="inlineStr">
        <is>
          <t>UNITED FIRE GROUP INC</t>
        </is>
      </c>
      <c r="C2372" t="inlineStr">
        <is>
          <t>Nasdaq</t>
        </is>
      </c>
      <c r="D2372" t="n">
        <v>101199</v>
      </c>
      <c r="E2372" t="inlineStr">
        <is>
          <t>SEC</t>
        </is>
      </c>
    </row>
    <row r="2373">
      <c r="A2373" s="5">
        <f>HYPERLINK("https://finance.yahoo.com/quote/QQQX","QQQX")</f>
        <v/>
      </c>
      <c r="B2373" t="inlineStr">
        <is>
          <t>Nuveen NASDAQ 100 Dynamic Overwrite Fund</t>
        </is>
      </c>
      <c r="C2373" t="inlineStr">
        <is>
          <t>Nasdaq</t>
        </is>
      </c>
      <c r="D2373" t="n">
        <v>1608741</v>
      </c>
      <c r="E2373" t="inlineStr">
        <is>
          <t>SEC</t>
        </is>
      </c>
    </row>
    <row r="2374">
      <c r="A2374" s="5">
        <f>HYPERLINK("https://finance.yahoo.com/quote/EYE","EYE")</f>
        <v/>
      </c>
      <c r="B2374" t="inlineStr">
        <is>
          <t>National Vision Holdings, Inc.</t>
        </is>
      </c>
      <c r="C2374" t="inlineStr">
        <is>
          <t>Nasdaq</t>
        </is>
      </c>
      <c r="D2374" t="n">
        <v>1710155</v>
      </c>
      <c r="E2374" t="inlineStr">
        <is>
          <t>SEC</t>
        </is>
      </c>
    </row>
    <row r="2375">
      <c r="A2375" s="5">
        <f>HYPERLINK("https://finance.yahoo.com/quote/ATEX","ATEX")</f>
        <v/>
      </c>
      <c r="B2375" t="inlineStr">
        <is>
          <t>Anterix Inc.</t>
        </is>
      </c>
      <c r="C2375" t="inlineStr">
        <is>
          <t>Nasdaq</t>
        </is>
      </c>
      <c r="D2375" t="n">
        <v>1304492</v>
      </c>
      <c r="E2375" t="inlineStr">
        <is>
          <t>SEC</t>
        </is>
      </c>
    </row>
    <row r="2376">
      <c r="A2376" s="5">
        <f>HYPERLINK("https://finance.yahoo.com/quote/PNTG","PNTG")</f>
        <v/>
      </c>
      <c r="B2376" t="inlineStr">
        <is>
          <t>Pennant Group, Inc.</t>
        </is>
      </c>
      <c r="C2376" t="inlineStr">
        <is>
          <t>Nasdaq</t>
        </is>
      </c>
      <c r="D2376" t="n">
        <v>1766400</v>
      </c>
      <c r="E2376" t="inlineStr">
        <is>
          <t>SEC</t>
        </is>
      </c>
    </row>
    <row r="2377">
      <c r="A2377" s="5">
        <f>HYPERLINK("https://finance.yahoo.com/quote/RYZ","RYZ")</f>
        <v/>
      </c>
      <c r="B2377" t="inlineStr">
        <is>
          <t>Ryerson Holding Corp</t>
        </is>
      </c>
      <c r="C2377" t="inlineStr">
        <is>
          <t>NYSE</t>
        </is>
      </c>
      <c r="D2377" t="n">
        <v>1481582</v>
      </c>
      <c r="E2377" t="inlineStr">
        <is>
          <t>SEC</t>
        </is>
      </c>
    </row>
    <row r="2378">
      <c r="A2378" s="5">
        <f>HYPERLINK("https://finance.yahoo.com/quote/CNMD","CNMD")</f>
        <v/>
      </c>
      <c r="B2378" t="inlineStr">
        <is>
          <t>CONMED Corp</t>
        </is>
      </c>
      <c r="C2378" t="inlineStr">
        <is>
          <t>NYSE</t>
        </is>
      </c>
      <c r="D2378" t="n">
        <v>816956</v>
      </c>
      <c r="E2378" t="inlineStr">
        <is>
          <t>SEC</t>
        </is>
      </c>
    </row>
    <row r="2379">
      <c r="A2379" s="5">
        <f>HYPERLINK("https://finance.yahoo.com/quote/NUTX","NUTX")</f>
        <v/>
      </c>
      <c r="B2379" t="inlineStr">
        <is>
          <t>Nutex Health Inc.</t>
        </is>
      </c>
      <c r="C2379" t="inlineStr">
        <is>
          <t>Nasdaq</t>
        </is>
      </c>
      <c r="D2379" t="n">
        <v>1479681</v>
      </c>
      <c r="E2379" t="inlineStr">
        <is>
          <t>SEC</t>
        </is>
      </c>
    </row>
    <row r="2380">
      <c r="A2380" s="5">
        <f>HYPERLINK("https://finance.yahoo.com/quote/SCL","SCL")</f>
        <v/>
      </c>
      <c r="B2380" t="inlineStr">
        <is>
          <t>STEPAN CO</t>
        </is>
      </c>
      <c r="C2380" t="inlineStr">
        <is>
          <t>NYSE</t>
        </is>
      </c>
      <c r="D2380" t="n">
        <v>94049</v>
      </c>
      <c r="E2380" t="inlineStr">
        <is>
          <t>SEC</t>
        </is>
      </c>
    </row>
    <row r="2381">
      <c r="A2381" s="5">
        <f>HYPERLINK("https://finance.yahoo.com/quote/HYMC","HYMC")</f>
        <v/>
      </c>
      <c r="B2381" t="inlineStr">
        <is>
          <t>HYCROFT MINING HOLDING CORP</t>
        </is>
      </c>
      <c r="C2381" t="inlineStr">
        <is>
          <t>Nasdaq</t>
        </is>
      </c>
      <c r="D2381" t="n">
        <v>1718405</v>
      </c>
      <c r="E2381" t="inlineStr">
        <is>
          <t>SEC</t>
        </is>
      </c>
    </row>
    <row r="2382">
      <c r="A2382" s="5">
        <f>HYPERLINK("https://finance.yahoo.com/quote/LKFN","LKFN")</f>
        <v/>
      </c>
      <c r="B2382" t="inlineStr">
        <is>
          <t>LAKELAND FINANCIAL CORP</t>
        </is>
      </c>
      <c r="C2382" t="inlineStr">
        <is>
          <t>Nasdaq</t>
        </is>
      </c>
      <c r="D2382" t="n">
        <v>721994</v>
      </c>
      <c r="E2382" t="inlineStr">
        <is>
          <t>SEC</t>
        </is>
      </c>
    </row>
    <row r="2383">
      <c r="A2383" s="5">
        <f>HYPERLINK("https://finance.yahoo.com/quote/PCRX","PCRX")</f>
        <v/>
      </c>
      <c r="B2383" t="inlineStr">
        <is>
          <t>Pacira BioSciences, Inc.</t>
        </is>
      </c>
      <c r="C2383" t="inlineStr">
        <is>
          <t>Nasdaq</t>
        </is>
      </c>
      <c r="D2383" t="n">
        <v>1396814</v>
      </c>
      <c r="E2383" t="inlineStr">
        <is>
          <t>SEC</t>
        </is>
      </c>
    </row>
    <row r="2384">
      <c r="A2384" s="5">
        <f>HYPERLINK("https://finance.yahoo.com/quote/KRSA","KRSA")</f>
        <v/>
      </c>
      <c r="B2384" t="inlineStr">
        <is>
          <t>Korsana Biosciences, Inc.</t>
        </is>
      </c>
      <c r="C2384" t="inlineStr">
        <is>
          <t>Nasdaq</t>
        </is>
      </c>
      <c r="D2384" t="n">
        <v>1755237</v>
      </c>
      <c r="E2384" t="inlineStr">
        <is>
          <t>SEC</t>
        </is>
      </c>
    </row>
    <row r="2385">
      <c r="A2385" s="5">
        <f>HYPERLINK("https://finance.yahoo.com/quote/MLKN","MLKN")</f>
        <v/>
      </c>
      <c r="B2385" t="inlineStr">
        <is>
          <t>MILLERKNOLL, INC.</t>
        </is>
      </c>
      <c r="C2385" t="inlineStr">
        <is>
          <t>Nasdaq</t>
        </is>
      </c>
      <c r="D2385" t="n">
        <v>66382</v>
      </c>
      <c r="E2385" t="inlineStr">
        <is>
          <t>SEC</t>
        </is>
      </c>
    </row>
    <row r="2386">
      <c r="A2386" s="5">
        <f>HYPERLINK("https://finance.yahoo.com/quote/COUR","COUR")</f>
        <v/>
      </c>
      <c r="B2386" t="inlineStr">
        <is>
          <t>Coursera, Inc.</t>
        </is>
      </c>
      <c r="C2386" t="inlineStr">
        <is>
          <t>NYSE</t>
        </is>
      </c>
      <c r="D2386" t="n">
        <v>1651562</v>
      </c>
      <c r="E2386" t="inlineStr">
        <is>
          <t>SEC</t>
        </is>
      </c>
    </row>
    <row r="2387">
      <c r="A2387" s="5">
        <f>HYPERLINK("https://finance.yahoo.com/quote/TMP","TMP")</f>
        <v/>
      </c>
      <c r="B2387" t="inlineStr">
        <is>
          <t>TOMPKINS FINANCIAL CORP</t>
        </is>
      </c>
      <c r="C2387" t="inlineStr">
        <is>
          <t>NYSE</t>
        </is>
      </c>
      <c r="D2387" t="n">
        <v>1005817</v>
      </c>
      <c r="E2387" t="inlineStr">
        <is>
          <t>SEC</t>
        </is>
      </c>
    </row>
    <row r="2388">
      <c r="A2388" s="5">
        <f>HYPERLINK("https://finance.yahoo.com/quote/SVV","SVV")</f>
        <v/>
      </c>
      <c r="B2388" t="inlineStr">
        <is>
          <t>Savers Value Village, Inc.</t>
        </is>
      </c>
      <c r="C2388" t="inlineStr">
        <is>
          <t>NYSE</t>
        </is>
      </c>
      <c r="D2388" t="n">
        <v>1883313</v>
      </c>
      <c r="E2388" t="inlineStr">
        <is>
          <t>SEC</t>
        </is>
      </c>
    </row>
    <row r="2389">
      <c r="A2389" s="5">
        <f>HYPERLINK("https://finance.yahoo.com/quote/AGRO","AGRO")</f>
        <v/>
      </c>
      <c r="B2389" t="inlineStr">
        <is>
          <t>Adecoagro S.A.</t>
        </is>
      </c>
      <c r="C2389" t="inlineStr">
        <is>
          <t>NYSE</t>
        </is>
      </c>
      <c r="D2389" t="n">
        <v>1499505</v>
      </c>
      <c r="E2389" t="inlineStr">
        <is>
          <t>SEC</t>
        </is>
      </c>
    </row>
    <row r="2390">
      <c r="A2390" s="5">
        <f>HYPERLINK("https://finance.yahoo.com/quote/LSPD","LSPD")</f>
        <v/>
      </c>
      <c r="B2390" t="inlineStr">
        <is>
          <t>Lightspeed Commerce Inc.</t>
        </is>
      </c>
      <c r="C2390" t="inlineStr">
        <is>
          <t>NYSE</t>
        </is>
      </c>
      <c r="D2390" t="n">
        <v>1823306</v>
      </c>
      <c r="E2390" t="inlineStr">
        <is>
          <t>SEC</t>
        </is>
      </c>
    </row>
    <row r="2391">
      <c r="A2391" s="5">
        <f>HYPERLINK("https://finance.yahoo.com/quote/MLCO","MLCO")</f>
        <v/>
      </c>
      <c r="B2391" t="inlineStr">
        <is>
          <t>Melco Resorts &amp; Entertainment LTD</t>
        </is>
      </c>
      <c r="C2391" t="inlineStr">
        <is>
          <t>Nasdaq</t>
        </is>
      </c>
      <c r="D2391" t="n">
        <v>1381640</v>
      </c>
      <c r="E2391" t="inlineStr">
        <is>
          <t>SEC</t>
        </is>
      </c>
    </row>
    <row r="2392">
      <c r="A2392" s="5">
        <f>HYPERLINK("https://finance.yahoo.com/quote/TRS","TRS")</f>
        <v/>
      </c>
      <c r="B2392" t="inlineStr">
        <is>
          <t>TRIMAS CORP</t>
        </is>
      </c>
      <c r="C2392" t="inlineStr">
        <is>
          <t>Nasdaq</t>
        </is>
      </c>
      <c r="D2392" t="n">
        <v>842633</v>
      </c>
      <c r="E2392" t="inlineStr">
        <is>
          <t>SEC</t>
        </is>
      </c>
    </row>
    <row r="2393">
      <c r="A2393" s="5">
        <f>HYPERLINK("https://finance.yahoo.com/quote/BHRB","BHRB")</f>
        <v/>
      </c>
      <c r="B2393" t="inlineStr">
        <is>
          <t>Burke &amp; Herbert Financial Services Corp.</t>
        </is>
      </c>
      <c r="C2393" t="inlineStr">
        <is>
          <t>Nasdaq</t>
        </is>
      </c>
      <c r="D2393" t="n">
        <v>1964333</v>
      </c>
      <c r="E2393" t="inlineStr">
        <is>
          <t>SEC</t>
        </is>
      </c>
    </row>
    <row r="2394">
      <c r="A2394" s="5">
        <f>HYPERLINK("https://finance.yahoo.com/quote/ICHR","ICHR")</f>
        <v/>
      </c>
      <c r="B2394" t="inlineStr">
        <is>
          <t>ICHOR HOLDINGS, LTD.</t>
        </is>
      </c>
      <c r="C2394" t="inlineStr">
        <is>
          <t>Nasdaq</t>
        </is>
      </c>
      <c r="D2394" t="n">
        <v>1652535</v>
      </c>
      <c r="E2394" t="inlineStr">
        <is>
          <t>SEC</t>
        </is>
      </c>
    </row>
    <row r="2395">
      <c r="A2395" s="5">
        <f>HYPERLINK("https://finance.yahoo.com/quote/VISN","VISN")</f>
        <v/>
      </c>
      <c r="B2395" t="inlineStr">
        <is>
          <t>Vistance Networks, Inc.</t>
        </is>
      </c>
      <c r="C2395" t="inlineStr">
        <is>
          <t>Nasdaq</t>
        </is>
      </c>
      <c r="D2395" t="n">
        <v>1517228</v>
      </c>
      <c r="E2395" t="inlineStr">
        <is>
          <t>SEC</t>
        </is>
      </c>
    </row>
    <row r="2396">
      <c r="A2396" s="5">
        <f>HYPERLINK("https://finance.yahoo.com/quote/ANAB","ANAB")</f>
        <v/>
      </c>
      <c r="B2396" t="inlineStr">
        <is>
          <t>ANAPTYSBIO, INC</t>
        </is>
      </c>
      <c r="C2396" t="inlineStr">
        <is>
          <t>Nasdaq</t>
        </is>
      </c>
      <c r="D2396" t="n">
        <v>1370053</v>
      </c>
      <c r="E2396" t="inlineStr">
        <is>
          <t>SEC</t>
        </is>
      </c>
    </row>
    <row r="2397">
      <c r="A2397" s="5">
        <f>HYPERLINK("https://finance.yahoo.com/quote/AAPG","AAPG")</f>
        <v/>
      </c>
      <c r="B2397" t="inlineStr">
        <is>
          <t>ASCENTAGE PHARMA GROUP INTERNATIONAL</t>
        </is>
      </c>
      <c r="C2397" t="inlineStr">
        <is>
          <t>Nasdaq</t>
        </is>
      </c>
      <c r="D2397" t="n">
        <v>2023311</v>
      </c>
      <c r="E2397" t="inlineStr">
        <is>
          <t>SEC</t>
        </is>
      </c>
    </row>
    <row r="2398">
      <c r="A2398" s="5">
        <f>HYPERLINK("https://finance.yahoo.com/quote/ETON","ETON")</f>
        <v/>
      </c>
      <c r="B2398" t="inlineStr">
        <is>
          <t>Eton Pharmaceuticals, Inc.</t>
        </is>
      </c>
      <c r="C2398" t="inlineStr">
        <is>
          <t>Nasdaq</t>
        </is>
      </c>
      <c r="D2398" t="n">
        <v>1710340</v>
      </c>
      <c r="E2398" t="inlineStr">
        <is>
          <t>SEC</t>
        </is>
      </c>
    </row>
    <row r="2399">
      <c r="A2399" s="5">
        <f>HYPERLINK("https://finance.yahoo.com/quote/CSWC","CSWC")</f>
        <v/>
      </c>
      <c r="B2399" t="inlineStr">
        <is>
          <t>CAPITAL SOUTHWEST CORP</t>
        </is>
      </c>
      <c r="C2399" t="inlineStr">
        <is>
          <t>Nasdaq</t>
        </is>
      </c>
      <c r="D2399" t="n">
        <v>17313</v>
      </c>
      <c r="E2399" t="inlineStr">
        <is>
          <t>SEC</t>
        </is>
      </c>
    </row>
    <row r="2400">
      <c r="A2400" s="5">
        <f>HYPERLINK("https://finance.yahoo.com/quote/WABC","WABC")</f>
        <v/>
      </c>
      <c r="B2400" t="inlineStr">
        <is>
          <t>WESTAMERICA BANCORPORATION</t>
        </is>
      </c>
      <c r="C2400" t="inlineStr">
        <is>
          <t>Nasdaq</t>
        </is>
      </c>
      <c r="D2400" t="n">
        <v>311094</v>
      </c>
      <c r="E2400" t="inlineStr">
        <is>
          <t>SEC</t>
        </is>
      </c>
    </row>
    <row r="2401">
      <c r="A2401" s="5">
        <f>HYPERLINK("https://finance.yahoo.com/quote/OCUL","OCUL")</f>
        <v/>
      </c>
      <c r="B2401" t="inlineStr">
        <is>
          <t>OCULAR THERAPEUTIX, INC</t>
        </is>
      </c>
      <c r="C2401" t="inlineStr">
        <is>
          <t>Nasdaq</t>
        </is>
      </c>
      <c r="D2401" t="n">
        <v>1393434</v>
      </c>
      <c r="E2401" t="inlineStr">
        <is>
          <t>SEC</t>
        </is>
      </c>
    </row>
    <row r="2402">
      <c r="A2402" s="5">
        <f>HYPERLINK("https://finance.yahoo.com/quote/HLMN","HLMN")</f>
        <v/>
      </c>
      <c r="B2402" t="inlineStr">
        <is>
          <t>Hillman Solutions Corp.</t>
        </is>
      </c>
      <c r="C2402" t="inlineStr">
        <is>
          <t>Nasdaq</t>
        </is>
      </c>
      <c r="D2402" t="n">
        <v>1822492</v>
      </c>
      <c r="E2402" t="inlineStr">
        <is>
          <t>SEC</t>
        </is>
      </c>
    </row>
    <row r="2403">
      <c r="A2403" s="5">
        <f>HYPERLINK("https://finance.yahoo.com/quote/TYRA","TYRA")</f>
        <v/>
      </c>
      <c r="B2403" t="inlineStr">
        <is>
          <t>Tyra Biosciences, Inc.</t>
        </is>
      </c>
      <c r="C2403" t="inlineStr">
        <is>
          <t>Nasdaq</t>
        </is>
      </c>
      <c r="D2403" t="n">
        <v>1863127</v>
      </c>
      <c r="E2403" t="inlineStr">
        <is>
          <t>SEC</t>
        </is>
      </c>
    </row>
    <row r="2404">
      <c r="A2404" s="5">
        <f>HYPERLINK("https://finance.yahoo.com/quote/LCID","LCID")</f>
        <v/>
      </c>
      <c r="B2404" t="inlineStr">
        <is>
          <t>Lucid Group, Inc.</t>
        </is>
      </c>
      <c r="C2404" t="inlineStr">
        <is>
          <t>Nasdaq</t>
        </is>
      </c>
      <c r="D2404" t="n">
        <v>1811210</v>
      </c>
      <c r="E2404" t="inlineStr">
        <is>
          <t>SEC</t>
        </is>
      </c>
    </row>
    <row r="2405">
      <c r="A2405" s="5">
        <f>HYPERLINK("https://finance.yahoo.com/quote/BAND","BAND")</f>
        <v/>
      </c>
      <c r="B2405" t="inlineStr">
        <is>
          <t>Bandwidth Inc.</t>
        </is>
      </c>
      <c r="C2405" t="inlineStr">
        <is>
          <t>Nasdaq</t>
        </is>
      </c>
      <c r="D2405" t="n">
        <v>1514416</v>
      </c>
      <c r="E2405" t="inlineStr">
        <is>
          <t>SEC</t>
        </is>
      </c>
    </row>
    <row r="2406">
      <c r="A2406" s="5">
        <f>HYPERLINK("https://finance.yahoo.com/quote/GTBIF","GTBIF")</f>
        <v/>
      </c>
      <c r="B2406" t="inlineStr">
        <is>
          <t>Green Thumb Industries Inc.</t>
        </is>
      </c>
      <c r="C2406" t="inlineStr">
        <is>
          <t>OTC</t>
        </is>
      </c>
      <c r="D2406" t="n">
        <v>1795139</v>
      </c>
      <c r="E2406" t="inlineStr">
        <is>
          <t>SEC</t>
        </is>
      </c>
    </row>
    <row r="2407">
      <c r="A2407" s="5">
        <f>HYPERLINK("https://finance.yahoo.com/quote/BTT","BTT")</f>
        <v/>
      </c>
      <c r="B2407" t="inlineStr">
        <is>
          <t>BlackRock Municipal 2030 Target Term Trust</t>
        </is>
      </c>
      <c r="C2407" t="inlineStr">
        <is>
          <t>NYSE</t>
        </is>
      </c>
      <c r="D2407" t="n">
        <v>1528437</v>
      </c>
      <c r="E2407" t="inlineStr">
        <is>
          <t>SEC</t>
        </is>
      </c>
    </row>
    <row r="2408">
      <c r="A2408" s="5">
        <f>HYPERLINK("https://finance.yahoo.com/quote/BCAT","BCAT")</f>
        <v/>
      </c>
      <c r="B2408" t="inlineStr">
        <is>
          <t>BlackRock Capital Allocation Term Trust</t>
        </is>
      </c>
      <c r="C2408" t="inlineStr">
        <is>
          <t>NYSE</t>
        </is>
      </c>
      <c r="D2408" t="n">
        <v>1809541</v>
      </c>
      <c r="E2408" t="inlineStr">
        <is>
          <t>SEC</t>
        </is>
      </c>
    </row>
    <row r="2409">
      <c r="A2409" s="5">
        <f>HYPERLINK("https://finance.yahoo.com/quote/LQDT","LQDT")</f>
        <v/>
      </c>
      <c r="B2409" t="inlineStr">
        <is>
          <t>LIQUIDITY SERVICES INC</t>
        </is>
      </c>
      <c r="C2409" t="inlineStr">
        <is>
          <t>Nasdaq</t>
        </is>
      </c>
      <c r="D2409" t="n">
        <v>1235468</v>
      </c>
      <c r="E2409" t="inlineStr">
        <is>
          <t>SEC</t>
        </is>
      </c>
    </row>
    <row r="2410">
      <c r="A2410" s="5">
        <f>HYPERLINK("https://finance.yahoo.com/quote/ARLO","ARLO")</f>
        <v/>
      </c>
      <c r="B2410" t="inlineStr">
        <is>
          <t>Arlo Technologies, Inc.</t>
        </is>
      </c>
      <c r="C2410" t="inlineStr">
        <is>
          <t>NYSE</t>
        </is>
      </c>
      <c r="D2410" t="n">
        <v>1736946</v>
      </c>
      <c r="E2410" t="inlineStr">
        <is>
          <t>SEC</t>
        </is>
      </c>
    </row>
    <row r="2411">
      <c r="A2411" s="5">
        <f>HYPERLINK("https://finance.yahoo.com/quote/HLF","HLF")</f>
        <v/>
      </c>
      <c r="B2411" t="inlineStr">
        <is>
          <t>HERBALIFE LTD.</t>
        </is>
      </c>
      <c r="C2411" t="inlineStr">
        <is>
          <t>NYSE</t>
        </is>
      </c>
      <c r="D2411" t="n">
        <v>1180262</v>
      </c>
      <c r="E2411" t="inlineStr">
        <is>
          <t>SEC</t>
        </is>
      </c>
    </row>
    <row r="2412">
      <c r="A2412" s="5">
        <f>HYPERLINK("https://finance.yahoo.com/quote/RES","RES")</f>
        <v/>
      </c>
      <c r="B2412" t="inlineStr">
        <is>
          <t>RPC INC</t>
        </is>
      </c>
      <c r="C2412" t="inlineStr">
        <is>
          <t>NYSE</t>
        </is>
      </c>
      <c r="D2412" t="n">
        <v>742278</v>
      </c>
      <c r="E2412" t="inlineStr">
        <is>
          <t>SEC</t>
        </is>
      </c>
    </row>
    <row r="2413">
      <c r="A2413" s="5">
        <f>HYPERLINK("https://finance.yahoo.com/quote/DMC","DMC")</f>
        <v/>
      </c>
      <c r="B2413" t="inlineStr">
        <is>
          <t>DEL MONTE CORP</t>
        </is>
      </c>
      <c r="C2413" t="inlineStr">
        <is>
          <t>NYSE</t>
        </is>
      </c>
      <c r="D2413" t="n">
        <v>1047340</v>
      </c>
      <c r="E2413" t="inlineStr">
        <is>
          <t>SEC</t>
        </is>
      </c>
    </row>
    <row r="2414">
      <c r="A2414" s="5">
        <f>HYPERLINK("https://finance.yahoo.com/quote/INBX","INBX")</f>
        <v/>
      </c>
      <c r="B2414" t="inlineStr">
        <is>
          <t>Inhibrx Biosciences, Inc.</t>
        </is>
      </c>
      <c r="C2414" t="inlineStr">
        <is>
          <t>Nasdaq</t>
        </is>
      </c>
      <c r="D2414" t="n">
        <v>2007919</v>
      </c>
      <c r="E2414" t="inlineStr">
        <is>
          <t>SEC</t>
        </is>
      </c>
    </row>
    <row r="2415">
      <c r="A2415" s="5">
        <f>HYPERLINK("https://finance.yahoo.com/quote/KEEL","KEEL")</f>
        <v/>
      </c>
      <c r="B2415" t="inlineStr">
        <is>
          <t>Keel Infrastructure Corp.</t>
        </is>
      </c>
      <c r="C2415" t="inlineStr">
        <is>
          <t>Nasdaq</t>
        </is>
      </c>
      <c r="D2415" t="n">
        <v>1812477</v>
      </c>
      <c r="E2415" t="inlineStr">
        <is>
          <t>SEC</t>
        </is>
      </c>
    </row>
    <row r="2416">
      <c r="A2416" s="5">
        <f>HYPERLINK("https://finance.yahoo.com/quote/NSSC","NSSC")</f>
        <v/>
      </c>
      <c r="B2416" t="inlineStr">
        <is>
          <t>NAPCO SECURITY TECHNOLOGIES, INC</t>
        </is>
      </c>
      <c r="C2416" t="inlineStr">
        <is>
          <t>Nasdaq</t>
        </is>
      </c>
      <c r="D2416" t="n">
        <v>69633</v>
      </c>
      <c r="E2416" t="inlineStr">
        <is>
          <t>SEC</t>
        </is>
      </c>
    </row>
    <row r="2417">
      <c r="A2417" s="5">
        <f>HYPERLINK("https://finance.yahoo.com/quote/STC","STC")</f>
        <v/>
      </c>
      <c r="B2417" t="inlineStr">
        <is>
          <t>STEWART INFORMATION SERVICES CORP</t>
        </is>
      </c>
      <c r="C2417" t="inlineStr">
        <is>
          <t>NYSE</t>
        </is>
      </c>
      <c r="D2417" t="n">
        <v>94344</v>
      </c>
      <c r="E2417" t="inlineStr">
        <is>
          <t>SEC</t>
        </is>
      </c>
    </row>
    <row r="2418">
      <c r="A2418" s="5">
        <f>HYPERLINK("https://finance.yahoo.com/quote/PRKS","PRKS")</f>
        <v/>
      </c>
      <c r="B2418" t="inlineStr">
        <is>
          <t>United Parks &amp; Resorts Inc.</t>
        </is>
      </c>
      <c r="C2418" t="inlineStr">
        <is>
          <t>NYSE</t>
        </is>
      </c>
      <c r="D2418" t="n">
        <v>1564902</v>
      </c>
      <c r="E2418" t="inlineStr">
        <is>
          <t>SEC</t>
        </is>
      </c>
    </row>
    <row r="2419">
      <c r="A2419" s="5">
        <f>HYPERLINK("https://finance.yahoo.com/quote/BORR","BORR")</f>
        <v/>
      </c>
      <c r="B2419" t="inlineStr">
        <is>
          <t>Borr Drilling Ltd</t>
        </is>
      </c>
      <c r="C2419" t="inlineStr">
        <is>
          <t>NYSE</t>
        </is>
      </c>
      <c r="D2419" t="n">
        <v>1715497</v>
      </c>
      <c r="E2419" t="inlineStr">
        <is>
          <t>SEC</t>
        </is>
      </c>
    </row>
    <row r="2420">
      <c r="A2420" s="5">
        <f>HYPERLINK("https://finance.yahoo.com/quote/FRNM","FRNM")</f>
        <v/>
      </c>
      <c r="B2420" t="inlineStr">
        <is>
          <t>Freenome, Inc.</t>
        </is>
      </c>
      <c r="C2420" t="inlineStr">
        <is>
          <t>Nasdaq</t>
        </is>
      </c>
      <c r="D2420" t="n">
        <v>2017526</v>
      </c>
      <c r="E2420" t="inlineStr">
        <is>
          <t>SEC</t>
        </is>
      </c>
    </row>
    <row r="2421">
      <c r="A2421" s="5">
        <f>HYPERLINK("https://finance.yahoo.com/quote/NFJ","NFJ")</f>
        <v/>
      </c>
      <c r="B2421" t="inlineStr">
        <is>
          <t>Virtus Dividend, Interest &amp; Premium Strategy Fund</t>
        </is>
      </c>
      <c r="C2421" t="inlineStr">
        <is>
          <t>NYSE</t>
        </is>
      </c>
      <c r="D2421" t="n">
        <v>1260563</v>
      </c>
      <c r="E2421" t="inlineStr">
        <is>
          <t>SEC</t>
        </is>
      </c>
    </row>
    <row r="2422">
      <c r="A2422" s="5">
        <f>HYPERLINK("https://finance.yahoo.com/quote/DFIN","DFIN")</f>
        <v/>
      </c>
      <c r="B2422" t="inlineStr">
        <is>
          <t>Donnelley Financial Solutions, Inc.</t>
        </is>
      </c>
      <c r="C2422" t="inlineStr">
        <is>
          <t>NYSE</t>
        </is>
      </c>
      <c r="D2422" t="n">
        <v>1669811</v>
      </c>
      <c r="E2422" t="inlineStr">
        <is>
          <t>SEC</t>
        </is>
      </c>
    </row>
    <row r="2423">
      <c r="A2423" s="5">
        <f>HYPERLINK("https://finance.yahoo.com/quote/PD","PD")</f>
        <v/>
      </c>
      <c r="B2423" t="inlineStr">
        <is>
          <t>PagerDuty, Inc.</t>
        </is>
      </c>
      <c r="C2423" t="inlineStr">
        <is>
          <t>NYSE</t>
        </is>
      </c>
      <c r="D2423" t="n">
        <v>1568100</v>
      </c>
      <c r="E2423" t="inlineStr">
        <is>
          <t>SEC</t>
        </is>
      </c>
    </row>
    <row r="2424">
      <c r="A2424" s="5">
        <f>HYPERLINK("https://finance.yahoo.com/quote/SFDMY","SFDMY")</f>
        <v/>
      </c>
      <c r="B2424" t="inlineStr">
        <is>
          <t>Shanghai Fudan Microelectronics Co Limited/ADR/</t>
        </is>
      </c>
      <c r="C2424" t="inlineStr">
        <is>
          <t>OTC</t>
        </is>
      </c>
      <c r="D2424" t="n">
        <v>1493507</v>
      </c>
      <c r="E2424" t="inlineStr">
        <is>
          <t>SEC</t>
        </is>
      </c>
    </row>
    <row r="2425">
      <c r="A2425" s="5">
        <f>HYPERLINK("https://finance.yahoo.com/quote/ORIC","ORIC")</f>
        <v/>
      </c>
      <c r="B2425" t="inlineStr">
        <is>
          <t>Oric Pharmaceuticals, Inc.</t>
        </is>
      </c>
      <c r="C2425" t="inlineStr">
        <is>
          <t>Nasdaq</t>
        </is>
      </c>
      <c r="D2425" t="n">
        <v>1796280</v>
      </c>
      <c r="E2425" t="inlineStr">
        <is>
          <t>SEC</t>
        </is>
      </c>
    </row>
    <row r="2426">
      <c r="A2426" s="5">
        <f>HYPERLINK("https://finance.yahoo.com/quote/PEBO","PEBO")</f>
        <v/>
      </c>
      <c r="B2426" t="inlineStr">
        <is>
          <t>PEOPLES BANCORP INC</t>
        </is>
      </c>
      <c r="C2426" t="inlineStr">
        <is>
          <t>Nasdaq</t>
        </is>
      </c>
      <c r="D2426" t="n">
        <v>318300</v>
      </c>
      <c r="E2426" t="inlineStr">
        <is>
          <t>SEC</t>
        </is>
      </c>
    </row>
    <row r="2427">
      <c r="A2427" s="5">
        <f>HYPERLINK("https://finance.yahoo.com/quote/WRD","WRD")</f>
        <v/>
      </c>
      <c r="B2427" t="inlineStr">
        <is>
          <t>WeRide Inc.</t>
        </is>
      </c>
      <c r="C2427" t="inlineStr">
        <is>
          <t>Nasdaq</t>
        </is>
      </c>
      <c r="D2427" t="n">
        <v>1867729</v>
      </c>
      <c r="E2427" t="inlineStr">
        <is>
          <t>SEC</t>
        </is>
      </c>
    </row>
    <row r="2428">
      <c r="A2428" s="5">
        <f>HYPERLINK("https://finance.yahoo.com/quote/TH","TH")</f>
        <v/>
      </c>
      <c r="B2428" t="inlineStr">
        <is>
          <t>Target Hospitality Corp.</t>
        </is>
      </c>
      <c r="C2428" t="inlineStr">
        <is>
          <t>Nasdaq</t>
        </is>
      </c>
      <c r="D2428" t="n">
        <v>1712189</v>
      </c>
      <c r="E2428" t="inlineStr">
        <is>
          <t>SEC</t>
        </is>
      </c>
    </row>
    <row r="2429">
      <c r="A2429" s="5">
        <f>HYPERLINK("https://finance.yahoo.com/quote/FOIL","FOIL")</f>
        <v/>
      </c>
      <c r="B2429" t="inlineStr">
        <is>
          <t>Londian Wason New Energy Tech Inc.</t>
        </is>
      </c>
      <c r="C2429" t="inlineStr">
        <is>
          <t>NYSE</t>
        </is>
      </c>
      <c r="D2429" t="n">
        <v>2006960</v>
      </c>
      <c r="E2429" t="inlineStr">
        <is>
          <t>SEC</t>
        </is>
      </c>
    </row>
    <row r="2430">
      <c r="A2430" s="5">
        <f>HYPERLINK("https://finance.yahoo.com/quote/UVE","UVE")</f>
        <v/>
      </c>
      <c r="B2430" t="inlineStr">
        <is>
          <t>UNIVERSAL INSURANCE HOLDINGS, INC.</t>
        </is>
      </c>
      <c r="C2430" t="inlineStr">
        <is>
          <t>NYSE</t>
        </is>
      </c>
      <c r="D2430" t="n">
        <v>891166</v>
      </c>
      <c r="E2430" t="inlineStr">
        <is>
          <t>SEC</t>
        </is>
      </c>
    </row>
    <row r="2431">
      <c r="A2431" s="5">
        <f>HYPERLINK("https://finance.yahoo.com/quote/FMBH","FMBH")</f>
        <v/>
      </c>
      <c r="B2431" t="inlineStr">
        <is>
          <t>FIRST MID BANCSHARES, INC.</t>
        </is>
      </c>
      <c r="C2431" t="inlineStr">
        <is>
          <t>Nasdaq</t>
        </is>
      </c>
      <c r="D2431" t="n">
        <v>700565</v>
      </c>
      <c r="E2431" t="inlineStr">
        <is>
          <t>SEC</t>
        </is>
      </c>
    </row>
    <row r="2432">
      <c r="A2432" s="5">
        <f>HYPERLINK("https://finance.yahoo.com/quote/DXYZ","DXYZ")</f>
        <v/>
      </c>
      <c r="B2432" t="inlineStr">
        <is>
          <t>Destiny Tech100 Inc.</t>
        </is>
      </c>
      <c r="C2432" t="inlineStr">
        <is>
          <t>NYSE</t>
        </is>
      </c>
      <c r="D2432" t="n">
        <v>1843974</v>
      </c>
      <c r="E2432" t="inlineStr">
        <is>
          <t>SEC</t>
        </is>
      </c>
    </row>
    <row r="2433">
      <c r="A2433" s="5">
        <f>HYPERLINK("https://finance.yahoo.com/quote/REAL","REAL")</f>
        <v/>
      </c>
      <c r="B2433" t="inlineStr">
        <is>
          <t>TheRealReal, Inc.</t>
        </is>
      </c>
      <c r="C2433" t="inlineStr">
        <is>
          <t>Nasdaq</t>
        </is>
      </c>
      <c r="D2433" t="n">
        <v>1573221</v>
      </c>
      <c r="E2433" t="inlineStr">
        <is>
          <t>SEC</t>
        </is>
      </c>
    </row>
    <row r="2434">
      <c r="A2434" s="5">
        <f>HYPERLINK("https://finance.yahoo.com/quote/AFYA","AFYA")</f>
        <v/>
      </c>
      <c r="B2434" t="inlineStr">
        <is>
          <t>Afya Ltd</t>
        </is>
      </c>
      <c r="C2434" t="inlineStr">
        <is>
          <t>Nasdaq</t>
        </is>
      </c>
      <c r="D2434" t="n">
        <v>1771007</v>
      </c>
      <c r="E2434" t="inlineStr">
        <is>
          <t>SEC</t>
        </is>
      </c>
    </row>
    <row r="2435">
      <c r="A2435" s="5">
        <f>HYPERLINK("https://finance.yahoo.com/quote/NVGS","NVGS")</f>
        <v/>
      </c>
      <c r="B2435" t="inlineStr">
        <is>
          <t>Navigator Holdings Ltd.</t>
        </is>
      </c>
      <c r="C2435" t="inlineStr">
        <is>
          <t>NYSE</t>
        </is>
      </c>
      <c r="D2435" t="n">
        <v>1581804</v>
      </c>
      <c r="E2435" t="inlineStr">
        <is>
          <t>SEC</t>
        </is>
      </c>
    </row>
    <row r="2436">
      <c r="A2436" s="5">
        <f>HYPERLINK("https://finance.yahoo.com/quote/GO","GO")</f>
        <v/>
      </c>
      <c r="B2436" t="inlineStr">
        <is>
          <t>Grocery Outlet Holding Corp.</t>
        </is>
      </c>
      <c r="C2436" t="inlineStr">
        <is>
          <t>Nasdaq</t>
        </is>
      </c>
      <c r="D2436" t="n">
        <v>1771515</v>
      </c>
      <c r="E2436" t="inlineStr">
        <is>
          <t>SEC</t>
        </is>
      </c>
    </row>
    <row r="2437">
      <c r="A2437" s="5">
        <f>HYPERLINK("https://finance.yahoo.com/quote/USPH","USPH")</f>
        <v/>
      </c>
      <c r="B2437" t="inlineStr">
        <is>
          <t>U S PHYSICAL THERAPY INC /NV</t>
        </is>
      </c>
      <c r="C2437" t="inlineStr">
        <is>
          <t>NYSE</t>
        </is>
      </c>
      <c r="D2437" t="n">
        <v>885978</v>
      </c>
      <c r="E2437" t="inlineStr">
        <is>
          <t>SEC</t>
        </is>
      </c>
    </row>
    <row r="2438">
      <c r="A2438" s="5">
        <f>HYPERLINK("https://finance.yahoo.com/quote/FOR","FOR")</f>
        <v/>
      </c>
      <c r="B2438" t="inlineStr">
        <is>
          <t>Forestar Group Inc.</t>
        </is>
      </c>
      <c r="C2438" t="inlineStr">
        <is>
          <t>NYSE</t>
        </is>
      </c>
      <c r="D2438" t="n">
        <v>1406587</v>
      </c>
      <c r="E2438" t="inlineStr">
        <is>
          <t>SEC</t>
        </is>
      </c>
    </row>
    <row r="2439">
      <c r="A2439" s="5">
        <f>HYPERLINK("https://finance.yahoo.com/quote/ESBA","ESBA")</f>
        <v/>
      </c>
      <c r="B2439" t="inlineStr">
        <is>
          <t>Empire State Realty OP, L.P.</t>
        </is>
      </c>
      <c r="C2439" t="inlineStr">
        <is>
          <t>NYSE</t>
        </is>
      </c>
      <c r="D2439" t="n">
        <v>1553079</v>
      </c>
      <c r="E2439" t="inlineStr">
        <is>
          <t>SEC</t>
        </is>
      </c>
    </row>
    <row r="2440">
      <c r="A2440" s="5">
        <f>HYPERLINK("https://finance.yahoo.com/quote/REX","REX")</f>
        <v/>
      </c>
      <c r="B2440" t="inlineStr">
        <is>
          <t>REX AMERICAN RESOURCES Corp</t>
        </is>
      </c>
      <c r="C2440" t="inlineStr">
        <is>
          <t>NYSE</t>
        </is>
      </c>
      <c r="D2440" t="n">
        <v>744187</v>
      </c>
      <c r="E2440" t="inlineStr">
        <is>
          <t>SEC</t>
        </is>
      </c>
    </row>
    <row r="2441">
      <c r="A2441" s="5">
        <f>HYPERLINK("https://finance.yahoo.com/quote/HBT","HBT")</f>
        <v/>
      </c>
      <c r="B2441" t="inlineStr">
        <is>
          <t>HBT Financial, Inc.</t>
        </is>
      </c>
      <c r="C2441" t="inlineStr">
        <is>
          <t>Nasdaq</t>
        </is>
      </c>
      <c r="D2441" t="n">
        <v>775215</v>
      </c>
      <c r="E2441" t="inlineStr">
        <is>
          <t>SEC</t>
        </is>
      </c>
    </row>
    <row r="2442">
      <c r="A2442" s="5">
        <f>HYPERLINK("https://finance.yahoo.com/quote/UROY","UROY")</f>
        <v/>
      </c>
      <c r="B2442" t="inlineStr">
        <is>
          <t>Uranium Royalty Corp.</t>
        </is>
      </c>
      <c r="C2442" t="inlineStr">
        <is>
          <t>Nasdaq</t>
        </is>
      </c>
      <c r="D2442" t="n">
        <v>2143673</v>
      </c>
      <c r="E2442" t="inlineStr">
        <is>
          <t>SEC</t>
        </is>
      </c>
    </row>
    <row r="2443">
      <c r="A2443" s="5">
        <f>HYPERLINK("https://finance.yahoo.com/quote/CRCT","CRCT")</f>
        <v/>
      </c>
      <c r="B2443" t="inlineStr">
        <is>
          <t>Cricut, Inc.</t>
        </is>
      </c>
      <c r="C2443" t="inlineStr">
        <is>
          <t>Nasdaq</t>
        </is>
      </c>
      <c r="D2443" t="n">
        <v>1828962</v>
      </c>
      <c r="E2443" t="inlineStr">
        <is>
          <t>SEC</t>
        </is>
      </c>
    </row>
    <row r="2444">
      <c r="A2444" s="5">
        <f>HYPERLINK("https://finance.yahoo.com/quote/UMH","UMH")</f>
        <v/>
      </c>
      <c r="B2444" t="inlineStr">
        <is>
          <t>UMH PROPERTIES, INC.</t>
        </is>
      </c>
      <c r="C2444" t="inlineStr">
        <is>
          <t>NYSE</t>
        </is>
      </c>
      <c r="D2444" t="n">
        <v>752642</v>
      </c>
      <c r="E2444" t="inlineStr">
        <is>
          <t>SEC</t>
        </is>
      </c>
    </row>
    <row r="2445">
      <c r="A2445" s="5">
        <f>HYPERLINK("https://finance.yahoo.com/quote/ECAT","ECAT")</f>
        <v/>
      </c>
      <c r="B2445" t="inlineStr">
        <is>
          <t>BlackRock ESG Capital Allocation Term Trust</t>
        </is>
      </c>
      <c r="C2445" t="inlineStr">
        <is>
          <t>NYSE</t>
        </is>
      </c>
      <c r="D2445" t="n">
        <v>1864843</v>
      </c>
      <c r="E2445" t="inlineStr">
        <is>
          <t>SEC</t>
        </is>
      </c>
    </row>
    <row r="2446">
      <c r="A2446" s="5">
        <f>HYPERLINK("https://finance.yahoo.com/quote/RDWR","RDWR")</f>
        <v/>
      </c>
      <c r="B2446" t="inlineStr">
        <is>
          <t>RADWARE LTD</t>
        </is>
      </c>
      <c r="C2446" t="inlineStr">
        <is>
          <t>Nasdaq</t>
        </is>
      </c>
      <c r="D2446" t="n">
        <v>1094366</v>
      </c>
      <c r="E2446" t="inlineStr">
        <is>
          <t>SEC</t>
        </is>
      </c>
    </row>
    <row r="2447">
      <c r="A2447" s="5">
        <f>HYPERLINK("https://finance.yahoo.com/quote/ATLC","ATLC")</f>
        <v/>
      </c>
      <c r="B2447" t="inlineStr">
        <is>
          <t>Atlanticus Holdings Corp</t>
        </is>
      </c>
      <c r="C2447" t="inlineStr">
        <is>
          <t>Nasdaq</t>
        </is>
      </c>
      <c r="D2447" t="n">
        <v>1464343</v>
      </c>
      <c r="E2447" t="inlineStr">
        <is>
          <t>SEC</t>
        </is>
      </c>
    </row>
    <row r="2448">
      <c r="A2448" s="5">
        <f>HYPERLINK("https://finance.yahoo.com/quote/LUXE","LUXE")</f>
        <v/>
      </c>
      <c r="B2448" t="inlineStr">
        <is>
          <t>LuxExperience B.V.</t>
        </is>
      </c>
      <c r="C2448" t="inlineStr">
        <is>
          <t>NYSE</t>
        </is>
      </c>
      <c r="D2448" t="n">
        <v>1831907</v>
      </c>
      <c r="E2448" t="inlineStr">
        <is>
          <t>SEC</t>
        </is>
      </c>
    </row>
    <row r="2449">
      <c r="A2449" s="5">
        <f>HYPERLINK("https://finance.yahoo.com/quote/FLO","FLO")</f>
        <v/>
      </c>
      <c r="B2449" t="inlineStr">
        <is>
          <t>FLOWERS FOODS INC</t>
        </is>
      </c>
      <c r="C2449" t="inlineStr">
        <is>
          <t>NYSE</t>
        </is>
      </c>
      <c r="D2449" t="n">
        <v>1128928</v>
      </c>
      <c r="E2449" t="inlineStr">
        <is>
          <t>SEC</t>
        </is>
      </c>
    </row>
    <row r="2450">
      <c r="A2450" s="5">
        <f>HYPERLINK("https://finance.yahoo.com/quote/ADNT","ADNT")</f>
        <v/>
      </c>
      <c r="B2450" t="inlineStr">
        <is>
          <t>Adient plc</t>
        </is>
      </c>
      <c r="C2450" t="inlineStr">
        <is>
          <t>NYSE</t>
        </is>
      </c>
      <c r="D2450" t="n">
        <v>1670541</v>
      </c>
      <c r="E2450" t="inlineStr">
        <is>
          <t>SEC</t>
        </is>
      </c>
    </row>
    <row r="2451">
      <c r="A2451" s="5">
        <f>HYPERLINK("https://finance.yahoo.com/quote/INNV","INNV")</f>
        <v/>
      </c>
      <c r="B2451" t="inlineStr">
        <is>
          <t>InnovAge Holding Corp.</t>
        </is>
      </c>
      <c r="C2451" t="inlineStr">
        <is>
          <t>Nasdaq</t>
        </is>
      </c>
      <c r="D2451" t="n">
        <v>1834376</v>
      </c>
      <c r="E2451" t="inlineStr">
        <is>
          <t>SEC</t>
        </is>
      </c>
    </row>
    <row r="2452">
      <c r="A2452" s="5">
        <f>HYPERLINK("https://finance.yahoo.com/quote/SLVM","SLVM")</f>
        <v/>
      </c>
      <c r="B2452" t="inlineStr">
        <is>
          <t>Sylvamo Corp</t>
        </is>
      </c>
      <c r="C2452" t="inlineStr">
        <is>
          <t>NYSE</t>
        </is>
      </c>
      <c r="D2452" t="n">
        <v>1856485</v>
      </c>
      <c r="E2452" t="inlineStr">
        <is>
          <t>SEC</t>
        </is>
      </c>
    </row>
    <row r="2453">
      <c r="A2453" s="5">
        <f>HYPERLINK("https://finance.yahoo.com/quote/SHLS","SHLS")</f>
        <v/>
      </c>
      <c r="B2453" t="inlineStr">
        <is>
          <t>Shoals Technologies Group, Inc.</t>
        </is>
      </c>
      <c r="C2453" t="inlineStr">
        <is>
          <t>Nasdaq</t>
        </is>
      </c>
      <c r="D2453" t="n">
        <v>1831651</v>
      </c>
      <c r="E2453" t="inlineStr">
        <is>
          <t>SEC</t>
        </is>
      </c>
    </row>
    <row r="2454">
      <c r="A2454" s="5">
        <f>HYPERLINK("https://finance.yahoo.com/quote/TPB","TPB")</f>
        <v/>
      </c>
      <c r="B2454" t="inlineStr">
        <is>
          <t>Turning Point Brands, Inc.</t>
        </is>
      </c>
      <c r="C2454" t="inlineStr">
        <is>
          <t>NYSE</t>
        </is>
      </c>
      <c r="D2454" t="n">
        <v>1290677</v>
      </c>
      <c r="E2454" t="inlineStr">
        <is>
          <t>SEC</t>
        </is>
      </c>
    </row>
    <row r="2455">
      <c r="A2455" s="5">
        <f>HYPERLINK("https://finance.yahoo.com/quote/NWCL","NWCL")</f>
        <v/>
      </c>
      <c r="B2455" t="inlineStr">
        <is>
          <t>newcleo plc</t>
        </is>
      </c>
      <c r="C2455" t="inlineStr">
        <is>
          <t>Nasdaq</t>
        </is>
      </c>
      <c r="D2455" t="n">
        <v>2131813</v>
      </c>
      <c r="E2455" t="inlineStr">
        <is>
          <t>SEC</t>
        </is>
      </c>
    </row>
    <row r="2456">
      <c r="A2456" s="5">
        <f>HYPERLINK("https://finance.yahoo.com/quote/CTBI","CTBI")</f>
        <v/>
      </c>
      <c r="B2456" t="inlineStr">
        <is>
          <t>COMMUNITY TRUST BANCORP INC /KY/</t>
        </is>
      </c>
      <c r="C2456" t="inlineStr">
        <is>
          <t>Nasdaq</t>
        </is>
      </c>
      <c r="D2456" t="n">
        <v>350852</v>
      </c>
      <c r="E2456" t="inlineStr">
        <is>
          <t>SEC</t>
        </is>
      </c>
    </row>
    <row r="2457">
      <c r="A2457" s="5">
        <f>HYPERLINK("https://finance.yahoo.com/quote/DMRA","DMRA")</f>
        <v/>
      </c>
      <c r="B2457" t="inlineStr">
        <is>
          <t>Damora Therapeutics, Inc.</t>
        </is>
      </c>
      <c r="C2457" t="inlineStr">
        <is>
          <t>Nasdaq</t>
        </is>
      </c>
      <c r="D2457" t="n">
        <v>1800315</v>
      </c>
      <c r="E2457" t="inlineStr">
        <is>
          <t>SEC</t>
        </is>
      </c>
    </row>
    <row r="2458">
      <c r="A2458" s="5">
        <f>HYPERLINK("https://finance.yahoo.com/quote/EPC","EPC")</f>
        <v/>
      </c>
      <c r="B2458" t="inlineStr">
        <is>
          <t>EDGEWELL PERSONAL CARE Co</t>
        </is>
      </c>
      <c r="C2458" t="inlineStr">
        <is>
          <t>NYSE</t>
        </is>
      </c>
      <c r="D2458" t="n">
        <v>1096752</v>
      </c>
      <c r="E2458" t="inlineStr">
        <is>
          <t>SEC</t>
        </is>
      </c>
    </row>
    <row r="2459">
      <c r="A2459" s="5">
        <f>HYPERLINK("https://finance.yahoo.com/quote/MNSKY","MNSKY")</f>
        <v/>
      </c>
      <c r="B2459" t="inlineStr">
        <is>
          <t>MoneySupermarket.com Group PLC/ADR</t>
        </is>
      </c>
      <c r="C2459" t="inlineStr">
        <is>
          <t>OTC</t>
        </is>
      </c>
      <c r="D2459" t="n">
        <v>1584297</v>
      </c>
      <c r="E2459" t="inlineStr">
        <is>
          <t>SEC</t>
        </is>
      </c>
    </row>
    <row r="2460">
      <c r="A2460" s="5">
        <f>HYPERLINK("https://finance.yahoo.com/quote/RDVT","RDVT")</f>
        <v/>
      </c>
      <c r="B2460" t="inlineStr">
        <is>
          <t>Red Violet, Inc.</t>
        </is>
      </c>
      <c r="C2460" t="inlineStr">
        <is>
          <t>Nasdaq</t>
        </is>
      </c>
      <c r="D2460" t="n">
        <v>1720116</v>
      </c>
      <c r="E2460" t="inlineStr">
        <is>
          <t>SEC</t>
        </is>
      </c>
    </row>
    <row r="2461">
      <c r="A2461" s="5">
        <f>HYPERLINK("https://finance.yahoo.com/quote/WBTN","WBTN")</f>
        <v/>
      </c>
      <c r="B2461" t="inlineStr">
        <is>
          <t>WEBTOON Entertainment Inc.</t>
        </is>
      </c>
      <c r="C2461" t="inlineStr">
        <is>
          <t>Nasdaq</t>
        </is>
      </c>
      <c r="D2461" t="n">
        <v>1997859</v>
      </c>
      <c r="E2461" t="inlineStr">
        <is>
          <t>SEC</t>
        </is>
      </c>
    </row>
    <row r="2462">
      <c r="A2462" s="5">
        <f>HYPERLINK("https://finance.yahoo.com/quote/SECZ","SECZ")</f>
        <v/>
      </c>
      <c r="B2462" t="inlineStr">
        <is>
          <t>Securitize Corp.</t>
        </is>
      </c>
      <c r="C2462" t="inlineStr">
        <is>
          <t>NYSE</t>
        </is>
      </c>
      <c r="D2462" t="n">
        <v>2094496</v>
      </c>
      <c r="E2462" t="inlineStr">
        <is>
          <t>SEC</t>
        </is>
      </c>
    </row>
    <row r="2463">
      <c r="A2463" s="5">
        <f>HYPERLINK("https://finance.yahoo.com/quote/TRUP","TRUP")</f>
        <v/>
      </c>
      <c r="B2463" t="inlineStr">
        <is>
          <t>TRUPANION, INC.</t>
        </is>
      </c>
      <c r="C2463" t="inlineStr">
        <is>
          <t>Nasdaq</t>
        </is>
      </c>
      <c r="D2463" t="n">
        <v>1371285</v>
      </c>
      <c r="E2463" t="inlineStr">
        <is>
          <t>SEC</t>
        </is>
      </c>
    </row>
    <row r="2464">
      <c r="A2464" s="5">
        <f>HYPERLINK("https://finance.yahoo.com/quote/GIII","GIII")</f>
        <v/>
      </c>
      <c r="B2464" t="inlineStr">
        <is>
          <t>G III APPAREL GROUP LTD /DE/</t>
        </is>
      </c>
      <c r="C2464" t="inlineStr">
        <is>
          <t>Nasdaq</t>
        </is>
      </c>
      <c r="D2464" t="n">
        <v>821002</v>
      </c>
      <c r="E2464" t="inlineStr">
        <is>
          <t>SEC</t>
        </is>
      </c>
    </row>
    <row r="2465">
      <c r="A2465" s="5">
        <f>HYPERLINK("https://finance.yahoo.com/quote/TK","TK")</f>
        <v/>
      </c>
      <c r="B2465" t="inlineStr">
        <is>
          <t>TEEKAY CORP LTD</t>
        </is>
      </c>
      <c r="C2465" t="inlineStr">
        <is>
          <t>NYSE</t>
        </is>
      </c>
      <c r="D2465" t="n">
        <v>911971</v>
      </c>
      <c r="E2465" t="inlineStr">
        <is>
          <t>SEC</t>
        </is>
      </c>
    </row>
    <row r="2466">
      <c r="A2466" s="5">
        <f>HYPERLINK("https://finance.yahoo.com/quote/CDRE","CDRE")</f>
        <v/>
      </c>
      <c r="B2466" t="inlineStr">
        <is>
          <t>Cadre Holdings, Inc.</t>
        </is>
      </c>
      <c r="C2466" t="inlineStr">
        <is>
          <t>NYSE</t>
        </is>
      </c>
      <c r="D2466" t="n">
        <v>1860543</v>
      </c>
      <c r="E2466" t="inlineStr">
        <is>
          <t>SEC</t>
        </is>
      </c>
    </row>
    <row r="2467">
      <c r="A2467" s="5">
        <f>HYPERLINK("https://finance.yahoo.com/quote/NKTR","NKTR")</f>
        <v/>
      </c>
      <c r="B2467" t="inlineStr">
        <is>
          <t>NEKTAR THERAPEUTICS</t>
        </is>
      </c>
      <c r="C2467" t="inlineStr">
        <is>
          <t>Nasdaq</t>
        </is>
      </c>
      <c r="D2467" t="n">
        <v>906709</v>
      </c>
      <c r="E2467" t="inlineStr">
        <is>
          <t>SEC</t>
        </is>
      </c>
    </row>
    <row r="2468">
      <c r="A2468" s="5">
        <f>HYPERLINK("https://finance.yahoo.com/quote/PFBC","PFBC")</f>
        <v/>
      </c>
      <c r="B2468" t="inlineStr">
        <is>
          <t>Preferred Bank</t>
        </is>
      </c>
      <c r="C2468" t="inlineStr">
        <is>
          <t>Nasdaq</t>
        </is>
      </c>
      <c r="D2468" t="n">
        <v>1492165</v>
      </c>
      <c r="E2468" t="inlineStr">
        <is>
          <t>SEC</t>
        </is>
      </c>
    </row>
    <row r="2469">
      <c r="A2469" s="5">
        <f>HYPERLINK("https://finance.yahoo.com/quote/IAUX","IAUX")</f>
        <v/>
      </c>
      <c r="B2469" t="inlineStr">
        <is>
          <t>i-80 Gold Corp.</t>
        </is>
      </c>
      <c r="C2469" t="inlineStr">
        <is>
          <t>NYSE</t>
        </is>
      </c>
      <c r="D2469" t="n">
        <v>1853962</v>
      </c>
      <c r="E2469" t="inlineStr">
        <is>
          <t>SEC</t>
        </is>
      </c>
    </row>
    <row r="2470">
      <c r="A2470" s="5">
        <f>HYPERLINK("https://finance.yahoo.com/quote/IE","IE")</f>
        <v/>
      </c>
      <c r="B2470" t="inlineStr">
        <is>
          <t>Ivanhoe Electric Inc.</t>
        </is>
      </c>
      <c r="C2470" t="inlineStr">
        <is>
          <t>NYSE</t>
        </is>
      </c>
      <c r="D2470" t="n">
        <v>1879016</v>
      </c>
      <c r="E2470" t="inlineStr">
        <is>
          <t>SEC</t>
        </is>
      </c>
    </row>
    <row r="2471">
      <c r="A2471" s="5">
        <f>HYPERLINK("https://finance.yahoo.com/quote/DOLE","DOLE")</f>
        <v/>
      </c>
      <c r="B2471" t="inlineStr">
        <is>
          <t>Dole plc</t>
        </is>
      </c>
      <c r="C2471" t="inlineStr">
        <is>
          <t>NYSE</t>
        </is>
      </c>
      <c r="D2471" t="n">
        <v>1857475</v>
      </c>
      <c r="E2471" t="inlineStr">
        <is>
          <t>SEC</t>
        </is>
      </c>
    </row>
    <row r="2472">
      <c r="A2472" s="5">
        <f>HYPERLINK("https://finance.yahoo.com/quote/ALX","ALX")</f>
        <v/>
      </c>
      <c r="B2472" t="inlineStr">
        <is>
          <t>ALEXANDERS INC</t>
        </is>
      </c>
      <c r="C2472" t="inlineStr">
        <is>
          <t>NYSE</t>
        </is>
      </c>
      <c r="D2472" t="n">
        <v>3499</v>
      </c>
      <c r="E2472" t="inlineStr">
        <is>
          <t>SEC</t>
        </is>
      </c>
    </row>
    <row r="2473">
      <c r="A2473" s="5">
        <f>HYPERLINK("https://finance.yahoo.com/quote/TV","TV")</f>
        <v/>
      </c>
      <c r="B2473" t="inlineStr">
        <is>
          <t>GRUPO TELEVISA, S.A.B.</t>
        </is>
      </c>
      <c r="C2473" t="inlineStr">
        <is>
          <t>NYSE</t>
        </is>
      </c>
      <c r="D2473" t="n">
        <v>912892</v>
      </c>
      <c r="E2473" t="inlineStr">
        <is>
          <t>SEC</t>
        </is>
      </c>
    </row>
    <row r="2474">
      <c r="A2474" s="5">
        <f>HYPERLINK("https://finance.yahoo.com/quote/GTM","GTM")</f>
        <v/>
      </c>
      <c r="B2474" t="inlineStr">
        <is>
          <t>ZoomInfo Technologies Inc.</t>
        </is>
      </c>
      <c r="C2474" t="inlineStr">
        <is>
          <t>Nasdaq</t>
        </is>
      </c>
      <c r="D2474" t="n">
        <v>1794515</v>
      </c>
      <c r="E2474" t="inlineStr">
        <is>
          <t>SEC</t>
        </is>
      </c>
    </row>
    <row r="2475">
      <c r="A2475" s="5">
        <f>HYPERLINK("https://finance.yahoo.com/quote/TSHA","TSHA")</f>
        <v/>
      </c>
      <c r="B2475" t="inlineStr">
        <is>
          <t>Taysha Gene Therapies, Inc.</t>
        </is>
      </c>
      <c r="C2475" t="inlineStr">
        <is>
          <t>Nasdaq</t>
        </is>
      </c>
      <c r="D2475" t="n">
        <v>1806310</v>
      </c>
      <c r="E2475" t="inlineStr">
        <is>
          <t>SEC</t>
        </is>
      </c>
    </row>
    <row r="2476">
      <c r="A2476" s="5">
        <f>HYPERLINK("https://finance.yahoo.com/quote/LBRX","LBRX")</f>
        <v/>
      </c>
      <c r="B2476" t="inlineStr">
        <is>
          <t>LB PHARMACEUTICALS INC</t>
        </is>
      </c>
      <c r="C2476" t="inlineStr">
        <is>
          <t>Nasdaq</t>
        </is>
      </c>
      <c r="D2476" t="n">
        <v>1691082</v>
      </c>
      <c r="E2476" t="inlineStr">
        <is>
          <t>SEC</t>
        </is>
      </c>
    </row>
    <row r="2477">
      <c r="A2477" s="5">
        <f>HYPERLINK("https://finance.yahoo.com/quote/RAPP","RAPP")</f>
        <v/>
      </c>
      <c r="B2477" t="inlineStr">
        <is>
          <t>Rapport Therapeutics, Inc.</t>
        </is>
      </c>
      <c r="C2477" t="inlineStr">
        <is>
          <t>Nasdaq</t>
        </is>
      </c>
      <c r="D2477" t="n">
        <v>2012593</v>
      </c>
      <c r="E2477" t="inlineStr">
        <is>
          <t>SEC</t>
        </is>
      </c>
    </row>
    <row r="2478">
      <c r="A2478" s="5">
        <f>HYPERLINK("https://finance.yahoo.com/quote/OSBC","OSBC")</f>
        <v/>
      </c>
      <c r="B2478" t="inlineStr">
        <is>
          <t>OLD SECOND BANCORP INC</t>
        </is>
      </c>
      <c r="C2478" t="inlineStr">
        <is>
          <t>Nasdaq</t>
        </is>
      </c>
      <c r="D2478" t="n">
        <v>357173</v>
      </c>
      <c r="E2478" t="inlineStr">
        <is>
          <t>SEC</t>
        </is>
      </c>
    </row>
    <row r="2479">
      <c r="A2479" s="5">
        <f>HYPERLINK("https://finance.yahoo.com/quote/CRAI","CRAI")</f>
        <v/>
      </c>
      <c r="B2479" t="inlineStr">
        <is>
          <t>CRA INTERNATIONAL, INC.</t>
        </is>
      </c>
      <c r="C2479" t="inlineStr">
        <is>
          <t>Nasdaq</t>
        </is>
      </c>
      <c r="D2479" t="n">
        <v>1053706</v>
      </c>
      <c r="E2479" t="inlineStr">
        <is>
          <t>SEC</t>
        </is>
      </c>
    </row>
    <row r="2480">
      <c r="A2480" s="5">
        <f>HYPERLINK("https://finance.yahoo.com/quote/CRON","CRON")</f>
        <v/>
      </c>
      <c r="B2480" t="inlineStr">
        <is>
          <t>Cronos Group Inc.</t>
        </is>
      </c>
      <c r="C2480" t="inlineStr">
        <is>
          <t>Nasdaq</t>
        </is>
      </c>
      <c r="D2480" t="n">
        <v>1656472</v>
      </c>
      <c r="E2480" t="inlineStr">
        <is>
          <t>SEC</t>
        </is>
      </c>
    </row>
    <row r="2481">
      <c r="A2481" s="5">
        <f>HYPERLINK("https://finance.yahoo.com/quote/AMBQ","AMBQ")</f>
        <v/>
      </c>
      <c r="B2481" t="inlineStr">
        <is>
          <t>Ambiq Micro, Inc.</t>
        </is>
      </c>
      <c r="C2481" t="inlineStr">
        <is>
          <t>NYSE</t>
        </is>
      </c>
      <c r="D2481" t="n">
        <v>1500412</v>
      </c>
      <c r="E2481" t="inlineStr">
        <is>
          <t>SEC</t>
        </is>
      </c>
    </row>
    <row r="2482">
      <c r="A2482" s="5">
        <f>HYPERLINK("https://finance.yahoo.com/quote/UNIT","UNIT")</f>
        <v/>
      </c>
      <c r="B2482" t="inlineStr">
        <is>
          <t>Uniti Group Inc.</t>
        </is>
      </c>
      <c r="C2482" t="inlineStr">
        <is>
          <t>Nasdaq</t>
        </is>
      </c>
      <c r="D2482" t="n">
        <v>2020795</v>
      </c>
      <c r="E2482" t="inlineStr">
        <is>
          <t>SEC</t>
        </is>
      </c>
    </row>
    <row r="2483">
      <c r="A2483" s="5">
        <f>HYPERLINK("https://finance.yahoo.com/quote/WOLF","WOLF")</f>
        <v/>
      </c>
      <c r="B2483" t="inlineStr">
        <is>
          <t>WOLFSPEED, INC.</t>
        </is>
      </c>
      <c r="C2483" t="inlineStr">
        <is>
          <t>NYSE</t>
        </is>
      </c>
      <c r="D2483" t="n">
        <v>895419</v>
      </c>
      <c r="E2483" t="inlineStr">
        <is>
          <t>SEC</t>
        </is>
      </c>
    </row>
    <row r="2484">
      <c r="A2484" s="5">
        <f>HYPERLINK("https://finance.yahoo.com/quote/GT","GT")</f>
        <v/>
      </c>
      <c r="B2484" t="inlineStr">
        <is>
          <t>GOODYEAR TIRE &amp; RUBBER CO /OH/</t>
        </is>
      </c>
      <c r="C2484" t="inlineStr">
        <is>
          <t>Nasdaq</t>
        </is>
      </c>
      <c r="D2484" t="n">
        <v>42582</v>
      </c>
      <c r="E2484" t="inlineStr">
        <is>
          <t>SEC</t>
        </is>
      </c>
    </row>
    <row r="2485">
      <c r="A2485" s="5">
        <f>HYPERLINK("https://finance.yahoo.com/quote/GHRS","GHRS")</f>
        <v/>
      </c>
      <c r="B2485" t="inlineStr">
        <is>
          <t>GH Research PLC</t>
        </is>
      </c>
      <c r="C2485" t="inlineStr">
        <is>
          <t>Nasdaq</t>
        </is>
      </c>
      <c r="D2485" t="n">
        <v>1855129</v>
      </c>
      <c r="E2485" t="inlineStr">
        <is>
          <t>SEC</t>
        </is>
      </c>
    </row>
    <row r="2486">
      <c r="A2486" s="5">
        <f>HYPERLINK("https://finance.yahoo.com/quote/ELE","ELE")</f>
        <v/>
      </c>
      <c r="B2486" t="inlineStr">
        <is>
          <t>Elemental Royalty Corp</t>
        </is>
      </c>
      <c r="C2486" t="inlineStr">
        <is>
          <t>Nasdaq</t>
        </is>
      </c>
      <c r="D2486" t="n">
        <v>2086771</v>
      </c>
      <c r="E2486" t="inlineStr">
        <is>
          <t>SEC</t>
        </is>
      </c>
    </row>
    <row r="2487">
      <c r="A2487" s="5">
        <f>HYPERLINK("https://finance.yahoo.com/quote/NBR","NBR")</f>
        <v/>
      </c>
      <c r="B2487" t="inlineStr">
        <is>
          <t>NABORS INDUSTRIES LTD</t>
        </is>
      </c>
      <c r="C2487" t="inlineStr">
        <is>
          <t>NYSE</t>
        </is>
      </c>
      <c r="D2487" t="n">
        <v>1163739</v>
      </c>
      <c r="E2487" t="inlineStr">
        <is>
          <t>SEC</t>
        </is>
      </c>
    </row>
    <row r="2488">
      <c r="A2488" s="5">
        <f>HYPERLINK("https://finance.yahoo.com/quote/AMSC","AMSC")</f>
        <v/>
      </c>
      <c r="B2488" t="inlineStr">
        <is>
          <t>AMERICAN SUPERCONDUCTOR CORP /DE/</t>
        </is>
      </c>
      <c r="C2488" t="inlineStr">
        <is>
          <t>Nasdaq</t>
        </is>
      </c>
      <c r="D2488" t="n">
        <v>880807</v>
      </c>
      <c r="E2488" t="inlineStr">
        <is>
          <t>SEC</t>
        </is>
      </c>
    </row>
    <row r="2489">
      <c r="A2489" s="5">
        <f>HYPERLINK("https://finance.yahoo.com/quote/IRS","IRS")</f>
        <v/>
      </c>
      <c r="B2489" t="inlineStr">
        <is>
          <t>IRSA INVESTMENTS &amp; REPRESENTATIONS INC</t>
        </is>
      </c>
      <c r="C2489" t="inlineStr">
        <is>
          <t>NYSE</t>
        </is>
      </c>
      <c r="D2489" t="n">
        <v>933267</v>
      </c>
      <c r="E2489" t="inlineStr">
        <is>
          <t>SEC</t>
        </is>
      </c>
    </row>
    <row r="2490">
      <c r="A2490" s="5">
        <f>HYPERLINK("https://finance.yahoo.com/quote/SLN","SLN")</f>
        <v/>
      </c>
      <c r="B2490" t="inlineStr">
        <is>
          <t>Silence Therapeutics plc</t>
        </is>
      </c>
      <c r="C2490" t="inlineStr">
        <is>
          <t>Nasdaq</t>
        </is>
      </c>
      <c r="D2490" t="n">
        <v>1479615</v>
      </c>
      <c r="E2490" t="inlineStr">
        <is>
          <t>SEC</t>
        </is>
      </c>
    </row>
    <row r="2491">
      <c r="A2491" s="5">
        <f>HYPERLINK("https://finance.yahoo.com/quote/MUC","MUC")</f>
        <v/>
      </c>
      <c r="B2491" t="inlineStr">
        <is>
          <t>BLACKROCK MUNIHOLDINGS CALIFORNIA QUALITY FUND, INC.</t>
        </is>
      </c>
      <c r="C2491" t="inlineStr">
        <is>
          <t>NYSE</t>
        </is>
      </c>
      <c r="D2491" t="n">
        <v>1051004</v>
      </c>
      <c r="E2491" t="inlineStr">
        <is>
          <t>SEC</t>
        </is>
      </c>
    </row>
    <row r="2492">
      <c r="A2492" s="5">
        <f>HYPERLINK("https://finance.yahoo.com/quote/ENOV","ENOV")</f>
        <v/>
      </c>
      <c r="B2492" t="inlineStr">
        <is>
          <t>Enovis CORP</t>
        </is>
      </c>
      <c r="C2492" t="inlineStr">
        <is>
          <t>NYSE</t>
        </is>
      </c>
      <c r="D2492" t="n">
        <v>1420800</v>
      </c>
      <c r="E2492" t="inlineStr">
        <is>
          <t>SEC</t>
        </is>
      </c>
    </row>
    <row r="2493">
      <c r="A2493" s="5">
        <f>HYPERLINK("https://finance.yahoo.com/quote/DRTS","DRTS")</f>
        <v/>
      </c>
      <c r="B2493" t="inlineStr">
        <is>
          <t>Alpha Tau Medical Ltd.</t>
        </is>
      </c>
      <c r="C2493" t="inlineStr">
        <is>
          <t>Nasdaq</t>
        </is>
      </c>
      <c r="D2493" t="n">
        <v>1871321</v>
      </c>
      <c r="E2493" t="inlineStr">
        <is>
          <t>SEC</t>
        </is>
      </c>
    </row>
    <row r="2494">
      <c r="A2494" s="5">
        <f>HYPERLINK("https://finance.yahoo.com/quote/CCEC","CCEC")</f>
        <v/>
      </c>
      <c r="B2494" t="inlineStr">
        <is>
          <t>Capital Clean Energy Carriers Corp.</t>
        </is>
      </c>
      <c r="C2494" t="inlineStr">
        <is>
          <t>Nasdaq</t>
        </is>
      </c>
      <c r="D2494" t="n">
        <v>1392326</v>
      </c>
      <c r="E2494" t="inlineStr">
        <is>
          <t>SEC</t>
        </is>
      </c>
    </row>
    <row r="2495">
      <c r="A2495" s="5">
        <f>HYPERLINK("https://finance.yahoo.com/quote/OPK","OPK")</f>
        <v/>
      </c>
      <c r="B2495" t="inlineStr">
        <is>
          <t>OPKO HEALTH, INC.</t>
        </is>
      </c>
      <c r="C2495" t="inlineStr">
        <is>
          <t>Nasdaq</t>
        </is>
      </c>
      <c r="D2495" t="n">
        <v>944809</v>
      </c>
      <c r="E2495" t="inlineStr">
        <is>
          <t>SEC</t>
        </is>
      </c>
    </row>
    <row r="2496">
      <c r="A2496" s="5">
        <f>HYPERLINK("https://finance.yahoo.com/quote/SCSC","SCSC")</f>
        <v/>
      </c>
      <c r="B2496" t="inlineStr">
        <is>
          <t>SCANSOURCE, INC.</t>
        </is>
      </c>
      <c r="C2496" t="inlineStr">
        <is>
          <t>Nasdaq</t>
        </is>
      </c>
      <c r="D2496" t="n">
        <v>918965</v>
      </c>
      <c r="E2496" t="inlineStr">
        <is>
          <t>SEC</t>
        </is>
      </c>
    </row>
    <row r="2497">
      <c r="A2497" s="5">
        <f>HYPERLINK("https://finance.yahoo.com/quote/ADIG","ADIG")</f>
        <v/>
      </c>
      <c r="B2497" t="inlineStr">
        <is>
          <t>ADI GLOBAL DISTRIBUTION INC.</t>
        </is>
      </c>
      <c r="C2497" t="inlineStr">
        <is>
          <t>NYSE</t>
        </is>
      </c>
      <c r="D2497" t="n">
        <v>2105139</v>
      </c>
      <c r="E2497" t="inlineStr">
        <is>
          <t>SEC</t>
        </is>
      </c>
    </row>
    <row r="2498">
      <c r="A2498" s="5">
        <f>HYPERLINK("https://finance.yahoo.com/quote/TNDM","TNDM")</f>
        <v/>
      </c>
      <c r="B2498" t="inlineStr">
        <is>
          <t>TANDEM DIABETES CARE INC</t>
        </is>
      </c>
      <c r="C2498" t="inlineStr">
        <is>
          <t>Nasdaq</t>
        </is>
      </c>
      <c r="D2498" t="n">
        <v>1438133</v>
      </c>
      <c r="E2498" t="inlineStr">
        <is>
          <t>SEC</t>
        </is>
      </c>
    </row>
    <row r="2499">
      <c r="A2499" s="5">
        <f>HYPERLINK("https://finance.yahoo.com/quote/LYNX","LYNX")</f>
        <v/>
      </c>
      <c r="B2499" t="inlineStr">
        <is>
          <t>Lyntris Inc.</t>
        </is>
      </c>
      <c r="C2499" t="inlineStr">
        <is>
          <t>NYSE</t>
        </is>
      </c>
      <c r="D2499" t="n">
        <v>2132582</v>
      </c>
      <c r="E2499" t="inlineStr">
        <is>
          <t>SEC</t>
        </is>
      </c>
    </row>
    <row r="2500">
      <c r="A2500" s="5">
        <f>HYPERLINK("https://finance.yahoo.com/quote/AMTB","AMTB")</f>
        <v/>
      </c>
      <c r="B2500" t="inlineStr">
        <is>
          <t>Amerant Bancorp Inc.</t>
        </is>
      </c>
      <c r="C2500" t="inlineStr">
        <is>
          <t>NYSE</t>
        </is>
      </c>
      <c r="D2500" t="n">
        <v>1734342</v>
      </c>
      <c r="E2500" t="inlineStr">
        <is>
          <t>SEC</t>
        </is>
      </c>
    </row>
    <row r="2501">
      <c r="A2501" s="5">
        <f>HYPERLINK("https://finance.yahoo.com/quote/MYE","MYE")</f>
        <v/>
      </c>
      <c r="B2501" t="inlineStr">
        <is>
          <t>MYERS INDUSTRIES INC</t>
        </is>
      </c>
      <c r="C2501" t="inlineStr">
        <is>
          <t>NYSE</t>
        </is>
      </c>
      <c r="D2501" t="n">
        <v>69488</v>
      </c>
      <c r="E2501" t="inlineStr">
        <is>
          <t>SEC</t>
        </is>
      </c>
    </row>
    <row r="2502">
      <c r="A2502" s="5">
        <f>HYPERLINK("https://finance.yahoo.com/quote/BH-A","BH-A")</f>
        <v/>
      </c>
      <c r="B2502" t="inlineStr">
        <is>
          <t>Biglari Holdings Inc.</t>
        </is>
      </c>
      <c r="C2502" t="inlineStr">
        <is>
          <t>NYSE</t>
        </is>
      </c>
      <c r="D2502" t="n">
        <v>1726173</v>
      </c>
      <c r="E2502" t="inlineStr">
        <is>
          <t>SEC</t>
        </is>
      </c>
    </row>
    <row r="2503">
      <c r="A2503" s="5">
        <f>HYPERLINK("https://finance.yahoo.com/quote/SBE","SBE")</f>
        <v/>
      </c>
      <c r="B2503" t="inlineStr">
        <is>
          <t>SB Energy, Inc.</t>
        </is>
      </c>
      <c r="C2503" t="inlineStr"/>
      <c r="D2503" t="n">
        <v>2133037</v>
      </c>
      <c r="E2503" t="inlineStr">
        <is>
          <t>SEC</t>
        </is>
      </c>
    </row>
    <row r="2504">
      <c r="A2504" s="5">
        <f>HYPERLINK("https://finance.yahoo.com/quote/PWP","PWP")</f>
        <v/>
      </c>
      <c r="B2504" t="inlineStr">
        <is>
          <t>Perella Weinberg Partners</t>
        </is>
      </c>
      <c r="C2504" t="inlineStr">
        <is>
          <t>Nasdaq</t>
        </is>
      </c>
      <c r="D2504" t="n">
        <v>1777835</v>
      </c>
      <c r="E2504" t="inlineStr">
        <is>
          <t>SEC</t>
        </is>
      </c>
    </row>
    <row r="2505">
      <c r="A2505" s="5">
        <f>HYPERLINK("https://finance.yahoo.com/quote/HAWK","HAWK")</f>
        <v/>
      </c>
      <c r="B2505" t="inlineStr">
        <is>
          <t>HawkEye 360, Inc.</t>
        </is>
      </c>
      <c r="C2505" t="inlineStr">
        <is>
          <t>NYSE</t>
        </is>
      </c>
      <c r="D2505" t="n">
        <v>1750704</v>
      </c>
      <c r="E2505" t="inlineStr">
        <is>
          <t>SEC</t>
        </is>
      </c>
    </row>
    <row r="2506">
      <c r="A2506" s="5">
        <f>HYPERLINK("https://finance.yahoo.com/quote/RSKD","RSKD")</f>
        <v/>
      </c>
      <c r="B2506" t="inlineStr">
        <is>
          <t>RISKIFIED LTD.</t>
        </is>
      </c>
      <c r="C2506" t="inlineStr">
        <is>
          <t>NYSE</t>
        </is>
      </c>
      <c r="D2506" t="n">
        <v>1851112</v>
      </c>
      <c r="E2506" t="inlineStr">
        <is>
          <t>SEC</t>
        </is>
      </c>
    </row>
    <row r="2507">
      <c r="A2507" s="5">
        <f>HYPERLINK("https://finance.yahoo.com/quote/MCB","MCB")</f>
        <v/>
      </c>
      <c r="B2507" t="inlineStr">
        <is>
          <t>Metropolitan Bank Holding Corp.</t>
        </is>
      </c>
      <c r="C2507" t="inlineStr">
        <is>
          <t>NYSE</t>
        </is>
      </c>
      <c r="D2507" t="n">
        <v>1476034</v>
      </c>
      <c r="E2507" t="inlineStr">
        <is>
          <t>SEC</t>
        </is>
      </c>
    </row>
    <row r="2508">
      <c r="A2508" s="5">
        <f>HYPERLINK("https://finance.yahoo.com/quote/PDM","PDM")</f>
        <v/>
      </c>
      <c r="B2508" t="inlineStr">
        <is>
          <t>Piedmont Realty Trust, Inc.</t>
        </is>
      </c>
      <c r="C2508" t="inlineStr">
        <is>
          <t>NYSE</t>
        </is>
      </c>
      <c r="D2508" t="n">
        <v>1042776</v>
      </c>
      <c r="E2508" t="inlineStr">
        <is>
          <t>SEC</t>
        </is>
      </c>
    </row>
    <row r="2509">
      <c r="A2509" s="5">
        <f>HYPERLINK("https://finance.yahoo.com/quote/AMPX","AMPX")</f>
        <v/>
      </c>
      <c r="B2509" t="inlineStr">
        <is>
          <t>Amprius Technologies, Inc.</t>
        </is>
      </c>
      <c r="C2509" t="inlineStr">
        <is>
          <t>NYSE</t>
        </is>
      </c>
      <c r="D2509" t="n">
        <v>1899287</v>
      </c>
      <c r="E2509" t="inlineStr">
        <is>
          <t>SEC</t>
        </is>
      </c>
    </row>
    <row r="2510">
      <c r="A2510" s="5">
        <f>HYPERLINK("https://finance.yahoo.com/quote/UTI","UTI")</f>
        <v/>
      </c>
      <c r="B2510" t="inlineStr">
        <is>
          <t>UNIVERSAL TECHNICAL INSTITUTE INC</t>
        </is>
      </c>
      <c r="C2510" t="inlineStr">
        <is>
          <t>NYSE</t>
        </is>
      </c>
      <c r="D2510" t="n">
        <v>1261654</v>
      </c>
      <c r="E2510" t="inlineStr">
        <is>
          <t>SEC</t>
        </is>
      </c>
    </row>
    <row r="2511">
      <c r="A2511" s="5">
        <f>HYPERLINK("https://finance.yahoo.com/quote/PSQL","PSQL")</f>
        <v/>
      </c>
      <c r="B2511" t="inlineStr">
        <is>
          <t>Pasqal Holding SA</t>
        </is>
      </c>
      <c r="C2511" t="inlineStr">
        <is>
          <t>Nasdaq</t>
        </is>
      </c>
      <c r="D2511" t="n">
        <v>2119292</v>
      </c>
      <c r="E2511" t="inlineStr">
        <is>
          <t>SEC</t>
        </is>
      </c>
    </row>
    <row r="2512">
      <c r="A2512" s="5">
        <f>HYPERLINK("https://finance.yahoo.com/quote/PRG","PRG")</f>
        <v/>
      </c>
      <c r="B2512" t="inlineStr">
        <is>
          <t>PROG Holdings, Inc.</t>
        </is>
      </c>
      <c r="C2512" t="inlineStr">
        <is>
          <t>NYSE</t>
        </is>
      </c>
      <c r="D2512" t="n">
        <v>1808834</v>
      </c>
      <c r="E2512" t="inlineStr">
        <is>
          <t>SEC</t>
        </is>
      </c>
    </row>
    <row r="2513">
      <c r="A2513" s="5">
        <f>HYPERLINK("https://finance.yahoo.com/quote/CLVT","CLVT")</f>
        <v/>
      </c>
      <c r="B2513" t="inlineStr">
        <is>
          <t>CLARIVATE PLC</t>
        </is>
      </c>
      <c r="C2513" t="inlineStr">
        <is>
          <t>NYSE</t>
        </is>
      </c>
      <c r="D2513" t="n">
        <v>1764046</v>
      </c>
      <c r="E2513" t="inlineStr">
        <is>
          <t>SEC</t>
        </is>
      </c>
    </row>
    <row r="2514">
      <c r="A2514" s="5">
        <f>HYPERLINK("https://finance.yahoo.com/quote/GDRX","GDRX")</f>
        <v/>
      </c>
      <c r="B2514" t="inlineStr">
        <is>
          <t>GoodRx Holdings, Inc.</t>
        </is>
      </c>
      <c r="C2514" t="inlineStr">
        <is>
          <t>Nasdaq</t>
        </is>
      </c>
      <c r="D2514" t="n">
        <v>1809519</v>
      </c>
      <c r="E2514" t="inlineStr">
        <is>
          <t>SEC</t>
        </is>
      </c>
    </row>
    <row r="2515">
      <c r="A2515" s="5">
        <f>HYPERLINK("https://finance.yahoo.com/quote/AZUL","AZUL")</f>
        <v/>
      </c>
      <c r="B2515" t="inlineStr">
        <is>
          <t>AZUL SA</t>
        </is>
      </c>
      <c r="C2515" t="inlineStr">
        <is>
          <t>NYSE</t>
        </is>
      </c>
      <c r="D2515" t="n">
        <v>1432364</v>
      </c>
      <c r="E2515" t="inlineStr">
        <is>
          <t>SEC</t>
        </is>
      </c>
    </row>
    <row r="2516">
      <c r="A2516" s="5">
        <f>HYPERLINK("https://finance.yahoo.com/quote/BJRI","BJRI")</f>
        <v/>
      </c>
      <c r="B2516" t="inlineStr">
        <is>
          <t>BJs RESTAURANTS INC</t>
        </is>
      </c>
      <c r="C2516" t="inlineStr">
        <is>
          <t>Nasdaq</t>
        </is>
      </c>
      <c r="D2516" t="n">
        <v>1013488</v>
      </c>
      <c r="E2516" t="inlineStr">
        <is>
          <t>SEC</t>
        </is>
      </c>
    </row>
    <row r="2517">
      <c r="A2517" s="5">
        <f>HYPERLINK("https://finance.yahoo.com/quote/APPS","APPS")</f>
        <v/>
      </c>
      <c r="B2517" t="inlineStr">
        <is>
          <t>Digital Turbine, Inc.</t>
        </is>
      </c>
      <c r="C2517" t="inlineStr">
        <is>
          <t>Nasdaq</t>
        </is>
      </c>
      <c r="D2517" t="n">
        <v>317788</v>
      </c>
      <c r="E2517" t="inlineStr">
        <is>
          <t>SEC</t>
        </is>
      </c>
    </row>
    <row r="2518">
      <c r="A2518" s="5">
        <f>HYPERLINK("https://finance.yahoo.com/quote/LZB","LZB")</f>
        <v/>
      </c>
      <c r="B2518" t="inlineStr">
        <is>
          <t>LA-Z-BOY INC</t>
        </is>
      </c>
      <c r="C2518" t="inlineStr">
        <is>
          <t>NYSE</t>
        </is>
      </c>
      <c r="D2518" t="n">
        <v>57131</v>
      </c>
      <c r="E2518" t="inlineStr">
        <is>
          <t>SEC</t>
        </is>
      </c>
    </row>
    <row r="2519">
      <c r="A2519" s="5">
        <f>HYPERLINK("https://finance.yahoo.com/quote/MYI","MYI")</f>
        <v/>
      </c>
      <c r="B2519" t="inlineStr">
        <is>
          <t>BLACKROCK MUNIYIELD QUALITY FUND III, INC.</t>
        </is>
      </c>
      <c r="C2519" t="inlineStr">
        <is>
          <t>NYSE</t>
        </is>
      </c>
      <c r="D2519" t="n">
        <v>883412</v>
      </c>
      <c r="E2519" t="inlineStr">
        <is>
          <t>SEC</t>
        </is>
      </c>
    </row>
    <row r="2520">
      <c r="A2520" s="5">
        <f>HYPERLINK("https://finance.yahoo.com/quote/XPEL","XPEL")</f>
        <v/>
      </c>
      <c r="B2520" t="inlineStr">
        <is>
          <t>XPEL, Inc.</t>
        </is>
      </c>
      <c r="C2520" t="inlineStr">
        <is>
          <t>Nasdaq</t>
        </is>
      </c>
      <c r="D2520" t="n">
        <v>1767258</v>
      </c>
      <c r="E2520" t="inlineStr">
        <is>
          <t>SEC</t>
        </is>
      </c>
    </row>
    <row r="2521">
      <c r="A2521" s="5">
        <f>HYPERLINK("https://finance.yahoo.com/quote/PDS","PDS")</f>
        <v/>
      </c>
      <c r="B2521" t="inlineStr">
        <is>
          <t>PRECISION DRILLING Corp</t>
        </is>
      </c>
      <c r="C2521" t="inlineStr">
        <is>
          <t>NYSE</t>
        </is>
      </c>
      <c r="D2521" t="n">
        <v>1013605</v>
      </c>
      <c r="E2521" t="inlineStr">
        <is>
          <t>SEC</t>
        </is>
      </c>
    </row>
    <row r="2522">
      <c r="A2522" s="5">
        <f>HYPERLINK("https://finance.yahoo.com/quote/HEPS","HEPS")</f>
        <v/>
      </c>
      <c r="B2522" t="inlineStr">
        <is>
          <t>D-MARKET Electronic Services &amp; Trading</t>
        </is>
      </c>
      <c r="C2522" t="inlineStr">
        <is>
          <t>Nasdaq</t>
        </is>
      </c>
      <c r="D2522" t="n">
        <v>1850235</v>
      </c>
      <c r="E2522" t="inlineStr">
        <is>
          <t>SEC</t>
        </is>
      </c>
    </row>
    <row r="2523">
      <c r="A2523" s="5">
        <f>HYPERLINK("https://finance.yahoo.com/quote/OMER","OMER")</f>
        <v/>
      </c>
      <c r="B2523" t="inlineStr">
        <is>
          <t>OMEROS CORP</t>
        </is>
      </c>
      <c r="C2523" t="inlineStr">
        <is>
          <t>Nasdaq</t>
        </is>
      </c>
      <c r="D2523" t="n">
        <v>1285819</v>
      </c>
      <c r="E2523" t="inlineStr">
        <is>
          <t>SEC</t>
        </is>
      </c>
    </row>
    <row r="2524">
      <c r="A2524" s="5">
        <f>HYPERLINK("https://finance.yahoo.com/quote/ANDG","ANDG")</f>
        <v/>
      </c>
      <c r="B2524" t="inlineStr">
        <is>
          <t>Andersen Group Inc.</t>
        </is>
      </c>
      <c r="C2524" t="inlineStr">
        <is>
          <t>NYSE</t>
        </is>
      </c>
      <c r="D2524" t="n">
        <v>2065708</v>
      </c>
      <c r="E2524" t="inlineStr">
        <is>
          <t>SEC</t>
        </is>
      </c>
    </row>
    <row r="2525">
      <c r="A2525" s="5">
        <f>HYPERLINK("https://finance.yahoo.com/quote/SNDX","SNDX")</f>
        <v/>
      </c>
      <c r="B2525" t="inlineStr">
        <is>
          <t>Syndax Pharmaceuticals Inc</t>
        </is>
      </c>
      <c r="C2525" t="inlineStr">
        <is>
          <t>Nasdaq</t>
        </is>
      </c>
      <c r="D2525" t="n">
        <v>1395937</v>
      </c>
      <c r="E2525" t="inlineStr">
        <is>
          <t>SEC</t>
        </is>
      </c>
    </row>
    <row r="2526">
      <c r="A2526" s="5">
        <f>HYPERLINK("https://finance.yahoo.com/quote/CRI","CRI")</f>
        <v/>
      </c>
      <c r="B2526" t="inlineStr">
        <is>
          <t>CARTERS INC</t>
        </is>
      </c>
      <c r="C2526" t="inlineStr">
        <is>
          <t>NYSE</t>
        </is>
      </c>
      <c r="D2526" t="n">
        <v>1060822</v>
      </c>
      <c r="E2526" t="inlineStr">
        <is>
          <t>SEC</t>
        </is>
      </c>
    </row>
    <row r="2527">
      <c r="A2527" s="5">
        <f>HYPERLINK("https://finance.yahoo.com/quote/AIIR","AIIR")</f>
        <v/>
      </c>
      <c r="B2527" t="inlineStr">
        <is>
          <t>AIR Global PLC</t>
        </is>
      </c>
      <c r="C2527" t="inlineStr">
        <is>
          <t>Nasdaq</t>
        </is>
      </c>
      <c r="D2527" t="n">
        <v>2097725</v>
      </c>
      <c r="E2527" t="inlineStr">
        <is>
          <t>SEC</t>
        </is>
      </c>
    </row>
    <row r="2528">
      <c r="A2528" s="5">
        <f>HYPERLINK("https://finance.yahoo.com/quote/VTOL","VTOL")</f>
        <v/>
      </c>
      <c r="B2528" t="inlineStr">
        <is>
          <t>Bristow Group Inc.</t>
        </is>
      </c>
      <c r="C2528" t="inlineStr">
        <is>
          <t>NYSE</t>
        </is>
      </c>
      <c r="D2528" t="n">
        <v>1525221</v>
      </c>
      <c r="E2528" t="inlineStr">
        <is>
          <t>SEC</t>
        </is>
      </c>
    </row>
    <row r="2529">
      <c r="A2529" s="5">
        <f>HYPERLINK("https://finance.yahoo.com/quote/SPH","SPH")</f>
        <v/>
      </c>
      <c r="B2529" t="inlineStr">
        <is>
          <t>SUBURBAN PROPANE PARTNERS LP</t>
        </is>
      </c>
      <c r="C2529" t="inlineStr">
        <is>
          <t>NYSE</t>
        </is>
      </c>
      <c r="D2529" t="n">
        <v>1005210</v>
      </c>
      <c r="E2529" t="inlineStr">
        <is>
          <t>SEC</t>
        </is>
      </c>
    </row>
    <row r="2530">
      <c r="A2530" s="5">
        <f>HYPERLINK("https://finance.yahoo.com/quote/UPWK","UPWK")</f>
        <v/>
      </c>
      <c r="B2530" t="inlineStr">
        <is>
          <t>UPWORK, INC</t>
        </is>
      </c>
      <c r="C2530" t="inlineStr">
        <is>
          <t>Nasdaq</t>
        </is>
      </c>
      <c r="D2530" t="n">
        <v>1627475</v>
      </c>
      <c r="E2530" t="inlineStr">
        <is>
          <t>SEC</t>
        </is>
      </c>
    </row>
    <row r="2531">
      <c r="A2531" s="5">
        <f>HYPERLINK("https://finance.yahoo.com/quote/LZ","LZ")</f>
        <v/>
      </c>
      <c r="B2531" t="inlineStr">
        <is>
          <t>LEGALZOOM.COM, INC.</t>
        </is>
      </c>
      <c r="C2531" t="inlineStr">
        <is>
          <t>Nasdaq</t>
        </is>
      </c>
      <c r="D2531" t="n">
        <v>1286139</v>
      </c>
      <c r="E2531" t="inlineStr">
        <is>
          <t>SEC</t>
        </is>
      </c>
    </row>
    <row r="2532">
      <c r="A2532" s="5">
        <f>HYPERLINK("https://finance.yahoo.com/quote/HFWA","HFWA")</f>
        <v/>
      </c>
      <c r="B2532" t="inlineStr">
        <is>
          <t>HERITAGE FINANCIAL CORP /WA/</t>
        </is>
      </c>
      <c r="C2532" t="inlineStr">
        <is>
          <t>Nasdaq</t>
        </is>
      </c>
      <c r="D2532" t="n">
        <v>1046025</v>
      </c>
      <c r="E2532" t="inlineStr">
        <is>
          <t>SEC</t>
        </is>
      </c>
    </row>
    <row r="2533">
      <c r="A2533" s="5">
        <f>HYPERLINK("https://finance.yahoo.com/quote/LNXSY","LNXSY")</f>
        <v/>
      </c>
      <c r="B2533" t="inlineStr">
        <is>
          <t>LANXESS AG</t>
        </is>
      </c>
      <c r="C2533" t="inlineStr">
        <is>
          <t>OTC</t>
        </is>
      </c>
      <c r="D2533" t="n">
        <v>1311307</v>
      </c>
      <c r="E2533" t="inlineStr">
        <is>
          <t>SEC</t>
        </is>
      </c>
    </row>
    <row r="2534">
      <c r="A2534" s="5">
        <f>HYPERLINK("https://finance.yahoo.com/quote/LADR","LADR")</f>
        <v/>
      </c>
      <c r="B2534" t="inlineStr">
        <is>
          <t>Ladder Capital Corp</t>
        </is>
      </c>
      <c r="C2534" t="inlineStr">
        <is>
          <t>NYSE</t>
        </is>
      </c>
      <c r="D2534" t="n">
        <v>1577670</v>
      </c>
      <c r="E2534" t="inlineStr">
        <is>
          <t>SEC</t>
        </is>
      </c>
    </row>
    <row r="2535">
      <c r="A2535" s="5">
        <f>HYPERLINK("https://finance.yahoo.com/quote/WEN","WEN")</f>
        <v/>
      </c>
      <c r="B2535" t="inlineStr">
        <is>
          <t>Wendy's Co</t>
        </is>
      </c>
      <c r="C2535" t="inlineStr">
        <is>
          <t>Nasdaq</t>
        </is>
      </c>
      <c r="D2535" t="n">
        <v>30697</v>
      </c>
      <c r="E2535" t="inlineStr">
        <is>
          <t>SEC</t>
        </is>
      </c>
    </row>
    <row r="2536">
      <c r="A2536" s="5">
        <f>HYPERLINK("https://finance.yahoo.com/quote/KARD","KARD")</f>
        <v/>
      </c>
      <c r="B2536" t="inlineStr">
        <is>
          <t>Kardigan, Inc.</t>
        </is>
      </c>
      <c r="C2536" t="inlineStr">
        <is>
          <t>Nasdaq</t>
        </is>
      </c>
      <c r="D2536" t="n">
        <v>2123613</v>
      </c>
      <c r="E2536" t="inlineStr">
        <is>
          <t>SEC</t>
        </is>
      </c>
    </row>
    <row r="2537">
      <c r="A2537" s="5">
        <f>HYPERLINK("https://finance.yahoo.com/quote/GBX","GBX")</f>
        <v/>
      </c>
      <c r="B2537" t="inlineStr">
        <is>
          <t>GREENBRIER COMPANIES INC</t>
        </is>
      </c>
      <c r="C2537" t="inlineStr">
        <is>
          <t>NYSE</t>
        </is>
      </c>
      <c r="D2537" t="n">
        <v>923120</v>
      </c>
      <c r="E2537" t="inlineStr">
        <is>
          <t>SEC</t>
        </is>
      </c>
    </row>
    <row r="2538">
      <c r="A2538" s="5">
        <f>HYPERLINK("https://finance.yahoo.com/quote/JCAP","JCAP")</f>
        <v/>
      </c>
      <c r="B2538" t="inlineStr">
        <is>
          <t>Jefferson Capital, Inc. / DE</t>
        </is>
      </c>
      <c r="C2538" t="inlineStr">
        <is>
          <t>Nasdaq</t>
        </is>
      </c>
      <c r="D2538" t="n">
        <v>2046042</v>
      </c>
      <c r="E2538" t="inlineStr">
        <is>
          <t>SEC</t>
        </is>
      </c>
    </row>
    <row r="2539">
      <c r="A2539" s="5">
        <f>HYPERLINK("https://finance.yahoo.com/quote/WD","WD")</f>
        <v/>
      </c>
      <c r="B2539" t="inlineStr">
        <is>
          <t>Walker &amp; Dunlop, Inc.</t>
        </is>
      </c>
      <c r="C2539" t="inlineStr">
        <is>
          <t>NYSE</t>
        </is>
      </c>
      <c r="D2539" t="n">
        <v>1497770</v>
      </c>
      <c r="E2539" t="inlineStr">
        <is>
          <t>SEC</t>
        </is>
      </c>
    </row>
    <row r="2540">
      <c r="A2540" s="5">
        <f>HYPERLINK("https://finance.yahoo.com/quote/REPX","REPX")</f>
        <v/>
      </c>
      <c r="B2540" t="inlineStr">
        <is>
          <t>Riley Exploration Permian, Inc.</t>
        </is>
      </c>
      <c r="C2540" t="inlineStr">
        <is>
          <t>NYSE</t>
        </is>
      </c>
      <c r="D2540" t="n">
        <v>1001614</v>
      </c>
      <c r="E2540" t="inlineStr">
        <is>
          <t>SEC</t>
        </is>
      </c>
    </row>
    <row r="2541">
      <c r="A2541" s="5">
        <f>HYPERLINK("https://finance.yahoo.com/quote/SG","SG")</f>
        <v/>
      </c>
      <c r="B2541" t="inlineStr">
        <is>
          <t>Sweetgreen, Inc.</t>
        </is>
      </c>
      <c r="C2541" t="inlineStr">
        <is>
          <t>NYSE</t>
        </is>
      </c>
      <c r="D2541" t="n">
        <v>1477815</v>
      </c>
      <c r="E2541" t="inlineStr">
        <is>
          <t>SEC</t>
        </is>
      </c>
    </row>
    <row r="2542">
      <c r="A2542" s="5">
        <f>HYPERLINK("https://finance.yahoo.com/quote/OMDA","OMDA")</f>
        <v/>
      </c>
      <c r="B2542" t="inlineStr">
        <is>
          <t>Omada Health, Inc.</t>
        </is>
      </c>
      <c r="C2542" t="inlineStr">
        <is>
          <t>Nasdaq</t>
        </is>
      </c>
      <c r="D2542" t="n">
        <v>1611115</v>
      </c>
      <c r="E2542" t="inlineStr">
        <is>
          <t>SEC</t>
        </is>
      </c>
    </row>
    <row r="2543">
      <c r="A2543" s="5">
        <f>HYPERLINK("https://finance.yahoo.com/quote/UVSP","UVSP")</f>
        <v/>
      </c>
      <c r="B2543" t="inlineStr">
        <is>
          <t>UNIVEST FINANCIAL Corp</t>
        </is>
      </c>
      <c r="C2543" t="inlineStr">
        <is>
          <t>Nasdaq</t>
        </is>
      </c>
      <c r="D2543" t="n">
        <v>102212</v>
      </c>
      <c r="E2543" t="inlineStr">
        <is>
          <t>SEC</t>
        </is>
      </c>
    </row>
    <row r="2544">
      <c r="A2544" s="5">
        <f>HYPERLINK("https://finance.yahoo.com/quote/HZO","HZO")</f>
        <v/>
      </c>
      <c r="B2544" t="inlineStr">
        <is>
          <t>MARINEMAX INC</t>
        </is>
      </c>
      <c r="C2544" t="inlineStr">
        <is>
          <t>NYSE</t>
        </is>
      </c>
      <c r="D2544" t="n">
        <v>1057060</v>
      </c>
      <c r="E2544" t="inlineStr">
        <is>
          <t>SEC</t>
        </is>
      </c>
    </row>
    <row r="2545">
      <c r="A2545" s="5">
        <f>HYPERLINK("https://finance.yahoo.com/quote/VYX","VYX")</f>
        <v/>
      </c>
      <c r="B2545" t="inlineStr">
        <is>
          <t>NCR Voyix Corp</t>
        </is>
      </c>
      <c r="C2545" t="inlineStr">
        <is>
          <t>NYSE</t>
        </is>
      </c>
      <c r="D2545" t="n">
        <v>70866</v>
      </c>
      <c r="E2545" t="inlineStr">
        <is>
          <t>SEC</t>
        </is>
      </c>
    </row>
    <row r="2546">
      <c r="A2546" s="5">
        <f>HYPERLINK("https://finance.yahoo.com/quote/TDOC","TDOC")</f>
        <v/>
      </c>
      <c r="B2546" t="inlineStr">
        <is>
          <t>Teladoc Health, Inc.</t>
        </is>
      </c>
      <c r="C2546" t="inlineStr">
        <is>
          <t>NYSE</t>
        </is>
      </c>
      <c r="D2546" t="n">
        <v>1477449</v>
      </c>
      <c r="E2546" t="inlineStr">
        <is>
          <t>SEC</t>
        </is>
      </c>
    </row>
    <row r="2547">
      <c r="A2547" s="5">
        <f>HYPERLINK("https://finance.yahoo.com/quote/NBXG","NBXG")</f>
        <v/>
      </c>
      <c r="B2547" t="inlineStr">
        <is>
          <t>Neuberger Next Generation Connectivity Fund Inc.</t>
        </is>
      </c>
      <c r="C2547" t="inlineStr">
        <is>
          <t>NYSE</t>
        </is>
      </c>
      <c r="D2547" t="n">
        <v>1843181</v>
      </c>
      <c r="E2547" t="inlineStr">
        <is>
          <t>SEC</t>
        </is>
      </c>
    </row>
    <row r="2548">
      <c r="A2548" s="5">
        <f>HYPERLINK("https://finance.yahoo.com/quote/AVLN","AVLN")</f>
        <v/>
      </c>
      <c r="B2548" t="inlineStr">
        <is>
          <t>Avalyn Pharma Inc.</t>
        </is>
      </c>
      <c r="C2548" t="inlineStr">
        <is>
          <t>Nasdaq</t>
        </is>
      </c>
      <c r="D2548" t="n">
        <v>1540171</v>
      </c>
      <c r="E2548" t="inlineStr">
        <is>
          <t>SEC</t>
        </is>
      </c>
    </row>
    <row r="2549">
      <c r="A2549" s="5">
        <f>HYPERLINK("https://finance.yahoo.com/quote/ROCK","ROCK")</f>
        <v/>
      </c>
      <c r="B2549" t="inlineStr">
        <is>
          <t>GIBRALTAR INDUSTRIES, INC.</t>
        </is>
      </c>
      <c r="C2549" t="inlineStr">
        <is>
          <t>Nasdaq</t>
        </is>
      </c>
      <c r="D2549" t="n">
        <v>912562</v>
      </c>
      <c r="E2549" t="inlineStr">
        <is>
          <t>SEC</t>
        </is>
      </c>
    </row>
    <row r="2550">
      <c r="A2550" s="5">
        <f>HYPERLINK("https://finance.yahoo.com/quote/BCAX","BCAX")</f>
        <v/>
      </c>
      <c r="B2550" t="inlineStr">
        <is>
          <t>Bicara Therapeutics Inc.</t>
        </is>
      </c>
      <c r="C2550" t="inlineStr">
        <is>
          <t>Nasdaq</t>
        </is>
      </c>
      <c r="D2550" t="n">
        <v>2023658</v>
      </c>
      <c r="E2550" t="inlineStr">
        <is>
          <t>SEC</t>
        </is>
      </c>
    </row>
    <row r="2551">
      <c r="A2551" s="5">
        <f>HYPERLINK("https://finance.yahoo.com/quote/NHP","NHP")</f>
        <v/>
      </c>
      <c r="B2551" t="inlineStr">
        <is>
          <t>National Healthcare Properties, Inc.</t>
        </is>
      </c>
      <c r="C2551" t="inlineStr">
        <is>
          <t>Nasdaq</t>
        </is>
      </c>
      <c r="D2551" t="n">
        <v>1561032</v>
      </c>
      <c r="E2551" t="inlineStr">
        <is>
          <t>SEC</t>
        </is>
      </c>
    </row>
    <row r="2552">
      <c r="A2552" s="5">
        <f>HYPERLINK("https://finance.yahoo.com/quote/ULCC","ULCC")</f>
        <v/>
      </c>
      <c r="B2552" t="inlineStr">
        <is>
          <t>Frontier Group Holdings, Inc.</t>
        </is>
      </c>
      <c r="C2552" t="inlineStr">
        <is>
          <t>Nasdaq</t>
        </is>
      </c>
      <c r="D2552" t="n">
        <v>1670076</v>
      </c>
      <c r="E2552" t="inlineStr">
        <is>
          <t>SEC</t>
        </is>
      </c>
    </row>
    <row r="2553">
      <c r="A2553" s="5">
        <f>HYPERLINK("https://finance.yahoo.com/quote/LOMA","LOMA")</f>
        <v/>
      </c>
      <c r="B2553" t="inlineStr">
        <is>
          <t>Loma Negra Compania Industrial Argentina Sociedad Anonima</t>
        </is>
      </c>
      <c r="C2553" t="inlineStr">
        <is>
          <t>NYSE</t>
        </is>
      </c>
      <c r="D2553" t="n">
        <v>1711375</v>
      </c>
      <c r="E2553" t="inlineStr">
        <is>
          <t>SEC</t>
        </is>
      </c>
    </row>
    <row r="2554">
      <c r="A2554" s="5">
        <f>HYPERLINK("https://finance.yahoo.com/quote/STAA","STAA")</f>
        <v/>
      </c>
      <c r="B2554" t="inlineStr">
        <is>
          <t>STAAR SURGICAL CO</t>
        </is>
      </c>
      <c r="C2554" t="inlineStr">
        <is>
          <t>Nasdaq</t>
        </is>
      </c>
      <c r="D2554" t="n">
        <v>718937</v>
      </c>
      <c r="E2554" t="inlineStr">
        <is>
          <t>SEC</t>
        </is>
      </c>
    </row>
    <row r="2555">
      <c r="A2555" s="5">
        <f>HYPERLINK("https://finance.yahoo.com/quote/HBNB","HBNB")</f>
        <v/>
      </c>
      <c r="B2555" t="inlineStr">
        <is>
          <t>Hotel101 Global Holdings Corp.</t>
        </is>
      </c>
      <c r="C2555" t="inlineStr">
        <is>
          <t>Nasdaq</t>
        </is>
      </c>
      <c r="D2555" t="n">
        <v>2054507</v>
      </c>
      <c r="E2555" t="inlineStr">
        <is>
          <t>SEC</t>
        </is>
      </c>
    </row>
    <row r="2556">
      <c r="A2556" s="5">
        <f>HYPERLINK("https://finance.yahoo.com/quote/PRCT","PRCT")</f>
        <v/>
      </c>
      <c r="B2556" t="inlineStr">
        <is>
          <t>PROCEPT BioRobotics Corp</t>
        </is>
      </c>
      <c r="C2556" t="inlineStr">
        <is>
          <t>Nasdaq</t>
        </is>
      </c>
      <c r="D2556" t="n">
        <v>1588978</v>
      </c>
      <c r="E2556" t="inlineStr">
        <is>
          <t>SEC</t>
        </is>
      </c>
    </row>
    <row r="2557">
      <c r="A2557" s="5">
        <f>HYPERLINK("https://finance.yahoo.com/quote/IBTA","IBTA")</f>
        <v/>
      </c>
      <c r="B2557" t="inlineStr">
        <is>
          <t>Ibotta, Inc.</t>
        </is>
      </c>
      <c r="C2557" t="inlineStr">
        <is>
          <t>NYSE</t>
        </is>
      </c>
      <c r="D2557" t="n">
        <v>1538379</v>
      </c>
      <c r="E2557" t="inlineStr">
        <is>
          <t>SEC</t>
        </is>
      </c>
    </row>
    <row r="2558">
      <c r="A2558" s="5">
        <f>HYPERLINK("https://finance.yahoo.com/quote/TNC","TNC")</f>
        <v/>
      </c>
      <c r="B2558" t="inlineStr">
        <is>
          <t>TENNANT CO</t>
        </is>
      </c>
      <c r="C2558" t="inlineStr">
        <is>
          <t>NYSE</t>
        </is>
      </c>
      <c r="D2558" t="n">
        <v>97134</v>
      </c>
      <c r="E2558" t="inlineStr">
        <is>
          <t>SEC</t>
        </is>
      </c>
    </row>
    <row r="2559">
      <c r="A2559" s="5">
        <f>HYPERLINK("https://finance.yahoo.com/quote/ASIC","ASIC")</f>
        <v/>
      </c>
      <c r="B2559" t="inlineStr">
        <is>
          <t>Ategrity Specialty Insurance Co Holdings</t>
        </is>
      </c>
      <c r="C2559" t="inlineStr">
        <is>
          <t>NYSE</t>
        </is>
      </c>
      <c r="D2559" t="n">
        <v>2040491</v>
      </c>
      <c r="E2559" t="inlineStr">
        <is>
          <t>SEC</t>
        </is>
      </c>
    </row>
    <row r="2560">
      <c r="A2560" s="5">
        <f>HYPERLINK("https://finance.yahoo.com/quote/AORT","AORT")</f>
        <v/>
      </c>
      <c r="B2560" t="inlineStr">
        <is>
          <t>ARTIVION, INC.</t>
        </is>
      </c>
      <c r="C2560" t="inlineStr">
        <is>
          <t>NYSE</t>
        </is>
      </c>
      <c r="D2560" t="n">
        <v>784199</v>
      </c>
      <c r="E2560" t="inlineStr">
        <is>
          <t>SEC</t>
        </is>
      </c>
    </row>
    <row r="2561">
      <c r="A2561" s="5">
        <f>HYPERLINK("https://finance.yahoo.com/quote/BOW","BOW")</f>
        <v/>
      </c>
      <c r="B2561" t="inlineStr">
        <is>
          <t>Bowhead Specialty Holdings Inc.</t>
        </is>
      </c>
      <c r="C2561" t="inlineStr">
        <is>
          <t>NYSE</t>
        </is>
      </c>
      <c r="D2561" t="n">
        <v>2002473</v>
      </c>
      <c r="E2561" t="inlineStr">
        <is>
          <t>SEC</t>
        </is>
      </c>
    </row>
    <row r="2562">
      <c r="A2562" s="5">
        <f>HYPERLINK("https://finance.yahoo.com/quote/SLSR","SLSR")</f>
        <v/>
      </c>
      <c r="B2562" t="inlineStr">
        <is>
          <t>Solaris Resources Inc.</t>
        </is>
      </c>
      <c r="C2562" t="inlineStr">
        <is>
          <t>NYSE</t>
        </is>
      </c>
      <c r="D2562" t="n">
        <v>2019103</v>
      </c>
      <c r="E2562" t="inlineStr">
        <is>
          <t>SEC</t>
        </is>
      </c>
    </row>
    <row r="2563">
      <c r="A2563" s="5">
        <f>HYPERLINK("https://finance.yahoo.com/quote/VZLA","VZLA")</f>
        <v/>
      </c>
      <c r="B2563" t="inlineStr">
        <is>
          <t>Vizsla Silver Corp.</t>
        </is>
      </c>
      <c r="C2563" t="inlineStr">
        <is>
          <t>NYSE</t>
        </is>
      </c>
      <c r="D2563" t="n">
        <v>1796073</v>
      </c>
      <c r="E2563" t="inlineStr">
        <is>
          <t>SEC</t>
        </is>
      </c>
    </row>
    <row r="2564">
      <c r="A2564" s="5">
        <f>HYPERLINK("https://finance.yahoo.com/quote/DSL","DSL")</f>
        <v/>
      </c>
      <c r="B2564" t="inlineStr">
        <is>
          <t>DoubleLine Income Solutions Fund</t>
        </is>
      </c>
      <c r="C2564" t="inlineStr">
        <is>
          <t>NYSE</t>
        </is>
      </c>
      <c r="D2564" t="n">
        <v>1566388</v>
      </c>
      <c r="E2564" t="inlineStr">
        <is>
          <t>SEC</t>
        </is>
      </c>
    </row>
    <row r="2565">
      <c r="A2565" s="5">
        <f>HYPERLINK("https://finance.yahoo.com/quote/IMTX","IMTX")</f>
        <v/>
      </c>
      <c r="B2565" t="inlineStr">
        <is>
          <t>Immatics N.V.</t>
        </is>
      </c>
      <c r="C2565" t="inlineStr">
        <is>
          <t>Nasdaq</t>
        </is>
      </c>
      <c r="D2565" t="n">
        <v>1809196</v>
      </c>
      <c r="E2565" t="inlineStr">
        <is>
          <t>SEC</t>
        </is>
      </c>
    </row>
    <row r="2566">
      <c r="A2566" s="5">
        <f>HYPERLINK("https://finance.yahoo.com/quote/GOLD","GOLD")</f>
        <v/>
      </c>
      <c r="B2566" t="inlineStr">
        <is>
          <t>Gold.com, Inc.</t>
        </is>
      </c>
      <c r="C2566" t="inlineStr">
        <is>
          <t>NYSE</t>
        </is>
      </c>
      <c r="D2566" t="n">
        <v>1591588</v>
      </c>
      <c r="E2566" t="inlineStr">
        <is>
          <t>SEC</t>
        </is>
      </c>
    </row>
    <row r="2567">
      <c r="A2567" s="5">
        <f>HYPERLINK("https://finance.yahoo.com/quote/MSDL","MSDL")</f>
        <v/>
      </c>
      <c r="B2567" t="inlineStr">
        <is>
          <t>Morgan Stanley Direct Lending Fund</t>
        </is>
      </c>
      <c r="C2567" t="inlineStr">
        <is>
          <t>NYSE</t>
        </is>
      </c>
      <c r="D2567" t="n">
        <v>1782524</v>
      </c>
      <c r="E2567" t="inlineStr">
        <is>
          <t>SEC</t>
        </is>
      </c>
    </row>
    <row r="2568">
      <c r="A2568" s="5">
        <f>HYPERLINK("https://finance.yahoo.com/quote/DEA","DEA")</f>
        <v/>
      </c>
      <c r="B2568" t="inlineStr">
        <is>
          <t>Easterly Government Properties, Inc.</t>
        </is>
      </c>
      <c r="C2568" t="inlineStr">
        <is>
          <t>NYSE</t>
        </is>
      </c>
      <c r="D2568" t="n">
        <v>1622194</v>
      </c>
      <c r="E2568" t="inlineStr">
        <is>
          <t>SEC</t>
        </is>
      </c>
    </row>
    <row r="2569">
      <c r="A2569" s="5">
        <f>HYPERLINK("https://finance.yahoo.com/quote/GNK","GNK")</f>
        <v/>
      </c>
      <c r="B2569" t="inlineStr">
        <is>
          <t>GENCO SHIPPING &amp; TRADING LTD</t>
        </is>
      </c>
      <c r="C2569" t="inlineStr">
        <is>
          <t>NYSE</t>
        </is>
      </c>
      <c r="D2569" t="n">
        <v>1326200</v>
      </c>
      <c r="E2569" t="inlineStr">
        <is>
          <t>SEC</t>
        </is>
      </c>
    </row>
    <row r="2570">
      <c r="A2570" s="5">
        <f>HYPERLINK("https://finance.yahoo.com/quote/CMRF","CMRF")</f>
        <v/>
      </c>
      <c r="B2570" t="inlineStr">
        <is>
          <t>CIM GROUP, INC.</t>
        </is>
      </c>
      <c r="C2570" t="inlineStr">
        <is>
          <t>OTC</t>
        </is>
      </c>
      <c r="D2570" t="n">
        <v>1498547</v>
      </c>
      <c r="E2570" t="inlineStr">
        <is>
          <t>SEC</t>
        </is>
      </c>
    </row>
    <row r="2571">
      <c r="A2571" s="5">
        <f>HYPERLINK("https://finance.yahoo.com/quote/HLIT","HLIT")</f>
        <v/>
      </c>
      <c r="B2571" t="inlineStr">
        <is>
          <t>HARMONIC INC.</t>
        </is>
      </c>
      <c r="C2571" t="inlineStr">
        <is>
          <t>Nasdaq</t>
        </is>
      </c>
      <c r="D2571" t="n">
        <v>851310</v>
      </c>
      <c r="E2571" t="inlineStr">
        <is>
          <t>SEC</t>
        </is>
      </c>
    </row>
    <row r="2572">
      <c r="A2572" s="5">
        <f>HYPERLINK("https://finance.yahoo.com/quote/TRIP","TRIP")</f>
        <v/>
      </c>
      <c r="B2572" t="inlineStr">
        <is>
          <t>TripAdvisor, Inc.</t>
        </is>
      </c>
      <c r="C2572" t="inlineStr">
        <is>
          <t>Nasdaq</t>
        </is>
      </c>
      <c r="D2572" t="n">
        <v>1526520</v>
      </c>
      <c r="E2572" t="inlineStr">
        <is>
          <t>SEC</t>
        </is>
      </c>
    </row>
    <row r="2573">
      <c r="A2573" s="5">
        <f>HYPERLINK("https://finance.yahoo.com/quote/IRMD","IRMD")</f>
        <v/>
      </c>
      <c r="B2573" t="inlineStr">
        <is>
          <t>IRADIMED CORP</t>
        </is>
      </c>
      <c r="C2573" t="inlineStr">
        <is>
          <t>Nasdaq</t>
        </is>
      </c>
      <c r="D2573" t="n">
        <v>1325618</v>
      </c>
      <c r="E2573" t="inlineStr">
        <is>
          <t>SEC</t>
        </is>
      </c>
    </row>
    <row r="2574">
      <c r="A2574" s="5">
        <f>HYPERLINK("https://finance.yahoo.com/quote/BRBR","BRBR")</f>
        <v/>
      </c>
      <c r="B2574" t="inlineStr">
        <is>
          <t>BELLRING BRANDS, INC.</t>
        </is>
      </c>
      <c r="C2574" t="inlineStr">
        <is>
          <t>NYSE</t>
        </is>
      </c>
      <c r="D2574" t="n">
        <v>1772016</v>
      </c>
      <c r="E2574" t="inlineStr">
        <is>
          <t>SEC</t>
        </is>
      </c>
    </row>
    <row r="2575">
      <c r="A2575" s="5">
        <f>HYPERLINK("https://finance.yahoo.com/quote/AESI","AESI")</f>
        <v/>
      </c>
      <c r="B2575" t="inlineStr">
        <is>
          <t>Atlas Energy Solutions Inc.</t>
        </is>
      </c>
      <c r="C2575" t="inlineStr">
        <is>
          <t>NYSE</t>
        </is>
      </c>
      <c r="D2575" t="n">
        <v>1984060</v>
      </c>
      <c r="E2575" t="inlineStr">
        <is>
          <t>SEC</t>
        </is>
      </c>
    </row>
    <row r="2576">
      <c r="A2576" s="5">
        <f>HYPERLINK("https://finance.yahoo.com/quote/WLDN","WLDN")</f>
        <v/>
      </c>
      <c r="B2576" t="inlineStr">
        <is>
          <t>Willdan Group, Inc.</t>
        </is>
      </c>
      <c r="C2576" t="inlineStr">
        <is>
          <t>Nasdaq</t>
        </is>
      </c>
      <c r="D2576" t="n">
        <v>1370450</v>
      </c>
      <c r="E2576" t="inlineStr">
        <is>
          <t>SEC</t>
        </is>
      </c>
    </row>
    <row r="2577">
      <c r="A2577" s="5">
        <f>HYPERLINK("https://finance.yahoo.com/quote/CPAC","CPAC")</f>
        <v/>
      </c>
      <c r="B2577" t="inlineStr">
        <is>
          <t>CEMENTOS PACASMAYO SAA</t>
        </is>
      </c>
      <c r="C2577" t="inlineStr">
        <is>
          <t>NYSE</t>
        </is>
      </c>
      <c r="D2577" t="n">
        <v>1221029</v>
      </c>
      <c r="E2577" t="inlineStr">
        <is>
          <t>SEC</t>
        </is>
      </c>
    </row>
    <row r="2578">
      <c r="A2578" s="5">
        <f>HYPERLINK("https://finance.yahoo.com/quote/DCH","DCH")</f>
        <v/>
      </c>
      <c r="B2578" t="inlineStr">
        <is>
          <t>Dauch Corp</t>
        </is>
      </c>
      <c r="C2578" t="inlineStr">
        <is>
          <t>NYSE</t>
        </is>
      </c>
      <c r="D2578" t="n">
        <v>1062231</v>
      </c>
      <c r="E2578" t="inlineStr">
        <is>
          <t>SEC</t>
        </is>
      </c>
    </row>
    <row r="2579">
      <c r="A2579" s="5">
        <f>HYPERLINK("https://finance.yahoo.com/quote/HRTG","HRTG")</f>
        <v/>
      </c>
      <c r="B2579" t="inlineStr">
        <is>
          <t>Heritage Insurance Holdings, Inc.</t>
        </is>
      </c>
      <c r="C2579" t="inlineStr">
        <is>
          <t>NYSE</t>
        </is>
      </c>
      <c r="D2579" t="n">
        <v>1598665</v>
      </c>
      <c r="E2579" t="inlineStr">
        <is>
          <t>SEC</t>
        </is>
      </c>
    </row>
    <row r="2580">
      <c r="A2580" s="5">
        <f>HYPERLINK("https://finance.yahoo.com/quote/FLNC","FLNC")</f>
        <v/>
      </c>
      <c r="B2580" t="inlineStr">
        <is>
          <t>Fluence Energy, Inc.</t>
        </is>
      </c>
      <c r="C2580" t="inlineStr">
        <is>
          <t>Nasdaq</t>
        </is>
      </c>
      <c r="D2580" t="n">
        <v>1868941</v>
      </c>
      <c r="E2580" t="inlineStr">
        <is>
          <t>SEC</t>
        </is>
      </c>
    </row>
    <row r="2581">
      <c r="A2581" s="5">
        <f>HYPERLINK("https://finance.yahoo.com/quote/EOS","EOS")</f>
        <v/>
      </c>
      <c r="B2581" t="inlineStr">
        <is>
          <t>Eaton Vance Enhanced Equity Income Fund II</t>
        </is>
      </c>
      <c r="C2581" t="inlineStr">
        <is>
          <t>NYSE</t>
        </is>
      </c>
      <c r="D2581" t="n">
        <v>1308335</v>
      </c>
      <c r="E2581" t="inlineStr">
        <is>
          <t>SEC</t>
        </is>
      </c>
    </row>
    <row r="2582">
      <c r="A2582" s="5">
        <f>HYPERLINK("https://finance.yahoo.com/quote/REPL","REPL")</f>
        <v/>
      </c>
      <c r="B2582" t="inlineStr">
        <is>
          <t>Replimune Group, Inc.</t>
        </is>
      </c>
      <c r="C2582" t="inlineStr">
        <is>
          <t>Nasdaq</t>
        </is>
      </c>
      <c r="D2582" t="n">
        <v>1737953</v>
      </c>
      <c r="E2582" t="inlineStr">
        <is>
          <t>SEC</t>
        </is>
      </c>
    </row>
    <row r="2583">
      <c r="A2583" s="5">
        <f>HYPERLINK("https://finance.yahoo.com/quote/TMC","TMC")</f>
        <v/>
      </c>
      <c r="B2583" t="inlineStr">
        <is>
          <t>TMC the metals Co Inc.</t>
        </is>
      </c>
      <c r="C2583" t="inlineStr">
        <is>
          <t>Nasdaq</t>
        </is>
      </c>
      <c r="D2583" t="n">
        <v>1798562</v>
      </c>
      <c r="E2583" t="inlineStr">
        <is>
          <t>SEC</t>
        </is>
      </c>
    </row>
    <row r="2584">
      <c r="A2584" s="5">
        <f>HYPERLINK("https://finance.yahoo.com/quote/LMRI","LMRI")</f>
        <v/>
      </c>
      <c r="B2584" t="inlineStr">
        <is>
          <t>Lumexa Imaging Holdings, Inc.</t>
        </is>
      </c>
      <c r="C2584" t="inlineStr">
        <is>
          <t>Nasdaq</t>
        </is>
      </c>
      <c r="D2584" t="n">
        <v>2071288</v>
      </c>
      <c r="E2584" t="inlineStr">
        <is>
          <t>SEC</t>
        </is>
      </c>
    </row>
    <row r="2585">
      <c r="A2585" s="5">
        <f>HYPERLINK("https://finance.yahoo.com/quote/ODC","ODC")</f>
        <v/>
      </c>
      <c r="B2585" t="inlineStr">
        <is>
          <t>Oil-Dri Corp of America</t>
        </is>
      </c>
      <c r="C2585" t="inlineStr">
        <is>
          <t>NYSE</t>
        </is>
      </c>
      <c r="D2585" t="n">
        <v>74046</v>
      </c>
      <c r="E2585" t="inlineStr">
        <is>
          <t>SEC</t>
        </is>
      </c>
    </row>
    <row r="2586">
      <c r="A2586" s="5">
        <f>HYPERLINK("https://finance.yahoo.com/quote/LNN","LNN")</f>
        <v/>
      </c>
      <c r="B2586" t="inlineStr">
        <is>
          <t>LINDSAY CORP</t>
        </is>
      </c>
      <c r="C2586" t="inlineStr">
        <is>
          <t>NYSE</t>
        </is>
      </c>
      <c r="D2586" t="n">
        <v>836157</v>
      </c>
      <c r="E2586" t="inlineStr">
        <is>
          <t>SEC</t>
        </is>
      </c>
    </row>
    <row r="2587">
      <c r="A2587" s="5">
        <f>HYPERLINK("https://finance.yahoo.com/quote/FSBC","FSBC")</f>
        <v/>
      </c>
      <c r="B2587" t="inlineStr">
        <is>
          <t>FIVE STAR BANCORP</t>
        </is>
      </c>
      <c r="C2587" t="inlineStr">
        <is>
          <t>Nasdaq</t>
        </is>
      </c>
      <c r="D2587" t="n">
        <v>1275168</v>
      </c>
      <c r="E2587" t="inlineStr">
        <is>
          <t>SEC</t>
        </is>
      </c>
    </row>
    <row r="2588">
      <c r="A2588" s="5">
        <f>HYPERLINK("https://finance.yahoo.com/quote/PSIX","PSIX")</f>
        <v/>
      </c>
      <c r="B2588" t="inlineStr">
        <is>
          <t>POWER SOLUTIONS INTERNATIONAL, INC.</t>
        </is>
      </c>
      <c r="C2588" t="inlineStr">
        <is>
          <t>Nasdaq</t>
        </is>
      </c>
      <c r="D2588" t="n">
        <v>1137091</v>
      </c>
      <c r="E2588" t="inlineStr">
        <is>
          <t>SEC</t>
        </is>
      </c>
    </row>
    <row r="2589">
      <c r="A2589" s="5">
        <f>HYPERLINK("https://finance.yahoo.com/quote/ECVT","ECVT")</f>
        <v/>
      </c>
      <c r="B2589" t="inlineStr">
        <is>
          <t>Ecovyst Inc.</t>
        </is>
      </c>
      <c r="C2589" t="inlineStr">
        <is>
          <t>NYSE</t>
        </is>
      </c>
      <c r="D2589" t="n">
        <v>1708035</v>
      </c>
      <c r="E2589" t="inlineStr">
        <is>
          <t>SEC</t>
        </is>
      </c>
    </row>
    <row r="2590">
      <c r="A2590" s="5">
        <f>HYPERLINK("https://finance.yahoo.com/quote/YELP","YELP")</f>
        <v/>
      </c>
      <c r="B2590" t="inlineStr">
        <is>
          <t>YELP INC</t>
        </is>
      </c>
      <c r="C2590" t="inlineStr">
        <is>
          <t>NYSE</t>
        </is>
      </c>
      <c r="D2590" t="n">
        <v>1345016</v>
      </c>
      <c r="E2590" t="inlineStr">
        <is>
          <t>SEC</t>
        </is>
      </c>
    </row>
    <row r="2591">
      <c r="A2591" s="5">
        <f>HYPERLINK("https://finance.yahoo.com/quote/SPTX","SPTX")</f>
        <v/>
      </c>
      <c r="B2591" t="inlineStr">
        <is>
          <t>Seaport Therapeutics, Inc.</t>
        </is>
      </c>
      <c r="C2591" t="inlineStr">
        <is>
          <t>Nasdaq</t>
        </is>
      </c>
      <c r="D2591" t="n">
        <v>2042347</v>
      </c>
      <c r="E2591" t="inlineStr">
        <is>
          <t>SEC</t>
        </is>
      </c>
    </row>
    <row r="2592">
      <c r="A2592" s="5">
        <f>HYPERLINK("https://finance.yahoo.com/quote/OPY","OPY")</f>
        <v/>
      </c>
      <c r="B2592" t="inlineStr">
        <is>
          <t>OPPENHEIMER HOLDINGS INC</t>
        </is>
      </c>
      <c r="C2592" t="inlineStr">
        <is>
          <t>NYSE</t>
        </is>
      </c>
      <c r="D2592" t="n">
        <v>791963</v>
      </c>
      <c r="E2592" t="inlineStr">
        <is>
          <t>SEC</t>
        </is>
      </c>
    </row>
    <row r="2593">
      <c r="A2593" s="5">
        <f>HYPERLINK("https://finance.yahoo.com/quote/TBN","TBN")</f>
        <v/>
      </c>
      <c r="B2593" t="inlineStr">
        <is>
          <t>Tamboran Resources Corp</t>
        </is>
      </c>
      <c r="C2593" t="inlineStr">
        <is>
          <t>NYSE</t>
        </is>
      </c>
      <c r="D2593" t="n">
        <v>1997652</v>
      </c>
      <c r="E2593" t="inlineStr">
        <is>
          <t>SEC</t>
        </is>
      </c>
    </row>
    <row r="2594">
      <c r="A2594" s="5">
        <f>HYPERLINK("https://finance.yahoo.com/quote/DLX","DLX")</f>
        <v/>
      </c>
      <c r="B2594" t="inlineStr">
        <is>
          <t>DELUXE CORP</t>
        </is>
      </c>
      <c r="C2594" t="inlineStr">
        <is>
          <t>NYSE</t>
        </is>
      </c>
      <c r="D2594" t="n">
        <v>27996</v>
      </c>
      <c r="E2594" t="inlineStr">
        <is>
          <t>SEC</t>
        </is>
      </c>
    </row>
    <row r="2595">
      <c r="A2595" s="5">
        <f>HYPERLINK("https://finance.yahoo.com/quote/NEWP","NEWP")</f>
        <v/>
      </c>
      <c r="B2595" t="inlineStr">
        <is>
          <t>NEW PACIFIC METALS CORP</t>
        </is>
      </c>
      <c r="C2595" t="inlineStr">
        <is>
          <t>NYSE</t>
        </is>
      </c>
      <c r="D2595" t="n">
        <v>1369085</v>
      </c>
      <c r="E2595" t="inlineStr">
        <is>
          <t>SEC</t>
        </is>
      </c>
    </row>
    <row r="2596">
      <c r="A2596" s="5">
        <f>HYPERLINK("https://finance.yahoo.com/quote/LTGHY","LTGHY")</f>
        <v/>
      </c>
      <c r="B2596" t="inlineStr">
        <is>
          <t>Life Healthcare Group Holdings Limited/ADR</t>
        </is>
      </c>
      <c r="C2596" t="inlineStr">
        <is>
          <t>OTC</t>
        </is>
      </c>
      <c r="D2596" t="n">
        <v>1569963</v>
      </c>
      <c r="E2596" t="inlineStr">
        <is>
          <t>SEC</t>
        </is>
      </c>
    </row>
    <row r="2597">
      <c r="A2597" s="5">
        <f>HYPERLINK("https://finance.yahoo.com/quote/LGSXY","LGSXY")</f>
        <v/>
      </c>
      <c r="B2597" t="inlineStr">
        <is>
          <t>Light S.A./ADR</t>
        </is>
      </c>
      <c r="C2597" t="inlineStr">
        <is>
          <t>OTC</t>
        </is>
      </c>
      <c r="D2597" t="n">
        <v>1447221</v>
      </c>
      <c r="E2597" t="inlineStr">
        <is>
          <t>SEC</t>
        </is>
      </c>
    </row>
    <row r="2598">
      <c r="A2598" s="5">
        <f>HYPERLINK("https://finance.yahoo.com/quote/VNET","VNET")</f>
        <v/>
      </c>
      <c r="B2598" t="inlineStr">
        <is>
          <t>VNET Group, Inc.</t>
        </is>
      </c>
      <c r="C2598" t="inlineStr">
        <is>
          <t>Nasdaq</t>
        </is>
      </c>
      <c r="D2598" t="n">
        <v>1508475</v>
      </c>
      <c r="E2598" t="inlineStr">
        <is>
          <t>SEC</t>
        </is>
      </c>
    </row>
    <row r="2599">
      <c r="A2599" s="5">
        <f>HYPERLINK("https://finance.yahoo.com/quote/VOR","VOR")</f>
        <v/>
      </c>
      <c r="B2599" t="inlineStr">
        <is>
          <t>Vor Biopharma Inc.</t>
        </is>
      </c>
      <c r="C2599" t="inlineStr">
        <is>
          <t>Nasdaq</t>
        </is>
      </c>
      <c r="D2599" t="n">
        <v>1817229</v>
      </c>
      <c r="E2599" t="inlineStr">
        <is>
          <t>SEC</t>
        </is>
      </c>
    </row>
    <row r="2600">
      <c r="A2600" s="5">
        <f>HYPERLINK("https://finance.yahoo.com/quote/SBR","SBR")</f>
        <v/>
      </c>
      <c r="B2600" t="inlineStr">
        <is>
          <t>SABINE ROYALTY TRUST</t>
        </is>
      </c>
      <c r="C2600" t="inlineStr">
        <is>
          <t>NYSE</t>
        </is>
      </c>
      <c r="D2600" t="n">
        <v>710752</v>
      </c>
      <c r="E2600" t="inlineStr">
        <is>
          <t>SEC</t>
        </is>
      </c>
    </row>
    <row r="2601">
      <c r="A2601" s="5">
        <f>HYPERLINK("https://finance.yahoo.com/quote/HSTM","HSTM")</f>
        <v/>
      </c>
      <c r="B2601" t="inlineStr">
        <is>
          <t>HEALTHSTREAM INC</t>
        </is>
      </c>
      <c r="C2601" t="inlineStr">
        <is>
          <t>Nasdaq</t>
        </is>
      </c>
      <c r="D2601" t="n">
        <v>1095565</v>
      </c>
      <c r="E2601" t="inlineStr">
        <is>
          <t>SEC</t>
        </is>
      </c>
    </row>
    <row r="2602">
      <c r="A2602" s="5">
        <f>HYPERLINK("https://finance.yahoo.com/quote/NPK","NPK")</f>
        <v/>
      </c>
      <c r="B2602" t="inlineStr">
        <is>
          <t>NATIONAL PRESTO INDUSTRIES INC</t>
        </is>
      </c>
      <c r="C2602" t="inlineStr">
        <is>
          <t>NYSE</t>
        </is>
      </c>
      <c r="D2602" t="n">
        <v>80172</v>
      </c>
      <c r="E2602" t="inlineStr">
        <is>
          <t>SEC</t>
        </is>
      </c>
    </row>
    <row r="2603">
      <c r="A2603" s="5">
        <f>HYPERLINK("https://finance.yahoo.com/quote/AMPH","AMPH")</f>
        <v/>
      </c>
      <c r="B2603" t="inlineStr">
        <is>
          <t>Amphastar Pharmaceuticals, Inc.</t>
        </is>
      </c>
      <c r="C2603" t="inlineStr">
        <is>
          <t>Nasdaq</t>
        </is>
      </c>
      <c r="D2603" t="n">
        <v>1297184</v>
      </c>
      <c r="E2603" t="inlineStr">
        <is>
          <t>SEC</t>
        </is>
      </c>
    </row>
    <row r="2604">
      <c r="A2604" s="5">
        <f>HYPERLINK("https://finance.yahoo.com/quote/MBWM","MBWM")</f>
        <v/>
      </c>
      <c r="B2604" t="inlineStr">
        <is>
          <t>MERCANTILE BANK CORP</t>
        </is>
      </c>
      <c r="C2604" t="inlineStr">
        <is>
          <t>Nasdaq</t>
        </is>
      </c>
      <c r="D2604" t="n">
        <v>1042729</v>
      </c>
      <c r="E2604" t="inlineStr">
        <is>
          <t>SEC</t>
        </is>
      </c>
    </row>
    <row r="2605">
      <c r="A2605" s="5">
        <f>HYPERLINK("https://finance.yahoo.com/quote/HROW","HROW")</f>
        <v/>
      </c>
      <c r="B2605" t="inlineStr">
        <is>
          <t>HARROW, INC.</t>
        </is>
      </c>
      <c r="C2605" t="inlineStr">
        <is>
          <t>Nasdaq</t>
        </is>
      </c>
      <c r="D2605" t="n">
        <v>1360214</v>
      </c>
      <c r="E2605" t="inlineStr">
        <is>
          <t>SEC</t>
        </is>
      </c>
    </row>
    <row r="2606">
      <c r="A2606" s="5">
        <f>HYPERLINK("https://finance.yahoo.com/quote/KRT","KRT")</f>
        <v/>
      </c>
      <c r="B2606" t="inlineStr">
        <is>
          <t>Karat Packaging Inc.</t>
        </is>
      </c>
      <c r="C2606" t="inlineStr">
        <is>
          <t>Nasdaq</t>
        </is>
      </c>
      <c r="D2606" t="n">
        <v>1758021</v>
      </c>
      <c r="E2606" t="inlineStr">
        <is>
          <t>SEC</t>
        </is>
      </c>
    </row>
    <row r="2607">
      <c r="A2607" s="5">
        <f>HYPERLINK("https://finance.yahoo.com/quote/CBLL","CBLL")</f>
        <v/>
      </c>
      <c r="B2607" t="inlineStr">
        <is>
          <t>Ceribell, Inc.</t>
        </is>
      </c>
      <c r="C2607" t="inlineStr">
        <is>
          <t>Nasdaq</t>
        </is>
      </c>
      <c r="D2607" t="n">
        <v>1861107</v>
      </c>
      <c r="E2607" t="inlineStr">
        <is>
          <t>SEC</t>
        </is>
      </c>
    </row>
    <row r="2608">
      <c r="A2608" s="5">
        <f>HYPERLINK("https://finance.yahoo.com/quote/SENEA","SENEA")</f>
        <v/>
      </c>
      <c r="B2608" t="inlineStr">
        <is>
          <t>Seneca Foods Corp</t>
        </is>
      </c>
      <c r="C2608" t="inlineStr">
        <is>
          <t>Nasdaq</t>
        </is>
      </c>
      <c r="D2608" t="n">
        <v>88948</v>
      </c>
      <c r="E2608" t="inlineStr">
        <is>
          <t>SEC</t>
        </is>
      </c>
    </row>
    <row r="2609">
      <c r="A2609" s="5">
        <f>HYPERLINK("https://finance.yahoo.com/quote/MSEX","MSEX")</f>
        <v/>
      </c>
      <c r="B2609" t="inlineStr">
        <is>
          <t>MIDDLESEX WATER CO</t>
        </is>
      </c>
      <c r="C2609" t="inlineStr">
        <is>
          <t>Nasdaq</t>
        </is>
      </c>
      <c r="D2609" t="n">
        <v>66004</v>
      </c>
      <c r="E2609" t="inlineStr">
        <is>
          <t>SEC</t>
        </is>
      </c>
    </row>
    <row r="2610">
      <c r="A2610" s="5">
        <f>HYPERLINK("https://finance.yahoo.com/quote/AOD","AOD")</f>
        <v/>
      </c>
      <c r="B2610" t="inlineStr">
        <is>
          <t>abrdn Total Dynamic Dividend Fund</t>
        </is>
      </c>
      <c r="C2610" t="inlineStr">
        <is>
          <t>NYSE</t>
        </is>
      </c>
      <c r="D2610" t="n">
        <v>1379400</v>
      </c>
      <c r="E2610" t="inlineStr">
        <is>
          <t>SEC</t>
        </is>
      </c>
    </row>
    <row r="2611">
      <c r="A2611" s="5">
        <f>HYPERLINK("https://finance.yahoo.com/quote/CTY","CTY")</f>
        <v/>
      </c>
      <c r="B2611" t="inlineStr">
        <is>
          <t>CITY THERAPEUTICS, INC.</t>
        </is>
      </c>
      <c r="C2611" t="inlineStr">
        <is>
          <t>Nasdaq</t>
        </is>
      </c>
      <c r="D2611" t="n">
        <v>2143850</v>
      </c>
      <c r="E2611" t="inlineStr">
        <is>
          <t>SEC</t>
        </is>
      </c>
    </row>
    <row r="2612">
      <c r="A2612" s="5">
        <f>HYPERLINK("https://finance.yahoo.com/quote/ODD","ODD")</f>
        <v/>
      </c>
      <c r="B2612" t="inlineStr">
        <is>
          <t>Oddity Tech Ltd</t>
        </is>
      </c>
      <c r="C2612" t="inlineStr">
        <is>
          <t>Nasdaq</t>
        </is>
      </c>
      <c r="D2612" t="n">
        <v>1907085</v>
      </c>
      <c r="E2612" t="inlineStr">
        <is>
          <t>SEC</t>
        </is>
      </c>
    </row>
    <row r="2613">
      <c r="A2613" s="5">
        <f>HYPERLINK("https://finance.yahoo.com/quote/IGIC","IGIC")</f>
        <v/>
      </c>
      <c r="B2613" t="inlineStr">
        <is>
          <t>International General Insurance Holdings Ltd.</t>
        </is>
      </c>
      <c r="C2613" t="inlineStr">
        <is>
          <t>Nasdaq</t>
        </is>
      </c>
      <c r="D2613" t="n">
        <v>1794338</v>
      </c>
      <c r="E2613" t="inlineStr">
        <is>
          <t>SEC</t>
        </is>
      </c>
    </row>
    <row r="2614">
      <c r="A2614" s="5">
        <f>HYPERLINK("https://finance.yahoo.com/quote/HBNC","HBNC")</f>
        <v/>
      </c>
      <c r="B2614" t="inlineStr">
        <is>
          <t>HORIZON BANCORP INC /IN/</t>
        </is>
      </c>
      <c r="C2614" t="inlineStr">
        <is>
          <t>Nasdaq</t>
        </is>
      </c>
      <c r="D2614" t="n">
        <v>706129</v>
      </c>
      <c r="E2614" t="inlineStr">
        <is>
          <t>SEC</t>
        </is>
      </c>
    </row>
    <row r="2615">
      <c r="A2615" s="5">
        <f>HYPERLINK("https://finance.yahoo.com/quote/USAS","USAS")</f>
        <v/>
      </c>
      <c r="B2615" t="inlineStr">
        <is>
          <t>Americas Gold &amp; Silver Corp</t>
        </is>
      </c>
      <c r="C2615" t="inlineStr">
        <is>
          <t>NYSE</t>
        </is>
      </c>
      <c r="D2615" t="n">
        <v>1286973</v>
      </c>
      <c r="E2615" t="inlineStr">
        <is>
          <t>SEC</t>
        </is>
      </c>
    </row>
    <row r="2616">
      <c r="A2616" s="5">
        <f>HYPERLINK("https://finance.yahoo.com/quote/BMEZ","BMEZ")</f>
        <v/>
      </c>
      <c r="B2616" t="inlineStr">
        <is>
          <t>BlackRock Health Sciences Term Trust</t>
        </is>
      </c>
      <c r="C2616" t="inlineStr">
        <is>
          <t>NYSE</t>
        </is>
      </c>
      <c r="D2616" t="n">
        <v>1785971</v>
      </c>
      <c r="E2616" t="inlineStr">
        <is>
          <t>SEC</t>
        </is>
      </c>
    </row>
    <row r="2617">
      <c r="A2617" s="5">
        <f>HYPERLINK("https://finance.yahoo.com/quote/CCNE","CCNE")</f>
        <v/>
      </c>
      <c r="B2617" t="inlineStr">
        <is>
          <t>CNB FINANCIAL CORP/PA</t>
        </is>
      </c>
      <c r="C2617" t="inlineStr">
        <is>
          <t>Nasdaq</t>
        </is>
      </c>
      <c r="D2617" t="n">
        <v>736772</v>
      </c>
      <c r="E2617" t="inlineStr">
        <is>
          <t>SEC</t>
        </is>
      </c>
    </row>
    <row r="2618">
      <c r="A2618" s="5">
        <f>HYPERLINK("https://finance.yahoo.com/quote/MMI","MMI")</f>
        <v/>
      </c>
      <c r="B2618" t="inlineStr">
        <is>
          <t>Marcus &amp; Millichap, Inc.</t>
        </is>
      </c>
      <c r="C2618" t="inlineStr">
        <is>
          <t>NYSE</t>
        </is>
      </c>
      <c r="D2618" t="n">
        <v>1578732</v>
      </c>
      <c r="E2618" t="inlineStr">
        <is>
          <t>SEC</t>
        </is>
      </c>
    </row>
    <row r="2619">
      <c r="A2619" s="5">
        <f>HYPERLINK("https://finance.yahoo.com/quote/AHG","AHG")</f>
        <v/>
      </c>
      <c r="B2619" t="inlineStr">
        <is>
          <t>Akso Health Group</t>
        </is>
      </c>
      <c r="C2619" t="inlineStr">
        <is>
          <t>Nasdaq</t>
        </is>
      </c>
      <c r="D2619" t="n">
        <v>1702318</v>
      </c>
      <c r="E2619" t="inlineStr">
        <is>
          <t>SEC</t>
        </is>
      </c>
    </row>
    <row r="2620">
      <c r="A2620" s="5">
        <f>HYPERLINK("https://finance.yahoo.com/quote/BBNX","BBNX")</f>
        <v/>
      </c>
      <c r="B2620" t="inlineStr">
        <is>
          <t>Beta Bionics, Inc.</t>
        </is>
      </c>
      <c r="C2620" t="inlineStr">
        <is>
          <t>Nasdaq</t>
        </is>
      </c>
      <c r="D2620" t="n">
        <v>1674632</v>
      </c>
      <c r="E2620" t="inlineStr">
        <is>
          <t>SEC</t>
        </is>
      </c>
    </row>
    <row r="2621">
      <c r="A2621" s="5">
        <f>HYPERLINK("https://finance.yahoo.com/quote/KFRC","KFRC")</f>
        <v/>
      </c>
      <c r="B2621" t="inlineStr">
        <is>
          <t>KFORCE INC</t>
        </is>
      </c>
      <c r="C2621" t="inlineStr">
        <is>
          <t>NYSE</t>
        </is>
      </c>
      <c r="D2621" t="n">
        <v>930420</v>
      </c>
      <c r="E2621" t="inlineStr">
        <is>
          <t>SEC</t>
        </is>
      </c>
    </row>
    <row r="2622">
      <c r="A2622" s="5">
        <f>HYPERLINK("https://finance.yahoo.com/quote/BFST","BFST")</f>
        <v/>
      </c>
      <c r="B2622" t="inlineStr">
        <is>
          <t>Business First Bancshares, Inc.</t>
        </is>
      </c>
      <c r="C2622" t="inlineStr">
        <is>
          <t>Nasdaq</t>
        </is>
      </c>
      <c r="D2622" t="n">
        <v>1624322</v>
      </c>
      <c r="E2622" t="inlineStr">
        <is>
          <t>SEC</t>
        </is>
      </c>
    </row>
    <row r="2623">
      <c r="A2623" s="5">
        <f>HYPERLINK("https://finance.yahoo.com/quote/YKCLY","YKCLY")</f>
        <v/>
      </c>
      <c r="B2623" t="inlineStr">
        <is>
          <t>Yamato Kogyo Co. Ltd/ADR</t>
        </is>
      </c>
      <c r="C2623" t="inlineStr">
        <is>
          <t>OTC</t>
        </is>
      </c>
      <c r="D2623" t="n">
        <v>2107946</v>
      </c>
      <c r="E2623" t="inlineStr">
        <is>
          <t>SEC</t>
        </is>
      </c>
    </row>
    <row r="2624">
      <c r="A2624" s="5">
        <f>HYPERLINK("https://finance.yahoo.com/quote/EGBN","EGBN")</f>
        <v/>
      </c>
      <c r="B2624" t="inlineStr">
        <is>
          <t>EAGLE BANCORP INC</t>
        </is>
      </c>
      <c r="C2624" t="inlineStr">
        <is>
          <t>Nasdaq</t>
        </is>
      </c>
      <c r="D2624" t="n">
        <v>1050441</v>
      </c>
      <c r="E2624" t="inlineStr">
        <is>
          <t>SEC</t>
        </is>
      </c>
    </row>
    <row r="2625">
      <c r="A2625" s="5">
        <f>HYPERLINK("https://finance.yahoo.com/quote/CFFN","CFFN")</f>
        <v/>
      </c>
      <c r="B2625" t="inlineStr">
        <is>
          <t>Capitol Federal Financial, Inc.</t>
        </is>
      </c>
      <c r="C2625" t="inlineStr">
        <is>
          <t>Nasdaq</t>
        </is>
      </c>
      <c r="D2625" t="n">
        <v>1490906</v>
      </c>
      <c r="E2625" t="inlineStr">
        <is>
          <t>SEC</t>
        </is>
      </c>
    </row>
    <row r="2626">
      <c r="A2626" s="5">
        <f>HYPERLINK("https://finance.yahoo.com/quote/BBAI","BBAI")</f>
        <v/>
      </c>
      <c r="B2626" t="inlineStr">
        <is>
          <t>BigBear.ai Holdings, Inc.</t>
        </is>
      </c>
      <c r="C2626" t="inlineStr">
        <is>
          <t>NYSE</t>
        </is>
      </c>
      <c r="D2626" t="n">
        <v>1836981</v>
      </c>
      <c r="E2626" t="inlineStr">
        <is>
          <t>SEC</t>
        </is>
      </c>
    </row>
    <row r="2627">
      <c r="A2627" s="5">
        <f>HYPERLINK("https://finance.yahoo.com/quote/MCBS","MCBS")</f>
        <v/>
      </c>
      <c r="B2627" t="inlineStr">
        <is>
          <t>MetroCity Bankshares, Inc.</t>
        </is>
      </c>
      <c r="C2627" t="inlineStr">
        <is>
          <t>Nasdaq</t>
        </is>
      </c>
      <c r="D2627" t="n">
        <v>1747068</v>
      </c>
      <c r="E2627" t="inlineStr">
        <is>
          <t>SEC</t>
        </is>
      </c>
    </row>
    <row r="2628">
      <c r="A2628" s="5">
        <f>HYPERLINK("https://finance.yahoo.com/quote/JANX","JANX")</f>
        <v/>
      </c>
      <c r="B2628" t="inlineStr">
        <is>
          <t>Janux Therapeutics, Inc.</t>
        </is>
      </c>
      <c r="C2628" t="inlineStr">
        <is>
          <t>Nasdaq</t>
        </is>
      </c>
      <c r="D2628" t="n">
        <v>1817713</v>
      </c>
      <c r="E2628" t="inlineStr">
        <is>
          <t>SEC</t>
        </is>
      </c>
    </row>
    <row r="2629">
      <c r="A2629" s="5">
        <f>HYPERLINK("https://finance.yahoo.com/quote/BFS","BFS")</f>
        <v/>
      </c>
      <c r="B2629" t="inlineStr">
        <is>
          <t>SAUL CENTERS, INC.</t>
        </is>
      </c>
      <c r="C2629" t="inlineStr">
        <is>
          <t>NYSE</t>
        </is>
      </c>
      <c r="D2629" t="n">
        <v>907254</v>
      </c>
      <c r="E2629" t="inlineStr">
        <is>
          <t>SEC</t>
        </is>
      </c>
    </row>
    <row r="2630">
      <c r="A2630" s="5">
        <f>HYPERLINK("https://finance.yahoo.com/quote/RAJAF","RAJAF")</f>
        <v/>
      </c>
      <c r="B2630" t="inlineStr">
        <is>
          <t>TFA Therapeutics, Inc.</t>
        </is>
      </c>
      <c r="C2630" t="inlineStr">
        <is>
          <t>OTC</t>
        </is>
      </c>
      <c r="D2630" t="n">
        <v>1885680</v>
      </c>
      <c r="E2630" t="inlineStr">
        <is>
          <t>SEC</t>
        </is>
      </c>
    </row>
    <row r="2631">
      <c r="A2631" s="5">
        <f>HYPERLINK("https://finance.yahoo.com/quote/TDAY","TDAY")</f>
        <v/>
      </c>
      <c r="B2631" t="inlineStr">
        <is>
          <t>USA TODAY Co., Inc.</t>
        </is>
      </c>
      <c r="C2631" t="inlineStr">
        <is>
          <t>NYSE</t>
        </is>
      </c>
      <c r="D2631" t="n">
        <v>1579684</v>
      </c>
      <c r="E2631" t="inlineStr">
        <is>
          <t>SEC</t>
        </is>
      </c>
    </row>
    <row r="2632">
      <c r="A2632" s="5">
        <f>HYPERLINK("https://finance.yahoo.com/quote/AVO","AVO")</f>
        <v/>
      </c>
      <c r="B2632" t="inlineStr">
        <is>
          <t>Mission Produce, Inc.</t>
        </is>
      </c>
      <c r="C2632" t="inlineStr">
        <is>
          <t>Nasdaq</t>
        </is>
      </c>
      <c r="D2632" t="n">
        <v>1802974</v>
      </c>
      <c r="E2632" t="inlineStr">
        <is>
          <t>SEC</t>
        </is>
      </c>
    </row>
    <row r="2633">
      <c r="A2633" s="5">
        <f>HYPERLINK("https://finance.yahoo.com/quote/RPD","RPD")</f>
        <v/>
      </c>
      <c r="B2633" t="inlineStr">
        <is>
          <t>Rapid7, Inc.</t>
        </is>
      </c>
      <c r="C2633" t="inlineStr">
        <is>
          <t>Nasdaq</t>
        </is>
      </c>
      <c r="D2633" t="n">
        <v>1560327</v>
      </c>
      <c r="E2633" t="inlineStr">
        <is>
          <t>SEC</t>
        </is>
      </c>
    </row>
    <row r="2634">
      <c r="A2634" s="5">
        <f>HYPERLINK("https://finance.yahoo.com/quote/FSCO","FSCO")</f>
        <v/>
      </c>
      <c r="B2634" t="inlineStr">
        <is>
          <t>FS Credit Opportunities Corp.</t>
        </is>
      </c>
      <c r="C2634" t="inlineStr">
        <is>
          <t>NYSE</t>
        </is>
      </c>
      <c r="D2634" t="n">
        <v>1568194</v>
      </c>
      <c r="E2634" t="inlineStr">
        <is>
          <t>SEC</t>
        </is>
      </c>
    </row>
    <row r="2635">
      <c r="A2635" s="5">
        <f>HYPERLINK("https://finance.yahoo.com/quote/BVS","BVS")</f>
        <v/>
      </c>
      <c r="B2635" t="inlineStr">
        <is>
          <t>Bioventus Inc.</t>
        </is>
      </c>
      <c r="C2635" t="inlineStr">
        <is>
          <t>Nasdaq</t>
        </is>
      </c>
      <c r="D2635" t="n">
        <v>1665988</v>
      </c>
      <c r="E2635" t="inlineStr">
        <is>
          <t>SEC</t>
        </is>
      </c>
    </row>
    <row r="2636">
      <c r="A2636" s="5">
        <f>HYPERLINK("https://finance.yahoo.com/quote/NMAX","NMAX")</f>
        <v/>
      </c>
      <c r="B2636" t="inlineStr">
        <is>
          <t>Newsmax Inc.</t>
        </is>
      </c>
      <c r="C2636" t="inlineStr">
        <is>
          <t>NYSE</t>
        </is>
      </c>
      <c r="D2636" t="n">
        <v>2026478</v>
      </c>
      <c r="E2636" t="inlineStr">
        <is>
          <t>SEC</t>
        </is>
      </c>
    </row>
    <row r="2637">
      <c r="A2637" s="5">
        <f>HYPERLINK("https://finance.yahoo.com/quote/CSTL","CSTL")</f>
        <v/>
      </c>
      <c r="B2637" t="inlineStr">
        <is>
          <t>CASTLE BIOSCIENCES INC</t>
        </is>
      </c>
      <c r="C2637" t="inlineStr">
        <is>
          <t>Nasdaq</t>
        </is>
      </c>
      <c r="D2637" t="n">
        <v>1447362</v>
      </c>
      <c r="E2637" t="inlineStr">
        <is>
          <t>SEC</t>
        </is>
      </c>
    </row>
    <row r="2638">
      <c r="A2638" s="5">
        <f>HYPERLINK("https://finance.yahoo.com/quote/CII","CII")</f>
        <v/>
      </c>
      <c r="B2638" t="inlineStr">
        <is>
          <t>BlackRock Enhanced Large Cap Core Fund, Inc.</t>
        </is>
      </c>
      <c r="C2638" t="inlineStr">
        <is>
          <t>NYSE</t>
        </is>
      </c>
      <c r="D2638" t="n">
        <v>1278895</v>
      </c>
      <c r="E2638" t="inlineStr">
        <is>
          <t>SEC</t>
        </is>
      </c>
    </row>
    <row r="2639">
      <c r="A2639" s="5">
        <f>HYPERLINK("https://finance.yahoo.com/quote/DEC","DEC")</f>
        <v/>
      </c>
      <c r="B2639" t="inlineStr">
        <is>
          <t>Diversified Energy Co</t>
        </is>
      </c>
      <c r="C2639" t="inlineStr">
        <is>
          <t>NYSE</t>
        </is>
      </c>
      <c r="D2639" t="n">
        <v>1922446</v>
      </c>
      <c r="E2639" t="inlineStr">
        <is>
          <t>SEC</t>
        </is>
      </c>
    </row>
    <row r="2640">
      <c r="A2640" s="5">
        <f>HYPERLINK("https://finance.yahoo.com/quote/TUYA","TUYA")</f>
        <v/>
      </c>
      <c r="B2640" t="inlineStr">
        <is>
          <t>Tuya Inc.</t>
        </is>
      </c>
      <c r="C2640" t="inlineStr">
        <is>
          <t>NYSE</t>
        </is>
      </c>
      <c r="D2640" t="n">
        <v>1829118</v>
      </c>
      <c r="E2640" t="inlineStr">
        <is>
          <t>SEC</t>
        </is>
      </c>
    </row>
    <row r="2641">
      <c r="A2641" s="5">
        <f>HYPERLINK("https://finance.yahoo.com/quote/ETW","ETW")</f>
        <v/>
      </c>
      <c r="B2641" t="inlineStr">
        <is>
          <t>Eaton Vance Tax-Managed Global Buy-Write Opportunities Fund</t>
        </is>
      </c>
      <c r="C2641" t="inlineStr">
        <is>
          <t>NYSE</t>
        </is>
      </c>
      <c r="D2641" t="n">
        <v>1322435</v>
      </c>
      <c r="E2641" t="inlineStr">
        <is>
          <t>SEC</t>
        </is>
      </c>
    </row>
    <row r="2642">
      <c r="A2642" s="5">
        <f>HYPERLINK("https://finance.yahoo.com/quote/NBBK","NBBK")</f>
        <v/>
      </c>
      <c r="B2642" t="inlineStr">
        <is>
          <t>NB Bancorp, Inc.</t>
        </is>
      </c>
      <c r="C2642" t="inlineStr">
        <is>
          <t>Nasdaq</t>
        </is>
      </c>
      <c r="D2642" t="n">
        <v>1979330</v>
      </c>
      <c r="E2642" t="inlineStr">
        <is>
          <t>SEC</t>
        </is>
      </c>
    </row>
    <row r="2643">
      <c r="A2643" s="5">
        <f>HYPERLINK("https://finance.yahoo.com/quote/HIPO","HIPO")</f>
        <v/>
      </c>
      <c r="B2643" t="inlineStr">
        <is>
          <t>Hippo Holdings Inc.</t>
        </is>
      </c>
      <c r="C2643" t="inlineStr">
        <is>
          <t>NYSE</t>
        </is>
      </c>
      <c r="D2643" t="n">
        <v>1828105</v>
      </c>
      <c r="E2643" t="inlineStr">
        <is>
          <t>SEC</t>
        </is>
      </c>
    </row>
    <row r="2644">
      <c r="A2644" s="5">
        <f>HYPERLINK("https://finance.yahoo.com/quote/MNKD","MNKD")</f>
        <v/>
      </c>
      <c r="B2644" t="inlineStr">
        <is>
          <t>MANNKIND CORP</t>
        </is>
      </c>
      <c r="C2644" t="inlineStr">
        <is>
          <t>Nasdaq</t>
        </is>
      </c>
      <c r="D2644" t="n">
        <v>899460</v>
      </c>
      <c r="E2644" t="inlineStr">
        <is>
          <t>SEC</t>
        </is>
      </c>
    </row>
    <row r="2645">
      <c r="A2645" s="5">
        <f>HYPERLINK("https://finance.yahoo.com/quote/HSLV","HSLV")</f>
        <v/>
      </c>
      <c r="B2645" t="inlineStr">
        <is>
          <t>Highlander Silver Corp.</t>
        </is>
      </c>
      <c r="C2645" t="inlineStr">
        <is>
          <t>NYSE</t>
        </is>
      </c>
      <c r="D2645" t="n">
        <v>2013223</v>
      </c>
      <c r="E2645" t="inlineStr">
        <is>
          <t>SEC</t>
        </is>
      </c>
    </row>
    <row r="2646">
      <c r="A2646" s="5">
        <f>HYPERLINK("https://finance.yahoo.com/quote/EQBK","EQBK")</f>
        <v/>
      </c>
      <c r="B2646" t="inlineStr">
        <is>
          <t>EQUITY BANCSHARES INC</t>
        </is>
      </c>
      <c r="C2646" t="inlineStr">
        <is>
          <t>NYSE</t>
        </is>
      </c>
      <c r="D2646" t="n">
        <v>1227500</v>
      </c>
      <c r="E2646" t="inlineStr">
        <is>
          <t>SEC</t>
        </is>
      </c>
    </row>
    <row r="2647">
      <c r="A2647" s="5">
        <f>HYPERLINK("https://finance.yahoo.com/quote/MLTX","MLTX")</f>
        <v/>
      </c>
      <c r="B2647" t="inlineStr">
        <is>
          <t>MoonLake Immunotherapeutics</t>
        </is>
      </c>
      <c r="C2647" t="inlineStr">
        <is>
          <t>Nasdaq</t>
        </is>
      </c>
      <c r="D2647" t="n">
        <v>1821586</v>
      </c>
      <c r="E2647" t="inlineStr">
        <is>
          <t>SEC</t>
        </is>
      </c>
    </row>
    <row r="2648">
      <c r="A2648" s="5">
        <f>HYPERLINK("https://finance.yahoo.com/quote/OCSL","OCSL")</f>
        <v/>
      </c>
      <c r="B2648" t="inlineStr">
        <is>
          <t>Oaktree Specialty Lending Corp</t>
        </is>
      </c>
      <c r="C2648" t="inlineStr">
        <is>
          <t>Nasdaq</t>
        </is>
      </c>
      <c r="D2648" t="n">
        <v>1414932</v>
      </c>
      <c r="E2648" t="inlineStr">
        <is>
          <t>SEC</t>
        </is>
      </c>
    </row>
    <row r="2649">
      <c r="A2649" s="5">
        <f>HYPERLINK("https://finance.yahoo.com/quote/LTGO","LTGO")</f>
        <v/>
      </c>
      <c r="B2649" t="inlineStr">
        <is>
          <t>Latigo Biotherapeutics, Inc.</t>
        </is>
      </c>
      <c r="C2649" t="inlineStr">
        <is>
          <t>Nasdaq</t>
        </is>
      </c>
      <c r="D2649" t="n">
        <v>2056611</v>
      </c>
      <c r="E2649" t="inlineStr">
        <is>
          <t>SEC</t>
        </is>
      </c>
    </row>
    <row r="2650">
      <c r="A2650" s="5">
        <f>HYPERLINK("https://finance.yahoo.com/quote/CSR","CSR")</f>
        <v/>
      </c>
      <c r="B2650" t="inlineStr">
        <is>
          <t>CENTERSPACE</t>
        </is>
      </c>
      <c r="C2650" t="inlineStr">
        <is>
          <t>NYSE</t>
        </is>
      </c>
      <c r="D2650" t="n">
        <v>798359</v>
      </c>
      <c r="E2650" t="inlineStr">
        <is>
          <t>SEC</t>
        </is>
      </c>
    </row>
    <row r="2651">
      <c r="A2651" s="5">
        <f>HYPERLINK("https://finance.yahoo.com/quote/FMCB","FMCB")</f>
        <v/>
      </c>
      <c r="B2651" t="inlineStr">
        <is>
          <t>FARMERS &amp; MERCHANTS BANCORP</t>
        </is>
      </c>
      <c r="C2651" t="inlineStr">
        <is>
          <t>OTC</t>
        </is>
      </c>
      <c r="D2651" t="n">
        <v>1085913</v>
      </c>
      <c r="E2651" t="inlineStr">
        <is>
          <t>SEC</t>
        </is>
      </c>
    </row>
    <row r="2652">
      <c r="A2652" s="5">
        <f>HYPERLINK("https://finance.yahoo.com/quote/ITRN","ITRN")</f>
        <v/>
      </c>
      <c r="B2652" t="inlineStr">
        <is>
          <t>Ituran Location &amp; Control Ltd.</t>
        </is>
      </c>
      <c r="C2652" t="inlineStr">
        <is>
          <t>Nasdaq</t>
        </is>
      </c>
      <c r="D2652" t="n">
        <v>1337117</v>
      </c>
      <c r="E2652" t="inlineStr">
        <is>
          <t>SEC</t>
        </is>
      </c>
    </row>
    <row r="2653">
      <c r="A2653" s="5">
        <f>HYPERLINK("https://finance.yahoo.com/quote/UTL","UTL")</f>
        <v/>
      </c>
      <c r="B2653" t="inlineStr">
        <is>
          <t>UNITIL CORP</t>
        </is>
      </c>
      <c r="C2653" t="inlineStr">
        <is>
          <t>NYSE</t>
        </is>
      </c>
      <c r="D2653" t="n">
        <v>755001</v>
      </c>
      <c r="E2653" t="inlineStr">
        <is>
          <t>SEC</t>
        </is>
      </c>
    </row>
    <row r="2654">
      <c r="A2654" s="5">
        <f>HYPERLINK("https://finance.yahoo.com/quote/WINA","WINA")</f>
        <v/>
      </c>
      <c r="B2654" t="inlineStr">
        <is>
          <t>WINMARK CORP</t>
        </is>
      </c>
      <c r="C2654" t="inlineStr">
        <is>
          <t>Nasdaq</t>
        </is>
      </c>
      <c r="D2654" t="n">
        <v>908315</v>
      </c>
      <c r="E2654" t="inlineStr">
        <is>
          <t>SEC</t>
        </is>
      </c>
    </row>
    <row r="2655">
      <c r="A2655" s="5">
        <f>HYPERLINK("https://finance.yahoo.com/quote/CD","CD")</f>
        <v/>
      </c>
      <c r="B2655" t="inlineStr">
        <is>
          <t>Chaince Digital Holdings Inc.</t>
        </is>
      </c>
      <c r="C2655" t="inlineStr">
        <is>
          <t>Nasdaq</t>
        </is>
      </c>
      <c r="D2655" t="n">
        <v>1527762</v>
      </c>
      <c r="E2655" t="inlineStr">
        <is>
          <t>SEC</t>
        </is>
      </c>
    </row>
    <row r="2656">
      <c r="A2656" s="5">
        <f>HYPERLINK("https://finance.yahoo.com/quote/FET","FET")</f>
        <v/>
      </c>
      <c r="B2656" t="inlineStr">
        <is>
          <t>FORUM ENERGY TECHNOLOGIES, INC.</t>
        </is>
      </c>
      <c r="C2656" t="inlineStr">
        <is>
          <t>NYSE</t>
        </is>
      </c>
      <c r="D2656" t="n">
        <v>1401257</v>
      </c>
      <c r="E2656" t="inlineStr">
        <is>
          <t>SEC</t>
        </is>
      </c>
    </row>
    <row r="2657">
      <c r="A2657" s="5">
        <f>HYPERLINK("https://finance.yahoo.com/quote/AMRC","AMRC")</f>
        <v/>
      </c>
      <c r="B2657" t="inlineStr">
        <is>
          <t>Ameresco, Inc.</t>
        </is>
      </c>
      <c r="C2657" t="inlineStr">
        <is>
          <t>NYSE</t>
        </is>
      </c>
      <c r="D2657" t="n">
        <v>1488139</v>
      </c>
      <c r="E2657" t="inlineStr">
        <is>
          <t>SEC</t>
        </is>
      </c>
    </row>
    <row r="2658">
      <c r="A2658" s="5">
        <f>HYPERLINK("https://finance.yahoo.com/quote/OI","OI")</f>
        <v/>
      </c>
      <c r="B2658" t="inlineStr">
        <is>
          <t>O-I Glass, Inc. /DE/</t>
        </is>
      </c>
      <c r="C2658" t="inlineStr">
        <is>
          <t>NYSE</t>
        </is>
      </c>
      <c r="D2658" t="n">
        <v>812074</v>
      </c>
      <c r="E2658" t="inlineStr">
        <is>
          <t>SEC</t>
        </is>
      </c>
    </row>
    <row r="2659">
      <c r="A2659" s="5">
        <f>HYPERLINK("https://finance.yahoo.com/quote/LGIH","LGIH")</f>
        <v/>
      </c>
      <c r="B2659" t="inlineStr">
        <is>
          <t>LGI Homes, Inc.</t>
        </is>
      </c>
      <c r="C2659" t="inlineStr">
        <is>
          <t>Nasdaq</t>
        </is>
      </c>
      <c r="D2659" t="n">
        <v>1580670</v>
      </c>
      <c r="E2659" t="inlineStr">
        <is>
          <t>SEC</t>
        </is>
      </c>
    </row>
    <row r="2660">
      <c r="A2660" s="5">
        <f>HYPERLINK("https://finance.yahoo.com/quote/CRF","CRF")</f>
        <v/>
      </c>
      <c r="B2660" t="inlineStr">
        <is>
          <t>CORNERSTONE TOTAL RETURN FUND INC</t>
        </is>
      </c>
      <c r="C2660" t="inlineStr">
        <is>
          <t>NYSE</t>
        </is>
      </c>
      <c r="D2660" t="n">
        <v>33934</v>
      </c>
      <c r="E2660" t="inlineStr">
        <is>
          <t>SEC</t>
        </is>
      </c>
    </row>
    <row r="2661">
      <c r="A2661" s="5">
        <f>HYPERLINK("https://finance.yahoo.com/quote/GPRE","GPRE")</f>
        <v/>
      </c>
      <c r="B2661" t="inlineStr">
        <is>
          <t>Green Plains Inc.</t>
        </is>
      </c>
      <c r="C2661" t="inlineStr">
        <is>
          <t>Nasdaq</t>
        </is>
      </c>
      <c r="D2661" t="n">
        <v>1309402</v>
      </c>
      <c r="E2661" t="inlineStr">
        <is>
          <t>SEC</t>
        </is>
      </c>
    </row>
    <row r="2662">
      <c r="A2662" s="5">
        <f>HYPERLINK("https://finance.yahoo.com/quote/UPBD","UPBD")</f>
        <v/>
      </c>
      <c r="B2662" t="inlineStr">
        <is>
          <t>UPBOUND GROUP, INC.</t>
        </is>
      </c>
      <c r="C2662" t="inlineStr">
        <is>
          <t>Nasdaq</t>
        </is>
      </c>
      <c r="D2662" t="n">
        <v>933036</v>
      </c>
      <c r="E2662" t="inlineStr">
        <is>
          <t>SEC</t>
        </is>
      </c>
    </row>
    <row r="2663">
      <c r="A2663" s="5">
        <f>HYPERLINK("https://finance.yahoo.com/quote/CAC","CAC")</f>
        <v/>
      </c>
      <c r="B2663" t="inlineStr">
        <is>
          <t>CAMDEN NATIONAL CORP</t>
        </is>
      </c>
      <c r="C2663" t="inlineStr">
        <is>
          <t>Nasdaq</t>
        </is>
      </c>
      <c r="D2663" t="n">
        <v>750686</v>
      </c>
      <c r="E2663" t="inlineStr">
        <is>
          <t>SEC</t>
        </is>
      </c>
    </row>
    <row r="2664">
      <c r="A2664" s="5">
        <f>HYPERLINK("https://finance.yahoo.com/quote/ORC","ORC")</f>
        <v/>
      </c>
      <c r="B2664" t="inlineStr">
        <is>
          <t>Orchid Island Capital, Inc.</t>
        </is>
      </c>
      <c r="C2664" t="inlineStr">
        <is>
          <t>NYSE</t>
        </is>
      </c>
      <c r="D2664" t="n">
        <v>1518621</v>
      </c>
      <c r="E2664" t="inlineStr">
        <is>
          <t>SEC</t>
        </is>
      </c>
    </row>
    <row r="2665">
      <c r="A2665" s="5">
        <f>HYPERLINK("https://finance.yahoo.com/quote/BTX","BTX")</f>
        <v/>
      </c>
      <c r="B2665" t="inlineStr">
        <is>
          <t>BlackRock Technology &amp; Private Equity Term Trust</t>
        </is>
      </c>
      <c r="C2665" t="inlineStr">
        <is>
          <t>NYSE</t>
        </is>
      </c>
      <c r="D2665" t="n">
        <v>1836057</v>
      </c>
      <c r="E2665" t="inlineStr">
        <is>
          <t>SEC</t>
        </is>
      </c>
    </row>
    <row r="2666">
      <c r="A2666" s="5">
        <f>HYPERLINK("https://finance.yahoo.com/quote/BV","BV")</f>
        <v/>
      </c>
      <c r="B2666" t="inlineStr">
        <is>
          <t>BrightView Holdings, Inc.</t>
        </is>
      </c>
      <c r="C2666" t="inlineStr">
        <is>
          <t>NYSE</t>
        </is>
      </c>
      <c r="D2666" t="n">
        <v>1734713</v>
      </c>
      <c r="E2666" t="inlineStr">
        <is>
          <t>SEC</t>
        </is>
      </c>
    </row>
    <row r="2667">
      <c r="A2667" s="5">
        <f>HYPERLINK("https://finance.yahoo.com/quote/JBLU","JBLU")</f>
        <v/>
      </c>
      <c r="B2667" t="inlineStr">
        <is>
          <t>JETBLUE AIRWAYS CORP</t>
        </is>
      </c>
      <c r="C2667" t="inlineStr">
        <is>
          <t>Nasdaq</t>
        </is>
      </c>
      <c r="D2667" t="n">
        <v>1158463</v>
      </c>
      <c r="E2667" t="inlineStr">
        <is>
          <t>SEC</t>
        </is>
      </c>
    </row>
    <row r="2668">
      <c r="A2668" s="5">
        <f>HYPERLINK("https://finance.yahoo.com/quote/DAKT","DAKT")</f>
        <v/>
      </c>
      <c r="B2668" t="inlineStr">
        <is>
          <t>DAKTRONICS INC /SD/</t>
        </is>
      </c>
      <c r="C2668" t="inlineStr">
        <is>
          <t>Nasdaq</t>
        </is>
      </c>
      <c r="D2668" t="n">
        <v>915779</v>
      </c>
      <c r="E2668" t="inlineStr">
        <is>
          <t>SEC</t>
        </is>
      </c>
    </row>
    <row r="2669">
      <c r="A2669" s="5">
        <f>HYPERLINK("https://finance.yahoo.com/quote/CPF","CPF")</f>
        <v/>
      </c>
      <c r="B2669" t="inlineStr">
        <is>
          <t>CENTRAL PACIFIC FINANCIAL CORP</t>
        </is>
      </c>
      <c r="C2669" t="inlineStr">
        <is>
          <t>NYSE</t>
        </is>
      </c>
      <c r="D2669" t="n">
        <v>701347</v>
      </c>
      <c r="E2669" t="inlineStr">
        <is>
          <t>SEC</t>
        </is>
      </c>
    </row>
    <row r="2670">
      <c r="A2670" s="5">
        <f>HYPERLINK("https://finance.yahoo.com/quote/BUUU","BUUU")</f>
        <v/>
      </c>
      <c r="B2670" t="inlineStr">
        <is>
          <t>BUUU Group Ltd</t>
        </is>
      </c>
      <c r="C2670" t="inlineStr">
        <is>
          <t>Nasdaq</t>
        </is>
      </c>
      <c r="D2670" t="n">
        <v>2047273</v>
      </c>
      <c r="E2670" t="inlineStr">
        <is>
          <t>SEC</t>
        </is>
      </c>
    </row>
    <row r="2671">
      <c r="A2671" s="5">
        <f>HYPERLINK("https://finance.yahoo.com/quote/CNL","CNL")</f>
        <v/>
      </c>
      <c r="B2671" t="inlineStr">
        <is>
          <t>Collective Mining Ltd.</t>
        </is>
      </c>
      <c r="C2671" t="inlineStr">
        <is>
          <t>Nasdaq</t>
        </is>
      </c>
      <c r="D2671" t="n">
        <v>1953575</v>
      </c>
      <c r="E2671" t="inlineStr">
        <is>
          <t>SEC</t>
        </is>
      </c>
    </row>
    <row r="2672">
      <c r="A2672" s="5">
        <f>HYPERLINK("https://finance.yahoo.com/quote/UVV","UVV")</f>
        <v/>
      </c>
      <c r="B2672" t="inlineStr">
        <is>
          <t>UNIVERSAL CORP /VA/</t>
        </is>
      </c>
      <c r="C2672" t="inlineStr">
        <is>
          <t>NYSE</t>
        </is>
      </c>
      <c r="D2672" t="n">
        <v>102037</v>
      </c>
      <c r="E2672" t="inlineStr">
        <is>
          <t>SEC</t>
        </is>
      </c>
    </row>
    <row r="2673">
      <c r="A2673" s="5">
        <f>HYPERLINK("https://finance.yahoo.com/quote/SYNSY","SYNSY")</f>
        <v/>
      </c>
      <c r="B2673" t="inlineStr">
        <is>
          <t>Syensqo SA/ADR</t>
        </is>
      </c>
      <c r="C2673" t="inlineStr">
        <is>
          <t>OTC</t>
        </is>
      </c>
      <c r="D2673" t="n">
        <v>2004340</v>
      </c>
      <c r="E2673" t="inlineStr">
        <is>
          <t>SEC</t>
        </is>
      </c>
    </row>
    <row r="2674">
      <c r="A2674" s="5">
        <f>HYPERLINK("https://finance.yahoo.com/quote/MRTN","MRTN")</f>
        <v/>
      </c>
      <c r="B2674" t="inlineStr">
        <is>
          <t>MARTEN TRANSPORT LTD</t>
        </is>
      </c>
      <c r="C2674" t="inlineStr">
        <is>
          <t>Nasdaq</t>
        </is>
      </c>
      <c r="D2674" t="n">
        <v>799167</v>
      </c>
      <c r="E2674" t="inlineStr">
        <is>
          <t>SEC</t>
        </is>
      </c>
    </row>
    <row r="2675">
      <c r="A2675" s="5">
        <f>HYPERLINK("https://finance.yahoo.com/quote/NXRT","NXRT")</f>
        <v/>
      </c>
      <c r="B2675" t="inlineStr">
        <is>
          <t>NexPoint Residential Trust, Inc.</t>
        </is>
      </c>
      <c r="C2675" t="inlineStr">
        <is>
          <t>NYSE</t>
        </is>
      </c>
      <c r="D2675" t="n">
        <v>1620393</v>
      </c>
      <c r="E2675" t="inlineStr">
        <is>
          <t>SEC</t>
        </is>
      </c>
    </row>
    <row r="2676">
      <c r="A2676" s="5">
        <f>HYPERLINK("https://finance.yahoo.com/quote/GSBD","GSBD")</f>
        <v/>
      </c>
      <c r="B2676" t="inlineStr">
        <is>
          <t>Goldman Sachs BDC, Inc.</t>
        </is>
      </c>
      <c r="C2676" t="inlineStr">
        <is>
          <t>NYSE</t>
        </is>
      </c>
      <c r="D2676" t="n">
        <v>1572694</v>
      </c>
      <c r="E2676" t="inlineStr">
        <is>
          <t>SEC</t>
        </is>
      </c>
    </row>
    <row r="2677">
      <c r="A2677" s="5">
        <f>HYPERLINK("https://finance.yahoo.com/quote/NABL","NABL")</f>
        <v/>
      </c>
      <c r="B2677" t="inlineStr">
        <is>
          <t>N-able, Inc.</t>
        </is>
      </c>
      <c r="C2677" t="inlineStr">
        <is>
          <t>NYSE</t>
        </is>
      </c>
      <c r="D2677" t="n">
        <v>1834488</v>
      </c>
      <c r="E2677" t="inlineStr">
        <is>
          <t>SEC</t>
        </is>
      </c>
    </row>
    <row r="2678">
      <c r="A2678" s="5">
        <f>HYPERLINK("https://finance.yahoo.com/quote/SIBN","SIBN")</f>
        <v/>
      </c>
      <c r="B2678" t="inlineStr">
        <is>
          <t>SI-BONE, Inc.</t>
        </is>
      </c>
      <c r="C2678" t="inlineStr">
        <is>
          <t>Nasdaq</t>
        </is>
      </c>
      <c r="D2678" t="n">
        <v>1459839</v>
      </c>
      <c r="E2678" t="inlineStr">
        <is>
          <t>SEC</t>
        </is>
      </c>
    </row>
    <row r="2679">
      <c r="A2679" s="5">
        <f>HYPERLINK("https://finance.yahoo.com/quote/TYG","TYG")</f>
        <v/>
      </c>
      <c r="B2679" t="inlineStr">
        <is>
          <t>TORTOISE ENERGY INFRASTRUCTURE CORP</t>
        </is>
      </c>
      <c r="C2679" t="inlineStr">
        <is>
          <t>NYSE</t>
        </is>
      </c>
      <c r="D2679" t="n">
        <v>1268533</v>
      </c>
      <c r="E2679" t="inlineStr">
        <is>
          <t>SEC</t>
        </is>
      </c>
    </row>
    <row r="2680">
      <c r="A2680" s="5">
        <f>HYPERLINK("https://finance.yahoo.com/quote/WEST","WEST")</f>
        <v/>
      </c>
      <c r="B2680" t="inlineStr">
        <is>
          <t>Westrock Coffee Co</t>
        </is>
      </c>
      <c r="C2680" t="inlineStr">
        <is>
          <t>Nasdaq</t>
        </is>
      </c>
      <c r="D2680" t="n">
        <v>1806347</v>
      </c>
      <c r="E2680" t="inlineStr">
        <is>
          <t>SEC</t>
        </is>
      </c>
    </row>
    <row r="2681">
      <c r="A2681" s="5">
        <f>HYPERLINK("https://finance.yahoo.com/quote/POET","POET")</f>
        <v/>
      </c>
      <c r="B2681" t="inlineStr">
        <is>
          <t>POET TECHNOLOGIES INC.</t>
        </is>
      </c>
      <c r="C2681" t="inlineStr">
        <is>
          <t>Nasdaq</t>
        </is>
      </c>
      <c r="D2681" t="n">
        <v>1437424</v>
      </c>
      <c r="E2681" t="inlineStr">
        <is>
          <t>SEC</t>
        </is>
      </c>
    </row>
    <row r="2682">
      <c r="A2682" s="5">
        <f>HYPERLINK("https://finance.yahoo.com/quote/NXDR","NXDR")</f>
        <v/>
      </c>
      <c r="B2682" t="inlineStr">
        <is>
          <t>Nextdoor Holdings, Inc.</t>
        </is>
      </c>
      <c r="C2682" t="inlineStr">
        <is>
          <t>Nasdaq</t>
        </is>
      </c>
      <c r="D2682" t="n">
        <v>1846069</v>
      </c>
      <c r="E2682" t="inlineStr">
        <is>
          <t>SEC</t>
        </is>
      </c>
    </row>
    <row r="2683">
      <c r="A2683" s="5">
        <f>HYPERLINK("https://finance.yahoo.com/quote/RPC","RPC")</f>
        <v/>
      </c>
      <c r="B2683" t="inlineStr">
        <is>
          <t>Ridgepost Capital, Inc.</t>
        </is>
      </c>
      <c r="C2683" t="inlineStr">
        <is>
          <t>NYSE</t>
        </is>
      </c>
      <c r="D2683" t="n">
        <v>1841968</v>
      </c>
      <c r="E2683" t="inlineStr">
        <is>
          <t>SEC</t>
        </is>
      </c>
    </row>
    <row r="2684">
      <c r="A2684" s="5">
        <f>HYPERLINK("https://finance.yahoo.com/quote/HAFC","HAFC")</f>
        <v/>
      </c>
      <c r="B2684" t="inlineStr">
        <is>
          <t>HANMI FINANCIAL CORP</t>
        </is>
      </c>
      <c r="C2684" t="inlineStr">
        <is>
          <t>Nasdaq</t>
        </is>
      </c>
      <c r="D2684" t="n">
        <v>1109242</v>
      </c>
      <c r="E2684" t="inlineStr">
        <is>
          <t>SEC</t>
        </is>
      </c>
    </row>
    <row r="2685">
      <c r="A2685" s="5">
        <f>HYPERLINK("https://finance.yahoo.com/quote/AVBP","AVBP")</f>
        <v/>
      </c>
      <c r="B2685" t="inlineStr">
        <is>
          <t>ArriVent BioPharma, Inc.</t>
        </is>
      </c>
      <c r="C2685" t="inlineStr">
        <is>
          <t>Nasdaq</t>
        </is>
      </c>
      <c r="D2685" t="n">
        <v>1868279</v>
      </c>
      <c r="E2685" t="inlineStr">
        <is>
          <t>SEC</t>
        </is>
      </c>
    </row>
    <row r="2686">
      <c r="A2686" s="5">
        <f>HYPERLINK("https://finance.yahoo.com/quote/CRML","CRML")</f>
        <v/>
      </c>
      <c r="B2686" t="inlineStr">
        <is>
          <t>Critical Metals Corp.</t>
        </is>
      </c>
      <c r="C2686" t="inlineStr">
        <is>
          <t>Nasdaq</t>
        </is>
      </c>
      <c r="D2686" t="n">
        <v>1951089</v>
      </c>
      <c r="E2686" t="inlineStr">
        <is>
          <t>SEC</t>
        </is>
      </c>
    </row>
    <row r="2687">
      <c r="A2687" s="5">
        <f>HYPERLINK("https://finance.yahoo.com/quote/FPF","FPF")</f>
        <v/>
      </c>
      <c r="B2687" t="inlineStr">
        <is>
          <t>First Trust Intermediate Duration Preferred &amp; Income Fund</t>
        </is>
      </c>
      <c r="C2687" t="inlineStr">
        <is>
          <t>NYSE</t>
        </is>
      </c>
      <c r="D2687" t="n">
        <v>1567569</v>
      </c>
      <c r="E2687" t="inlineStr">
        <is>
          <t>SEC</t>
        </is>
      </c>
    </row>
    <row r="2688">
      <c r="A2688" s="5">
        <f>HYPERLINK("https://finance.yahoo.com/quote/SGP","SGP")</f>
        <v/>
      </c>
      <c r="B2688" t="inlineStr">
        <is>
          <t>SpyGlass Pharma, Inc.</t>
        </is>
      </c>
      <c r="C2688" t="inlineStr">
        <is>
          <t>Nasdaq</t>
        </is>
      </c>
      <c r="D2688" t="n">
        <v>1778922</v>
      </c>
      <c r="E2688" t="inlineStr">
        <is>
          <t>SEC</t>
        </is>
      </c>
    </row>
    <row r="2689">
      <c r="A2689" s="5">
        <f>HYPERLINK("https://finance.yahoo.com/quote/QNST","QNST")</f>
        <v/>
      </c>
      <c r="B2689" t="inlineStr">
        <is>
          <t>QUINSTREET, INC</t>
        </is>
      </c>
      <c r="C2689" t="inlineStr">
        <is>
          <t>Nasdaq</t>
        </is>
      </c>
      <c r="D2689" t="n">
        <v>1117297</v>
      </c>
      <c r="E2689" t="inlineStr">
        <is>
          <t>SEC</t>
        </is>
      </c>
    </row>
    <row r="2690">
      <c r="A2690" s="5">
        <f>HYPERLINK("https://finance.yahoo.com/quote/AIP","AIP")</f>
        <v/>
      </c>
      <c r="B2690" t="inlineStr">
        <is>
          <t>Arteris, Inc.</t>
        </is>
      </c>
      <c r="C2690" t="inlineStr">
        <is>
          <t>Nasdaq</t>
        </is>
      </c>
      <c r="D2690" t="n">
        <v>1667011</v>
      </c>
      <c r="E2690" t="inlineStr">
        <is>
          <t>SEC</t>
        </is>
      </c>
    </row>
    <row r="2691">
      <c r="A2691" s="5">
        <f>HYPERLINK("https://finance.yahoo.com/quote/SBSI","SBSI")</f>
        <v/>
      </c>
      <c r="B2691" t="inlineStr">
        <is>
          <t>SOUTHSIDE BANCSHARES INC</t>
        </is>
      </c>
      <c r="C2691" t="inlineStr">
        <is>
          <t>NYSE</t>
        </is>
      </c>
      <c r="D2691" t="n">
        <v>705432</v>
      </c>
      <c r="E2691" t="inlineStr">
        <is>
          <t>SEC</t>
        </is>
      </c>
    </row>
    <row r="2692">
      <c r="A2692" s="5">
        <f>HYPERLINK("https://finance.yahoo.com/quote/TRST","TRST")</f>
        <v/>
      </c>
      <c r="B2692" t="inlineStr">
        <is>
          <t>TRUSTCO BANK CORP N Y</t>
        </is>
      </c>
      <c r="C2692" t="inlineStr">
        <is>
          <t>Nasdaq</t>
        </is>
      </c>
      <c r="D2692" t="n">
        <v>357301</v>
      </c>
      <c r="E2692" t="inlineStr">
        <is>
          <t>SEC</t>
        </is>
      </c>
    </row>
    <row r="2693">
      <c r="A2693" s="5">
        <f>HYPERLINK("https://finance.yahoo.com/quote/ODTX","ODTX")</f>
        <v/>
      </c>
      <c r="B2693" t="inlineStr">
        <is>
          <t>Odyssey Therapeutics, Inc.</t>
        </is>
      </c>
      <c r="C2693" t="inlineStr">
        <is>
          <t>Nasdaq</t>
        </is>
      </c>
      <c r="D2693" t="n">
        <v>1882782</v>
      </c>
      <c r="E2693" t="inlineStr">
        <is>
          <t>SEC</t>
        </is>
      </c>
    </row>
    <row r="2694">
      <c r="A2694" s="5">
        <f>HYPERLINK("https://finance.yahoo.com/quote/REF","REF")</f>
        <v/>
      </c>
      <c r="B2694" t="inlineStr">
        <is>
          <t>Reformation Inc.</t>
        </is>
      </c>
      <c r="C2694" t="inlineStr">
        <is>
          <t>NYSE</t>
        </is>
      </c>
      <c r="D2694" t="n">
        <v>1787117</v>
      </c>
      <c r="E2694" t="inlineStr">
        <is>
          <t>SEC</t>
        </is>
      </c>
    </row>
    <row r="2695">
      <c r="A2695" s="5">
        <f>HYPERLINK("https://finance.yahoo.com/quote/NWPX","NWPX")</f>
        <v/>
      </c>
      <c r="B2695" t="inlineStr">
        <is>
          <t>NWPX Infrastructure, Inc.</t>
        </is>
      </c>
      <c r="C2695" t="inlineStr">
        <is>
          <t>Nasdaq</t>
        </is>
      </c>
      <c r="D2695" t="n">
        <v>1001385</v>
      </c>
      <c r="E2695" t="inlineStr">
        <is>
          <t>SEC</t>
        </is>
      </c>
    </row>
    <row r="2696">
      <c r="A2696" s="5">
        <f>HYPERLINK("https://finance.yahoo.com/quote/EIG","EIG")</f>
        <v/>
      </c>
      <c r="B2696" t="inlineStr">
        <is>
          <t>Employers Holdings, Inc.</t>
        </is>
      </c>
      <c r="C2696" t="inlineStr">
        <is>
          <t>NYSE</t>
        </is>
      </c>
      <c r="D2696" t="n">
        <v>1379041</v>
      </c>
      <c r="E2696" t="inlineStr">
        <is>
          <t>SEC</t>
        </is>
      </c>
    </row>
    <row r="2697">
      <c r="A2697" s="5">
        <f>HYPERLINK("https://finance.yahoo.com/quote/IART","IART")</f>
        <v/>
      </c>
      <c r="B2697" t="inlineStr">
        <is>
          <t>INTEGRA LIFESCIENCES HOLDINGS CORP</t>
        </is>
      </c>
      <c r="C2697" t="inlineStr">
        <is>
          <t>Nasdaq</t>
        </is>
      </c>
      <c r="D2697" t="n">
        <v>917520</v>
      </c>
      <c r="E2697" t="inlineStr">
        <is>
          <t>SEC</t>
        </is>
      </c>
    </row>
    <row r="2698">
      <c r="A2698" s="5">
        <f>HYPERLINK("https://finance.yahoo.com/quote/RHLD","RHLD")</f>
        <v/>
      </c>
      <c r="B2698" t="inlineStr">
        <is>
          <t>Resolute Holdings Management, Inc.</t>
        </is>
      </c>
      <c r="C2698" t="inlineStr">
        <is>
          <t>NYSE</t>
        </is>
      </c>
      <c r="D2698" t="n">
        <v>2039497</v>
      </c>
      <c r="E2698" t="inlineStr">
        <is>
          <t>SEC</t>
        </is>
      </c>
    </row>
    <row r="2699">
      <c r="A2699" s="5">
        <f>HYPERLINK("https://finance.yahoo.com/quote/PTA","PTA")</f>
        <v/>
      </c>
      <c r="B2699" t="inlineStr">
        <is>
          <t>Cohen &amp; Steers Tax-Advantaged Preferred Securities &amp; Income Fund</t>
        </is>
      </c>
      <c r="C2699" t="inlineStr">
        <is>
          <t>NYSE</t>
        </is>
      </c>
      <c r="D2699" t="n">
        <v>1793882</v>
      </c>
      <c r="E2699" t="inlineStr">
        <is>
          <t>SEC</t>
        </is>
      </c>
    </row>
    <row r="2700">
      <c r="A2700" s="5">
        <f>HYPERLINK("https://finance.yahoo.com/quote/JBIO","JBIO")</f>
        <v/>
      </c>
      <c r="B2700" t="inlineStr">
        <is>
          <t>Jade Biosciences, Inc.</t>
        </is>
      </c>
      <c r="C2700" t="inlineStr">
        <is>
          <t>Nasdaq</t>
        </is>
      </c>
      <c r="D2700" t="n">
        <v>1798749</v>
      </c>
      <c r="E2700" t="inlineStr">
        <is>
          <t>SEC</t>
        </is>
      </c>
    </row>
    <row r="2701">
      <c r="A2701" s="5">
        <f>HYPERLINK("https://finance.yahoo.com/quote/QDEL","QDEL")</f>
        <v/>
      </c>
      <c r="B2701" t="inlineStr">
        <is>
          <t>QuidelOrtho Corp</t>
        </is>
      </c>
      <c r="C2701" t="inlineStr">
        <is>
          <t>Nasdaq</t>
        </is>
      </c>
      <c r="D2701" t="n">
        <v>1906324</v>
      </c>
      <c r="E2701" t="inlineStr">
        <is>
          <t>SEC</t>
        </is>
      </c>
    </row>
    <row r="2702">
      <c r="A2702" s="5">
        <f>HYPERLINK("https://finance.yahoo.com/quote/FMNB","FMNB")</f>
        <v/>
      </c>
      <c r="B2702" t="inlineStr">
        <is>
          <t>FARMERS NATIONAL BANC CORP /OH/</t>
        </is>
      </c>
      <c r="C2702" t="inlineStr">
        <is>
          <t>Nasdaq</t>
        </is>
      </c>
      <c r="D2702" t="n">
        <v>709337</v>
      </c>
      <c r="E2702" t="inlineStr">
        <is>
          <t>SEC</t>
        </is>
      </c>
    </row>
    <row r="2703">
      <c r="A2703" s="5">
        <f>HYPERLINK("https://finance.yahoo.com/quote/NPKI","NPKI")</f>
        <v/>
      </c>
      <c r="B2703" t="inlineStr">
        <is>
          <t>NPK International Inc.</t>
        </is>
      </c>
      <c r="C2703" t="inlineStr">
        <is>
          <t>NYSE</t>
        </is>
      </c>
      <c r="D2703" t="n">
        <v>71829</v>
      </c>
      <c r="E2703" t="inlineStr">
        <is>
          <t>SEC</t>
        </is>
      </c>
    </row>
    <row r="2704">
      <c r="A2704" s="5">
        <f>HYPERLINK("https://finance.yahoo.com/quote/TBLA","TBLA")</f>
        <v/>
      </c>
      <c r="B2704" t="inlineStr">
        <is>
          <t>Taboola.com Ltd.</t>
        </is>
      </c>
      <c r="C2704" t="inlineStr">
        <is>
          <t>Nasdaq</t>
        </is>
      </c>
      <c r="D2704" t="n">
        <v>1840502</v>
      </c>
      <c r="E2704" t="inlineStr">
        <is>
          <t>SEC</t>
        </is>
      </c>
    </row>
    <row r="2705">
      <c r="A2705" s="5">
        <f>HYPERLINK("https://finance.yahoo.com/quote/DFH","DFH")</f>
        <v/>
      </c>
      <c r="B2705" t="inlineStr">
        <is>
          <t>Dream Finders Homes, Inc.</t>
        </is>
      </c>
      <c r="C2705" t="inlineStr">
        <is>
          <t>NYSE</t>
        </is>
      </c>
      <c r="D2705" t="n">
        <v>1825088</v>
      </c>
      <c r="E2705" t="inlineStr">
        <is>
          <t>SEC</t>
        </is>
      </c>
    </row>
    <row r="2706">
      <c r="A2706" s="5">
        <f>HYPERLINK("https://finance.yahoo.com/quote/SMPL","SMPL")</f>
        <v/>
      </c>
      <c r="B2706" t="inlineStr">
        <is>
          <t>Simply Good Foods Co</t>
        </is>
      </c>
      <c r="C2706" t="inlineStr">
        <is>
          <t>Nasdaq</t>
        </is>
      </c>
      <c r="D2706" t="n">
        <v>1702744</v>
      </c>
      <c r="E2706" t="inlineStr">
        <is>
          <t>SEC</t>
        </is>
      </c>
    </row>
    <row r="2707">
      <c r="A2707" s="5">
        <f>HYPERLINK("https://finance.yahoo.com/quote/FCBC","FCBC")</f>
        <v/>
      </c>
      <c r="B2707" t="inlineStr">
        <is>
          <t>FIRST COMMUNITY BANKSHARES INC /VA/</t>
        </is>
      </c>
      <c r="C2707" t="inlineStr">
        <is>
          <t>Nasdaq</t>
        </is>
      </c>
      <c r="D2707" t="n">
        <v>859070</v>
      </c>
      <c r="E2707" t="inlineStr">
        <is>
          <t>SEC</t>
        </is>
      </c>
    </row>
    <row r="2708">
      <c r="A2708" s="5">
        <f>HYPERLINK("https://finance.yahoo.com/quote/DSP","DSP")</f>
        <v/>
      </c>
      <c r="B2708" t="inlineStr">
        <is>
          <t>Viant Technology Inc.</t>
        </is>
      </c>
      <c r="C2708" t="inlineStr">
        <is>
          <t>Nasdaq</t>
        </is>
      </c>
      <c r="D2708" t="n">
        <v>1828791</v>
      </c>
      <c r="E2708" t="inlineStr">
        <is>
          <t>SEC</t>
        </is>
      </c>
    </row>
    <row r="2709">
      <c r="A2709" s="5">
        <f>HYPERLINK("https://finance.yahoo.com/quote/PLOW","PLOW")</f>
        <v/>
      </c>
      <c r="B2709" t="inlineStr">
        <is>
          <t>DOUGLAS DYNAMICS, INC</t>
        </is>
      </c>
      <c r="C2709" t="inlineStr">
        <is>
          <t>NYSE</t>
        </is>
      </c>
      <c r="D2709" t="n">
        <v>1287213</v>
      </c>
      <c r="E2709" t="inlineStr">
        <is>
          <t>SEC</t>
        </is>
      </c>
    </row>
    <row r="2710">
      <c r="A2710" s="5">
        <f>HYPERLINK("https://finance.yahoo.com/quote/SB","SB")</f>
        <v/>
      </c>
      <c r="B2710" t="inlineStr">
        <is>
          <t>SAFE BULKERS, INC.</t>
        </is>
      </c>
      <c r="C2710" t="inlineStr">
        <is>
          <t>NYSE</t>
        </is>
      </c>
      <c r="D2710" t="n">
        <v>1434754</v>
      </c>
      <c r="E2710" t="inlineStr">
        <is>
          <t>SEC</t>
        </is>
      </c>
    </row>
    <row r="2711">
      <c r="A2711" s="5">
        <f>HYPERLINK("https://finance.yahoo.com/quote/STK","STK")</f>
        <v/>
      </c>
      <c r="B2711" t="inlineStr">
        <is>
          <t>Columbia Seligman Premium Technology Growth Fund, Inc.</t>
        </is>
      </c>
      <c r="C2711" t="inlineStr">
        <is>
          <t>NYSE</t>
        </is>
      </c>
      <c r="D2711" t="n">
        <v>1471420</v>
      </c>
      <c r="E2711" t="inlineStr">
        <is>
          <t>SEC</t>
        </is>
      </c>
    </row>
    <row r="2712">
      <c r="A2712" s="5">
        <f>HYPERLINK("https://finance.yahoo.com/quote/APOG","APOG")</f>
        <v/>
      </c>
      <c r="B2712" t="inlineStr">
        <is>
          <t>APOGEE ENTERPRISES, INC.</t>
        </is>
      </c>
      <c r="C2712" t="inlineStr">
        <is>
          <t>Nasdaq</t>
        </is>
      </c>
      <c r="D2712" t="n">
        <v>6845</v>
      </c>
      <c r="E2712" t="inlineStr">
        <is>
          <t>SEC</t>
        </is>
      </c>
    </row>
    <row r="2713">
      <c r="A2713" s="5">
        <f>HYPERLINK("https://finance.yahoo.com/quote/GLUE","GLUE")</f>
        <v/>
      </c>
      <c r="B2713" t="inlineStr">
        <is>
          <t>Monte Rosa Therapeutics, Inc.</t>
        </is>
      </c>
      <c r="C2713" t="inlineStr">
        <is>
          <t>Nasdaq</t>
        </is>
      </c>
      <c r="D2713" t="n">
        <v>1826457</v>
      </c>
      <c r="E2713" t="inlineStr">
        <is>
          <t>SEC</t>
        </is>
      </c>
    </row>
    <row r="2714">
      <c r="A2714" s="5">
        <f>HYPERLINK("https://finance.yahoo.com/quote/BMBL","BMBL")</f>
        <v/>
      </c>
      <c r="B2714" t="inlineStr">
        <is>
          <t>Bumble Inc.</t>
        </is>
      </c>
      <c r="C2714" t="inlineStr">
        <is>
          <t>Nasdaq</t>
        </is>
      </c>
      <c r="D2714" t="n">
        <v>1830043</v>
      </c>
      <c r="E2714" t="inlineStr">
        <is>
          <t>SEC</t>
        </is>
      </c>
    </row>
    <row r="2715">
      <c r="A2715" s="5">
        <f>HYPERLINK("https://finance.yahoo.com/quote/PDX","PDX")</f>
        <v/>
      </c>
      <c r="B2715" t="inlineStr">
        <is>
          <t>PIMCO Dynamic Income Strategy Fund</t>
        </is>
      </c>
      <c r="C2715" t="inlineStr">
        <is>
          <t>NYSE</t>
        </is>
      </c>
      <c r="D2715" t="n">
        <v>1756908</v>
      </c>
      <c r="E2715" t="inlineStr">
        <is>
          <t>SEC</t>
        </is>
      </c>
    </row>
    <row r="2716">
      <c r="A2716" s="5">
        <f>HYPERLINK("https://finance.yahoo.com/quote/NX","NX")</f>
        <v/>
      </c>
      <c r="B2716" t="inlineStr">
        <is>
          <t>Quanex Building Products CORP</t>
        </is>
      </c>
      <c r="C2716" t="inlineStr">
        <is>
          <t>NYSE</t>
        </is>
      </c>
      <c r="D2716" t="n">
        <v>1423221</v>
      </c>
      <c r="E2716" t="inlineStr">
        <is>
          <t>SEC</t>
        </is>
      </c>
    </row>
    <row r="2717">
      <c r="A2717" s="5">
        <f>HYPERLINK("https://finance.yahoo.com/quote/KODK","KODK")</f>
        <v/>
      </c>
      <c r="B2717" t="inlineStr">
        <is>
          <t>EASTMAN KODAK CO</t>
        </is>
      </c>
      <c r="C2717" t="inlineStr">
        <is>
          <t>NYSE</t>
        </is>
      </c>
      <c r="D2717" t="n">
        <v>31235</v>
      </c>
      <c r="E2717" t="inlineStr">
        <is>
          <t>SEC</t>
        </is>
      </c>
    </row>
    <row r="2718">
      <c r="A2718" s="5">
        <f>HYPERLINK("https://finance.yahoo.com/quote/BBN","BBN")</f>
        <v/>
      </c>
      <c r="B2718" t="inlineStr">
        <is>
          <t>BlackRock Taxable Municipal Bond Trust</t>
        </is>
      </c>
      <c r="C2718" t="inlineStr">
        <is>
          <t>NYSE</t>
        </is>
      </c>
      <c r="D2718" t="n">
        <v>1493683</v>
      </c>
      <c r="E2718" t="inlineStr">
        <is>
          <t>SEC</t>
        </is>
      </c>
    </row>
    <row r="2719">
      <c r="A2719" s="5">
        <f>HYPERLINK("https://finance.yahoo.com/quote/CYRX","CYRX")</f>
        <v/>
      </c>
      <c r="B2719" t="inlineStr">
        <is>
          <t>Cryoport, Inc.</t>
        </is>
      </c>
      <c r="C2719" t="inlineStr">
        <is>
          <t>Nasdaq</t>
        </is>
      </c>
      <c r="D2719" t="n">
        <v>1124524</v>
      </c>
      <c r="E2719" t="inlineStr">
        <is>
          <t>SEC</t>
        </is>
      </c>
    </row>
    <row r="2720">
      <c r="A2720" s="5">
        <f>HYPERLINK("https://finance.yahoo.com/quote/FCEL","FCEL")</f>
        <v/>
      </c>
      <c r="B2720" t="inlineStr">
        <is>
          <t>FUELCELL ENERGY INC</t>
        </is>
      </c>
      <c r="C2720" t="inlineStr">
        <is>
          <t>Nasdaq</t>
        </is>
      </c>
      <c r="D2720" t="n">
        <v>886128</v>
      </c>
      <c r="E2720" t="inlineStr">
        <is>
          <t>SEC</t>
        </is>
      </c>
    </row>
    <row r="2721">
      <c r="A2721" s="5">
        <f>HYPERLINK("https://finance.yahoo.com/quote/THFF","THFF")</f>
        <v/>
      </c>
      <c r="B2721" t="inlineStr">
        <is>
          <t>FIRST FINANCIAL CORP /IN/</t>
        </is>
      </c>
      <c r="C2721" t="inlineStr">
        <is>
          <t>Nasdaq</t>
        </is>
      </c>
      <c r="D2721" t="n">
        <v>714562</v>
      </c>
      <c r="E2721" t="inlineStr">
        <is>
          <t>SEC</t>
        </is>
      </c>
    </row>
    <row r="2722">
      <c r="A2722" s="5">
        <f>HYPERLINK("https://finance.yahoo.com/quote/BCX","BCX")</f>
        <v/>
      </c>
      <c r="B2722" t="inlineStr">
        <is>
          <t>BlackRock Resources &amp; Commodities Strategy Trust</t>
        </is>
      </c>
      <c r="C2722" t="inlineStr">
        <is>
          <t>NYSE</t>
        </is>
      </c>
      <c r="D2722" t="n">
        <v>1506289</v>
      </c>
      <c r="E2722" t="inlineStr">
        <is>
          <t>SEC</t>
        </is>
      </c>
    </row>
    <row r="2723">
      <c r="A2723" s="5">
        <f>HYPERLINK("https://finance.yahoo.com/quote/VMET","VMET")</f>
        <v/>
      </c>
      <c r="B2723" t="inlineStr">
        <is>
          <t>Versamet Royalties Corp</t>
        </is>
      </c>
      <c r="C2723" t="inlineStr">
        <is>
          <t>Nasdaq</t>
        </is>
      </c>
      <c r="D2723" t="n">
        <v>2080073</v>
      </c>
      <c r="E2723" t="inlineStr">
        <is>
          <t>SEC</t>
        </is>
      </c>
    </row>
    <row r="2724">
      <c r="A2724" s="5">
        <f>HYPERLINK("https://finance.yahoo.com/quote/CPPKF","CPPKF")</f>
        <v/>
      </c>
      <c r="B2724" t="inlineStr">
        <is>
          <t>Faraday Copper Corp.</t>
        </is>
      </c>
      <c r="C2724" t="inlineStr">
        <is>
          <t>OTC</t>
        </is>
      </c>
      <c r="D2724" t="n">
        <v>1691710</v>
      </c>
      <c r="E2724" t="inlineStr">
        <is>
          <t>SEC</t>
        </is>
      </c>
    </row>
    <row r="2725">
      <c r="A2725" s="5">
        <f>HYPERLINK("https://finance.yahoo.com/quote/VSTM","VSTM")</f>
        <v/>
      </c>
      <c r="B2725" t="inlineStr">
        <is>
          <t>Verastem, Inc.</t>
        </is>
      </c>
      <c r="C2725" t="inlineStr">
        <is>
          <t>Nasdaq</t>
        </is>
      </c>
      <c r="D2725" t="n">
        <v>1526119</v>
      </c>
      <c r="E2725" t="inlineStr">
        <is>
          <t>SEC</t>
        </is>
      </c>
    </row>
    <row r="2726">
      <c r="A2726" s="5">
        <f>HYPERLINK("https://finance.yahoo.com/quote/ASA","ASA")</f>
        <v/>
      </c>
      <c r="B2726" t="inlineStr">
        <is>
          <t>ASA Gold &amp; Precious Metals Ltd</t>
        </is>
      </c>
      <c r="C2726" t="inlineStr">
        <is>
          <t>NYSE</t>
        </is>
      </c>
      <c r="D2726" t="n">
        <v>1230869</v>
      </c>
      <c r="E2726" t="inlineStr">
        <is>
          <t>SEC</t>
        </is>
      </c>
    </row>
    <row r="2727">
      <c r="A2727" s="5">
        <f>HYPERLINK("https://finance.yahoo.com/quote/SBGI","SBGI")</f>
        <v/>
      </c>
      <c r="B2727" t="inlineStr">
        <is>
          <t>Sinclair, Inc.</t>
        </is>
      </c>
      <c r="C2727" t="inlineStr">
        <is>
          <t>Nasdaq</t>
        </is>
      </c>
      <c r="D2727" t="n">
        <v>1971213</v>
      </c>
      <c r="E2727" t="inlineStr">
        <is>
          <t>SEC</t>
        </is>
      </c>
    </row>
    <row r="2728">
      <c r="A2728" s="5">
        <f>HYPERLINK("https://finance.yahoo.com/quote/CHI","CHI")</f>
        <v/>
      </c>
      <c r="B2728" t="inlineStr">
        <is>
          <t>CALAMOS CONVERTIBLE OPPORTUNITIES &amp; INCOME FUND</t>
        </is>
      </c>
      <c r="C2728" t="inlineStr">
        <is>
          <t>Nasdaq</t>
        </is>
      </c>
      <c r="D2728" t="n">
        <v>1171471</v>
      </c>
      <c r="E2728" t="inlineStr">
        <is>
          <t>SEC</t>
        </is>
      </c>
    </row>
    <row r="2729">
      <c r="A2729" s="5">
        <f>HYPERLINK("https://finance.yahoo.com/quote/PUMP","PUMP")</f>
        <v/>
      </c>
      <c r="B2729" t="inlineStr">
        <is>
          <t>ProPetro Holding Corp.</t>
        </is>
      </c>
      <c r="C2729" t="inlineStr">
        <is>
          <t>NYSE</t>
        </is>
      </c>
      <c r="D2729" t="n">
        <v>1680247</v>
      </c>
      <c r="E2729" t="inlineStr">
        <is>
          <t>SEC</t>
        </is>
      </c>
    </row>
    <row r="2730">
      <c r="A2730" s="5">
        <f>HYPERLINK("https://finance.yahoo.com/quote/CHY","CHY")</f>
        <v/>
      </c>
      <c r="B2730" t="inlineStr">
        <is>
          <t>CALAMOS CONVERTIBLE &amp; HIGH INCOME FUND</t>
        </is>
      </c>
      <c r="C2730" t="inlineStr">
        <is>
          <t>Nasdaq</t>
        </is>
      </c>
      <c r="D2730" t="n">
        <v>1222719</v>
      </c>
      <c r="E2730" t="inlineStr">
        <is>
          <t>SEC</t>
        </is>
      </c>
    </row>
    <row r="2731">
      <c r="A2731" s="5">
        <f>HYPERLINK("https://finance.yahoo.com/quote/KRO","KRO")</f>
        <v/>
      </c>
      <c r="B2731" t="inlineStr">
        <is>
          <t>KRONOS WORLDWIDE INC</t>
        </is>
      </c>
      <c r="C2731" t="inlineStr">
        <is>
          <t>NYSE</t>
        </is>
      </c>
      <c r="D2731" t="n">
        <v>1257640</v>
      </c>
      <c r="E2731" t="inlineStr">
        <is>
          <t>SEC</t>
        </is>
      </c>
    </row>
    <row r="2732">
      <c r="A2732" s="5">
        <f>HYPERLINK("https://finance.yahoo.com/quote/XIFR","XIFR")</f>
        <v/>
      </c>
      <c r="B2732" t="inlineStr">
        <is>
          <t>XPLR Infrastructure, LP</t>
        </is>
      </c>
      <c r="C2732" t="inlineStr">
        <is>
          <t>NYSE</t>
        </is>
      </c>
      <c r="D2732" t="n">
        <v>1603145</v>
      </c>
      <c r="E2732" t="inlineStr">
        <is>
          <t>SEC</t>
        </is>
      </c>
    </row>
    <row r="2733">
      <c r="A2733" s="5">
        <f>HYPERLINK("https://finance.yahoo.com/quote/RIGL","RIGL")</f>
        <v/>
      </c>
      <c r="B2733" t="inlineStr">
        <is>
          <t>RIGEL PHARMACEUTICALS INC</t>
        </is>
      </c>
      <c r="C2733" t="inlineStr">
        <is>
          <t>Nasdaq</t>
        </is>
      </c>
      <c r="D2733" t="n">
        <v>1034842</v>
      </c>
      <c r="E2733" t="inlineStr">
        <is>
          <t>SEC</t>
        </is>
      </c>
    </row>
    <row r="2734">
      <c r="A2734" s="5">
        <f>HYPERLINK("https://finance.yahoo.com/quote/IMC","IMC")</f>
        <v/>
      </c>
      <c r="B2734" t="inlineStr">
        <is>
          <t>IMC Rare Earths Ltd</t>
        </is>
      </c>
      <c r="C2734" t="inlineStr">
        <is>
          <t>NYSE</t>
        </is>
      </c>
      <c r="D2734" t="n">
        <v>2098395</v>
      </c>
      <c r="E2734" t="inlineStr">
        <is>
          <t>SEC</t>
        </is>
      </c>
    </row>
    <row r="2735">
      <c r="A2735" s="5">
        <f>HYPERLINK("https://finance.yahoo.com/quote/PIII","PIII")</f>
        <v/>
      </c>
      <c r="B2735" t="inlineStr">
        <is>
          <t>P3 Health Partners Inc.</t>
        </is>
      </c>
      <c r="C2735" t="inlineStr">
        <is>
          <t>Nasdaq</t>
        </is>
      </c>
      <c r="D2735" t="n">
        <v>1832511</v>
      </c>
      <c r="E2735" t="inlineStr">
        <is>
          <t>SEC</t>
        </is>
      </c>
    </row>
    <row r="2736">
      <c r="A2736" s="5">
        <f>HYPERLINK("https://finance.yahoo.com/quote/APEI","APEI")</f>
        <v/>
      </c>
      <c r="B2736" t="inlineStr">
        <is>
          <t>AMERICAN PUBLIC EDUCATION INC</t>
        </is>
      </c>
      <c r="C2736" t="inlineStr">
        <is>
          <t>Nasdaq</t>
        </is>
      </c>
      <c r="D2736" t="n">
        <v>1201792</v>
      </c>
      <c r="E2736" t="inlineStr">
        <is>
          <t>SEC</t>
        </is>
      </c>
    </row>
    <row r="2737">
      <c r="A2737" s="5">
        <f>HYPERLINK("https://finance.yahoo.com/quote/JBGS","JBGS")</f>
        <v/>
      </c>
      <c r="B2737" t="inlineStr">
        <is>
          <t>JBG SMITH Properties</t>
        </is>
      </c>
      <c r="C2737" t="inlineStr">
        <is>
          <t>NYSE</t>
        </is>
      </c>
      <c r="D2737" t="n">
        <v>1689796</v>
      </c>
      <c r="E2737" t="inlineStr">
        <is>
          <t>SEC</t>
        </is>
      </c>
    </row>
    <row r="2738">
      <c r="A2738" s="5">
        <f>HYPERLINK("https://finance.yahoo.com/quote/SGML","SGML")</f>
        <v/>
      </c>
      <c r="B2738" t="inlineStr">
        <is>
          <t>Sigma Lithium Corp</t>
        </is>
      </c>
      <c r="C2738" t="inlineStr">
        <is>
          <t>Nasdaq</t>
        </is>
      </c>
      <c r="D2738" t="n">
        <v>1848309</v>
      </c>
      <c r="E2738" t="inlineStr">
        <is>
          <t>SEC</t>
        </is>
      </c>
    </row>
    <row r="2739">
      <c r="A2739" s="5">
        <f>HYPERLINK("https://finance.yahoo.com/quote/FRBT","FRBT")</f>
        <v/>
      </c>
      <c r="B2739" t="inlineStr">
        <is>
          <t>Forbright, Inc.</t>
        </is>
      </c>
      <c r="C2739" t="inlineStr">
        <is>
          <t>Nasdaq</t>
        </is>
      </c>
      <c r="D2739" t="n">
        <v>1925062</v>
      </c>
      <c r="E2739" t="inlineStr">
        <is>
          <t>SEC</t>
        </is>
      </c>
    </row>
    <row r="2740">
      <c r="A2740" s="5">
        <f>HYPERLINK("https://finance.yahoo.com/quote/PXED","PXED")</f>
        <v/>
      </c>
      <c r="B2740" t="inlineStr">
        <is>
          <t>Phoenix Education Partners, Inc.</t>
        </is>
      </c>
      <c r="C2740" t="inlineStr">
        <is>
          <t>NYSE</t>
        </is>
      </c>
      <c r="D2740" t="n">
        <v>1600222</v>
      </c>
      <c r="E2740" t="inlineStr">
        <is>
          <t>SEC</t>
        </is>
      </c>
    </row>
    <row r="2741">
      <c r="A2741" s="5">
        <f>HYPERLINK("https://finance.yahoo.com/quote/FSSL","FSSL")</f>
        <v/>
      </c>
      <c r="B2741" t="inlineStr">
        <is>
          <t>FS Specialty Lending Fund</t>
        </is>
      </c>
      <c r="C2741" t="inlineStr">
        <is>
          <t>NYSE</t>
        </is>
      </c>
      <c r="D2741" t="n">
        <v>2065812</v>
      </c>
      <c r="E2741" t="inlineStr">
        <is>
          <t>SEC</t>
        </is>
      </c>
    </row>
    <row r="2742">
      <c r="A2742" s="5">
        <f>HYPERLINK("https://finance.yahoo.com/quote/OIG","OIG")</f>
        <v/>
      </c>
      <c r="B2742" t="inlineStr">
        <is>
          <t>Orion180 Insurance Group Inc.</t>
        </is>
      </c>
      <c r="C2742" t="inlineStr">
        <is>
          <t>Nasdaq</t>
        </is>
      </c>
      <c r="D2742" t="n">
        <v>2124472</v>
      </c>
      <c r="E2742" t="inlineStr">
        <is>
          <t>SEC</t>
        </is>
      </c>
    </row>
    <row r="2743">
      <c r="A2743" s="5">
        <f>HYPERLINK("https://finance.yahoo.com/quote/EMAT","EMAT")</f>
        <v/>
      </c>
      <c r="B2743" t="inlineStr">
        <is>
          <t>Evolution Metals &amp; Technologies Corp.</t>
        </is>
      </c>
      <c r="C2743" t="inlineStr">
        <is>
          <t>Nasdaq</t>
        </is>
      </c>
      <c r="D2743" t="n">
        <v>1866226</v>
      </c>
      <c r="E2743" t="inlineStr">
        <is>
          <t>SEC</t>
        </is>
      </c>
    </row>
    <row r="2744">
      <c r="A2744" s="5">
        <f>HYPERLINK("https://finance.yahoo.com/quote/RNP","RNP")</f>
        <v/>
      </c>
      <c r="B2744" t="inlineStr">
        <is>
          <t>COHEN &amp; STEERS REIT &amp; PREFERRED &amp; INCOME FUND INC</t>
        </is>
      </c>
      <c r="C2744" t="inlineStr">
        <is>
          <t>NYSE</t>
        </is>
      </c>
      <c r="D2744" t="n">
        <v>1224450</v>
      </c>
      <c r="E2744" t="inlineStr">
        <is>
          <t>SEC</t>
        </is>
      </c>
    </row>
    <row r="2745">
      <c r="A2745" s="5">
        <f>HYPERLINK("https://finance.yahoo.com/quote/ACEL","ACEL")</f>
        <v/>
      </c>
      <c r="B2745" t="inlineStr">
        <is>
          <t>Accel Entertainment, Inc.</t>
        </is>
      </c>
      <c r="C2745" t="inlineStr">
        <is>
          <t>NYSE</t>
        </is>
      </c>
      <c r="D2745" t="n">
        <v>1698991</v>
      </c>
      <c r="E2745" t="inlineStr">
        <is>
          <t>SEC</t>
        </is>
      </c>
    </row>
    <row r="2746">
      <c r="A2746" s="5">
        <f>HYPERLINK("https://finance.yahoo.com/quote/CMP","CMP")</f>
        <v/>
      </c>
      <c r="B2746" t="inlineStr">
        <is>
          <t>COMPASS MINERALS INTERNATIONAL INC</t>
        </is>
      </c>
      <c r="C2746" t="inlineStr">
        <is>
          <t>NYSE</t>
        </is>
      </c>
      <c r="D2746" t="n">
        <v>1227654</v>
      </c>
      <c r="E2746" t="inlineStr">
        <is>
          <t>SEC</t>
        </is>
      </c>
    </row>
    <row r="2747">
      <c r="A2747" s="5">
        <f>HYPERLINK("https://finance.yahoo.com/quote/AKTS","AKTS")</f>
        <v/>
      </c>
      <c r="B2747" t="inlineStr">
        <is>
          <t>Aktis Oncology, Inc.</t>
        </is>
      </c>
      <c r="C2747" t="inlineStr">
        <is>
          <t>Nasdaq</t>
        </is>
      </c>
      <c r="D2747" t="n">
        <v>2035832</v>
      </c>
      <c r="E2747" t="inlineStr">
        <is>
          <t>SEC</t>
        </is>
      </c>
    </row>
    <row r="2748">
      <c r="A2748" s="5">
        <f>HYPERLINK("https://finance.yahoo.com/quote/GSBC","GSBC")</f>
        <v/>
      </c>
      <c r="B2748" t="inlineStr">
        <is>
          <t>GREAT SOUTHERN BANCORP, INC.</t>
        </is>
      </c>
      <c r="C2748" t="inlineStr">
        <is>
          <t>Nasdaq</t>
        </is>
      </c>
      <c r="D2748" t="n">
        <v>854560</v>
      </c>
      <c r="E2748" t="inlineStr">
        <is>
          <t>SEC</t>
        </is>
      </c>
    </row>
    <row r="2749">
      <c r="A2749" s="5">
        <f>HYPERLINK("https://finance.yahoo.com/quote/IQ","IQ")</f>
        <v/>
      </c>
      <c r="B2749" t="inlineStr">
        <is>
          <t>iQIYI, Inc.</t>
        </is>
      </c>
      <c r="C2749" t="inlineStr">
        <is>
          <t>Nasdaq</t>
        </is>
      </c>
      <c r="D2749" t="n">
        <v>1722608</v>
      </c>
      <c r="E2749" t="inlineStr">
        <is>
          <t>SEC</t>
        </is>
      </c>
    </row>
    <row r="2750">
      <c r="A2750" s="5">
        <f>HYPERLINK("https://finance.yahoo.com/quote/CRVS","CRVS")</f>
        <v/>
      </c>
      <c r="B2750" t="inlineStr">
        <is>
          <t>Corvus Pharmaceuticals, Inc.</t>
        </is>
      </c>
      <c r="C2750" t="inlineStr">
        <is>
          <t>Nasdaq</t>
        </is>
      </c>
      <c r="D2750" t="n">
        <v>1626971</v>
      </c>
      <c r="E2750" t="inlineStr">
        <is>
          <t>SEC</t>
        </is>
      </c>
    </row>
    <row r="2751">
      <c r="A2751" s="5">
        <f>HYPERLINK("https://finance.yahoo.com/quote/MUX","MUX")</f>
        <v/>
      </c>
      <c r="B2751" t="inlineStr">
        <is>
          <t>McEwen Inc.</t>
        </is>
      </c>
      <c r="C2751" t="inlineStr">
        <is>
          <t>NYSE</t>
        </is>
      </c>
      <c r="D2751" t="n">
        <v>314203</v>
      </c>
      <c r="E2751" t="inlineStr">
        <is>
          <t>SEC</t>
        </is>
      </c>
    </row>
    <row r="2752">
      <c r="A2752" s="5">
        <f>HYPERLINK("https://finance.yahoo.com/quote/VCX","VCX")</f>
        <v/>
      </c>
      <c r="B2752" t="inlineStr">
        <is>
          <t>Fundrise Innovation Fund, LLC</t>
        </is>
      </c>
      <c r="C2752" t="inlineStr">
        <is>
          <t>NYSE</t>
        </is>
      </c>
      <c r="D2752" t="n">
        <v>1867090</v>
      </c>
      <c r="E2752" t="inlineStr">
        <is>
          <t>SEC</t>
        </is>
      </c>
    </row>
    <row r="2753">
      <c r="A2753" s="5">
        <f>HYPERLINK("https://finance.yahoo.com/quote/MGTX","MGTX")</f>
        <v/>
      </c>
      <c r="B2753" t="inlineStr">
        <is>
          <t>MeiraGTx Holdings plc</t>
        </is>
      </c>
      <c r="C2753" t="inlineStr">
        <is>
          <t>Nasdaq</t>
        </is>
      </c>
      <c r="D2753" t="n">
        <v>1735438</v>
      </c>
      <c r="E2753" t="inlineStr">
        <is>
          <t>SEC</t>
        </is>
      </c>
    </row>
    <row r="2754">
      <c r="A2754" s="5">
        <f>HYPERLINK("https://finance.yahoo.com/quote/ASTE","ASTE")</f>
        <v/>
      </c>
      <c r="B2754" t="inlineStr">
        <is>
          <t>ASTEC INDUSTRIES INC</t>
        </is>
      </c>
      <c r="C2754" t="inlineStr">
        <is>
          <t>Nasdaq</t>
        </is>
      </c>
      <c r="D2754" t="n">
        <v>792987</v>
      </c>
      <c r="E2754" t="inlineStr">
        <is>
          <t>SEC</t>
        </is>
      </c>
    </row>
    <row r="2755">
      <c r="A2755" s="5">
        <f>HYPERLINK("https://finance.yahoo.com/quote/CGEM","CGEM")</f>
        <v/>
      </c>
      <c r="B2755" t="inlineStr">
        <is>
          <t>Cullinan Therapeutics, Inc.</t>
        </is>
      </c>
      <c r="C2755" t="inlineStr">
        <is>
          <t>Nasdaq</t>
        </is>
      </c>
      <c r="D2755" t="n">
        <v>1789972</v>
      </c>
      <c r="E2755" t="inlineStr">
        <is>
          <t>SEC</t>
        </is>
      </c>
    </row>
    <row r="2756">
      <c r="A2756" s="5">
        <f>HYPERLINK("https://finance.yahoo.com/quote/IVA","IVA")</f>
        <v/>
      </c>
      <c r="B2756" t="inlineStr">
        <is>
          <t>Inventiva S.A.</t>
        </is>
      </c>
      <c r="C2756" t="inlineStr">
        <is>
          <t>Nasdaq</t>
        </is>
      </c>
      <c r="D2756" t="n">
        <v>1756594</v>
      </c>
      <c r="E2756" t="inlineStr">
        <is>
          <t>SEC</t>
        </is>
      </c>
    </row>
    <row r="2757">
      <c r="A2757" s="5">
        <f>HYPERLINK("https://finance.yahoo.com/quote/YSS","YSS")</f>
        <v/>
      </c>
      <c r="B2757" t="inlineStr">
        <is>
          <t>York Space Systems Inc.</t>
        </is>
      </c>
      <c r="C2757" t="inlineStr">
        <is>
          <t>NYSE</t>
        </is>
      </c>
      <c r="D2757" t="n">
        <v>2086587</v>
      </c>
      <c r="E2757" t="inlineStr">
        <is>
          <t>SEC</t>
        </is>
      </c>
    </row>
    <row r="2758">
      <c r="A2758" s="5">
        <f>HYPERLINK("https://finance.yahoo.com/quote/ALMS","ALMS")</f>
        <v/>
      </c>
      <c r="B2758" t="inlineStr">
        <is>
          <t>ALUMIS INC.</t>
        </is>
      </c>
      <c r="C2758" t="inlineStr">
        <is>
          <t>Nasdaq</t>
        </is>
      </c>
      <c r="D2758" t="n">
        <v>1847367</v>
      </c>
      <c r="E2758" t="inlineStr">
        <is>
          <t>SEC</t>
        </is>
      </c>
    </row>
    <row r="2759">
      <c r="A2759" s="5">
        <f>HYPERLINK("https://finance.yahoo.com/quote/BBDC","BBDC")</f>
        <v/>
      </c>
      <c r="B2759" t="inlineStr">
        <is>
          <t>Barings BDC, Inc.</t>
        </is>
      </c>
      <c r="C2759" t="inlineStr">
        <is>
          <t>NYSE</t>
        </is>
      </c>
      <c r="D2759" t="n">
        <v>1379785</v>
      </c>
      <c r="E2759" t="inlineStr">
        <is>
          <t>SEC</t>
        </is>
      </c>
    </row>
    <row r="2760">
      <c r="A2760" s="5">
        <f>HYPERLINK("https://finance.yahoo.com/quote/FTK","FTK")</f>
        <v/>
      </c>
      <c r="B2760" t="inlineStr">
        <is>
          <t>FLOTEK INDUSTRIES INC/CN/</t>
        </is>
      </c>
      <c r="C2760" t="inlineStr">
        <is>
          <t>NYSE</t>
        </is>
      </c>
      <c r="D2760" t="n">
        <v>928054</v>
      </c>
      <c r="E2760" t="inlineStr">
        <is>
          <t>SEC</t>
        </is>
      </c>
    </row>
    <row r="2761">
      <c r="A2761" s="5">
        <f>HYPERLINK("https://finance.yahoo.com/quote/ORRF","ORRF")</f>
        <v/>
      </c>
      <c r="B2761" t="inlineStr">
        <is>
          <t>ORRSTOWN FINANCIAL SERVICES INC</t>
        </is>
      </c>
      <c r="C2761" t="inlineStr">
        <is>
          <t>Nasdaq</t>
        </is>
      </c>
      <c r="D2761" t="n">
        <v>826154</v>
      </c>
      <c r="E2761" t="inlineStr">
        <is>
          <t>SEC</t>
        </is>
      </c>
    </row>
    <row r="2762">
      <c r="A2762" s="5">
        <f>HYPERLINK("https://finance.yahoo.com/quote/UMAC","UMAC")</f>
        <v/>
      </c>
      <c r="B2762" t="inlineStr">
        <is>
          <t>Unusual Machines, Inc.</t>
        </is>
      </c>
      <c r="C2762" t="inlineStr">
        <is>
          <t>NYSE</t>
        </is>
      </c>
      <c r="D2762" t="n">
        <v>1956955</v>
      </c>
      <c r="E2762" t="inlineStr">
        <is>
          <t>SEC</t>
        </is>
      </c>
    </row>
    <row r="2763">
      <c r="A2763" s="5">
        <f>HYPERLINK("https://finance.yahoo.com/quote/CCBG","CCBG")</f>
        <v/>
      </c>
      <c r="B2763" t="inlineStr">
        <is>
          <t>CAPITAL CITY BANK GROUP INC</t>
        </is>
      </c>
      <c r="C2763" t="inlineStr">
        <is>
          <t>Nasdaq</t>
        </is>
      </c>
      <c r="D2763" t="n">
        <v>726601</v>
      </c>
      <c r="E2763" t="inlineStr">
        <is>
          <t>SEC</t>
        </is>
      </c>
    </row>
    <row r="2764">
      <c r="A2764" s="5">
        <f>HYPERLINK("https://finance.yahoo.com/quote/PSTL","PSTL")</f>
        <v/>
      </c>
      <c r="B2764" t="inlineStr">
        <is>
          <t>Postal Realty Trust, Inc.</t>
        </is>
      </c>
      <c r="C2764" t="inlineStr">
        <is>
          <t>NYSE</t>
        </is>
      </c>
      <c r="D2764" t="n">
        <v>1759774</v>
      </c>
      <c r="E2764" t="inlineStr">
        <is>
          <t>SEC</t>
        </is>
      </c>
    </row>
    <row r="2765">
      <c r="A2765" s="5">
        <f>HYPERLINK("https://finance.yahoo.com/quote/OBX","OBX")</f>
        <v/>
      </c>
      <c r="B2765" t="inlineStr">
        <is>
          <t>Obsidian Therapeutics, Inc.</t>
        </is>
      </c>
      <c r="C2765" t="inlineStr">
        <is>
          <t>Nasdaq</t>
        </is>
      </c>
      <c r="D2765" t="n">
        <v>2130606</v>
      </c>
      <c r="E2765" t="inlineStr">
        <is>
          <t>SEC</t>
        </is>
      </c>
    </row>
    <row r="2766">
      <c r="A2766" s="5">
        <f>HYPERLINK("https://finance.yahoo.com/quote/MCS","MCS")</f>
        <v/>
      </c>
      <c r="B2766" t="inlineStr">
        <is>
          <t>MARCUS CORP</t>
        </is>
      </c>
      <c r="C2766" t="inlineStr">
        <is>
          <t>NYSE</t>
        </is>
      </c>
      <c r="D2766" t="n">
        <v>62234</v>
      </c>
      <c r="E2766" t="inlineStr">
        <is>
          <t>SEC</t>
        </is>
      </c>
    </row>
    <row r="2767">
      <c r="A2767" s="5">
        <f>HYPERLINK("https://finance.yahoo.com/quote/MPB","MPB")</f>
        <v/>
      </c>
      <c r="B2767" t="inlineStr">
        <is>
          <t>MID PENN BANCORP INC</t>
        </is>
      </c>
      <c r="C2767" t="inlineStr">
        <is>
          <t>Nasdaq</t>
        </is>
      </c>
      <c r="D2767" t="n">
        <v>879635</v>
      </c>
      <c r="E2767" t="inlineStr">
        <is>
          <t>SEC</t>
        </is>
      </c>
    </row>
    <row r="2768">
      <c r="A2768" s="5">
        <f>HYPERLINK("https://finance.yahoo.com/quote/AEBI","AEBI")</f>
        <v/>
      </c>
      <c r="B2768" t="inlineStr">
        <is>
          <t>Aebi Schmidt Holding AG</t>
        </is>
      </c>
      <c r="C2768" t="inlineStr">
        <is>
          <t>Nasdaq</t>
        </is>
      </c>
      <c r="D2768" t="n">
        <v>2048519</v>
      </c>
      <c r="E2768" t="inlineStr">
        <is>
          <t>SEC</t>
        </is>
      </c>
    </row>
    <row r="2769">
      <c r="A2769" s="5">
        <f>HYPERLINK("https://finance.yahoo.com/quote/SVRA","SVRA")</f>
        <v/>
      </c>
      <c r="B2769" t="inlineStr">
        <is>
          <t>Savara Inc</t>
        </is>
      </c>
      <c r="C2769" t="inlineStr">
        <is>
          <t>Nasdaq</t>
        </is>
      </c>
      <c r="D2769" t="n">
        <v>1160308</v>
      </c>
      <c r="E2769" t="inlineStr">
        <is>
          <t>SEC</t>
        </is>
      </c>
    </row>
    <row r="2770">
      <c r="A2770" s="5">
        <f>HYPERLINK("https://finance.yahoo.com/quote/ANRO","ANRO")</f>
        <v/>
      </c>
      <c r="B2770" t="inlineStr">
        <is>
          <t>Alto Neuroscience, Inc.</t>
        </is>
      </c>
      <c r="C2770" t="inlineStr">
        <is>
          <t>NYSE</t>
        </is>
      </c>
      <c r="D2770" t="n">
        <v>1999480</v>
      </c>
      <c r="E2770" t="inlineStr">
        <is>
          <t>SEC</t>
        </is>
      </c>
    </row>
    <row r="2771">
      <c r="A2771" s="5">
        <f>HYPERLINK("https://finance.yahoo.com/quote/RERE","RERE")</f>
        <v/>
      </c>
      <c r="B2771" t="inlineStr">
        <is>
          <t>ATRenew Inc.</t>
        </is>
      </c>
      <c r="C2771" t="inlineStr">
        <is>
          <t>NYSE</t>
        </is>
      </c>
      <c r="D2771" t="n">
        <v>1838957</v>
      </c>
      <c r="E2771" t="inlineStr">
        <is>
          <t>SEC</t>
        </is>
      </c>
    </row>
    <row r="2772">
      <c r="A2772" s="5">
        <f>HYPERLINK("https://finance.yahoo.com/quote/GLIBA","GLIBA")</f>
        <v/>
      </c>
      <c r="B2772" t="inlineStr">
        <is>
          <t>Liberty Capital Corp/NV</t>
        </is>
      </c>
      <c r="C2772" t="inlineStr">
        <is>
          <t>Nasdaq</t>
        </is>
      </c>
      <c r="D2772" t="n">
        <v>2057463</v>
      </c>
      <c r="E2772" t="inlineStr">
        <is>
          <t>SEC</t>
        </is>
      </c>
    </row>
    <row r="2773">
      <c r="A2773" s="5">
        <f>HYPERLINK("https://finance.yahoo.com/quote/PML","PML")</f>
        <v/>
      </c>
      <c r="B2773" t="inlineStr">
        <is>
          <t>PIMCO MUNICIPAL INCOME FUND II</t>
        </is>
      </c>
      <c r="C2773" t="inlineStr">
        <is>
          <t>NYSE</t>
        </is>
      </c>
      <c r="D2773" t="n">
        <v>1170299</v>
      </c>
      <c r="E2773" t="inlineStr">
        <is>
          <t>SEC</t>
        </is>
      </c>
    </row>
    <row r="2774">
      <c r="A2774" s="5">
        <f>HYPERLINK("https://finance.yahoo.com/quote/PEO","PEO")</f>
        <v/>
      </c>
      <c r="B2774" t="inlineStr">
        <is>
          <t>ADAMS NATURAL RESOURCES FUND, INC.</t>
        </is>
      </c>
      <c r="C2774" t="inlineStr">
        <is>
          <t>NYSE</t>
        </is>
      </c>
      <c r="D2774" t="n">
        <v>216851</v>
      </c>
      <c r="E2774" t="inlineStr">
        <is>
          <t>SEC</t>
        </is>
      </c>
    </row>
    <row r="2775">
      <c r="A2775" s="5">
        <f>HYPERLINK("https://finance.yahoo.com/quote/YALA","YALA")</f>
        <v/>
      </c>
      <c r="B2775" t="inlineStr">
        <is>
          <t>Yalla Group Ltd</t>
        </is>
      </c>
      <c r="C2775" t="inlineStr">
        <is>
          <t>NYSE</t>
        </is>
      </c>
      <c r="D2775" t="n">
        <v>1794350</v>
      </c>
      <c r="E2775" t="inlineStr">
        <is>
          <t>SEC</t>
        </is>
      </c>
    </row>
    <row r="2776">
      <c r="A2776" s="5">
        <f>HYPERLINK("https://finance.yahoo.com/quote/CAPL","CAPL")</f>
        <v/>
      </c>
      <c r="B2776" t="inlineStr">
        <is>
          <t>CrossAmerica Partners LP</t>
        </is>
      </c>
      <c r="C2776" t="inlineStr">
        <is>
          <t>NYSE</t>
        </is>
      </c>
      <c r="D2776" t="n">
        <v>1538849</v>
      </c>
      <c r="E2776" t="inlineStr">
        <is>
          <t>SEC</t>
        </is>
      </c>
    </row>
    <row r="2777">
      <c r="A2777" s="5">
        <f>HYPERLINK("https://finance.yahoo.com/quote/KURA","KURA")</f>
        <v/>
      </c>
      <c r="B2777" t="inlineStr">
        <is>
          <t>Kura Oncology, Inc.</t>
        </is>
      </c>
      <c r="C2777" t="inlineStr">
        <is>
          <t>Nasdaq</t>
        </is>
      </c>
      <c r="D2777" t="n">
        <v>1422143</v>
      </c>
      <c r="E2777" t="inlineStr">
        <is>
          <t>SEC</t>
        </is>
      </c>
    </row>
    <row r="2778">
      <c r="A2778" s="5">
        <f>HYPERLINK("https://finance.yahoo.com/quote/MTUS","MTUS")</f>
        <v/>
      </c>
      <c r="B2778" t="inlineStr">
        <is>
          <t>Metallus Inc.</t>
        </is>
      </c>
      <c r="C2778" t="inlineStr">
        <is>
          <t>NYSE</t>
        </is>
      </c>
      <c r="D2778" t="n">
        <v>1598428</v>
      </c>
      <c r="E2778" t="inlineStr">
        <is>
          <t>SEC</t>
        </is>
      </c>
    </row>
    <row r="2779">
      <c r="A2779" s="5">
        <f>HYPERLINK("https://finance.yahoo.com/quote/SXC","SXC")</f>
        <v/>
      </c>
      <c r="B2779" t="inlineStr">
        <is>
          <t>SunCoke Energy, Inc.</t>
        </is>
      </c>
      <c r="C2779" t="inlineStr">
        <is>
          <t>NYSE</t>
        </is>
      </c>
      <c r="D2779" t="n">
        <v>1514705</v>
      </c>
      <c r="E2779" t="inlineStr">
        <is>
          <t>SEC</t>
        </is>
      </c>
    </row>
    <row r="2780">
      <c r="A2780" s="5">
        <f>HYPERLINK("https://finance.yahoo.com/quote/SIFY","SIFY")</f>
        <v/>
      </c>
      <c r="B2780" t="inlineStr">
        <is>
          <t>SIFY TECHNOLOGIES LTD</t>
        </is>
      </c>
      <c r="C2780" t="inlineStr">
        <is>
          <t>Nasdaq</t>
        </is>
      </c>
      <c r="D2780" t="n">
        <v>1094324</v>
      </c>
      <c r="E2780" t="inlineStr">
        <is>
          <t>SEC</t>
        </is>
      </c>
    </row>
    <row r="2781">
      <c r="A2781" s="5">
        <f>HYPERLINK("https://finance.yahoo.com/quote/KBDC","KBDC")</f>
        <v/>
      </c>
      <c r="B2781" t="inlineStr">
        <is>
          <t>Kayne Anderson BDC, Inc.</t>
        </is>
      </c>
      <c r="C2781" t="inlineStr">
        <is>
          <t>NYSE</t>
        </is>
      </c>
      <c r="D2781" t="n">
        <v>1747172</v>
      </c>
      <c r="E2781" t="inlineStr">
        <is>
          <t>SEC</t>
        </is>
      </c>
    </row>
    <row r="2782">
      <c r="A2782" s="5">
        <f>HYPERLINK("https://finance.yahoo.com/quote/MITK","MITK")</f>
        <v/>
      </c>
      <c r="B2782" t="inlineStr">
        <is>
          <t>MITEK SYSTEMS INC</t>
        </is>
      </c>
      <c r="C2782" t="inlineStr">
        <is>
          <t>Nasdaq</t>
        </is>
      </c>
      <c r="D2782" t="n">
        <v>807863</v>
      </c>
      <c r="E2782" t="inlineStr">
        <is>
          <t>SEC</t>
        </is>
      </c>
    </row>
    <row r="2783">
      <c r="A2783" s="5">
        <f>HYPERLINK("https://finance.yahoo.com/quote/SMBK","SMBK")</f>
        <v/>
      </c>
      <c r="B2783" t="inlineStr">
        <is>
          <t>SMARTFINANCIAL INC.</t>
        </is>
      </c>
      <c r="C2783" t="inlineStr">
        <is>
          <t>NYSE</t>
        </is>
      </c>
      <c r="D2783" t="n">
        <v>1038773</v>
      </c>
      <c r="E2783" t="inlineStr">
        <is>
          <t>SEC</t>
        </is>
      </c>
    </row>
    <row r="2784">
      <c r="A2784" s="5">
        <f>HYPERLINK("https://finance.yahoo.com/quote/MYN","MYN")</f>
        <v/>
      </c>
      <c r="B2784" t="inlineStr">
        <is>
          <t>BLACKROCK MUNIYIELD NEW YORK QUALITY FUND, INC.</t>
        </is>
      </c>
      <c r="C2784" t="inlineStr">
        <is>
          <t>NYSE</t>
        </is>
      </c>
      <c r="D2784" t="n">
        <v>882150</v>
      </c>
      <c r="E2784" t="inlineStr">
        <is>
          <t>SEC</t>
        </is>
      </c>
    </row>
    <row r="2785">
      <c r="A2785" s="5">
        <f>HYPERLINK("https://finance.yahoo.com/quote/PAYS","PAYS")</f>
        <v/>
      </c>
      <c r="B2785" t="inlineStr">
        <is>
          <t>Paysign, Inc.</t>
        </is>
      </c>
      <c r="C2785" t="inlineStr">
        <is>
          <t>Nasdaq</t>
        </is>
      </c>
      <c r="D2785" t="n">
        <v>1496443</v>
      </c>
      <c r="E2785" t="inlineStr">
        <is>
          <t>SEC</t>
        </is>
      </c>
    </row>
    <row r="2786">
      <c r="A2786" s="5">
        <f>HYPERLINK("https://finance.yahoo.com/quote/SHAZ","SHAZ")</f>
        <v/>
      </c>
      <c r="B2786" t="inlineStr">
        <is>
          <t>SharonAI Holdings Inc.</t>
        </is>
      </c>
      <c r="C2786" t="inlineStr">
        <is>
          <t>Nasdaq</t>
        </is>
      </c>
      <c r="D2786" t="n">
        <v>2068385</v>
      </c>
      <c r="E2786" t="inlineStr">
        <is>
          <t>SEC</t>
        </is>
      </c>
    </row>
    <row r="2787">
      <c r="A2787" s="5">
        <f>HYPERLINK("https://finance.yahoo.com/quote/WLFC","WLFC")</f>
        <v/>
      </c>
      <c r="B2787" t="inlineStr">
        <is>
          <t>WILLIS LEASE FINANCE CORP</t>
        </is>
      </c>
      <c r="C2787" t="inlineStr">
        <is>
          <t>Nasdaq</t>
        </is>
      </c>
      <c r="D2787" t="n">
        <v>1018164</v>
      </c>
      <c r="E2787" t="inlineStr">
        <is>
          <t>SEC</t>
        </is>
      </c>
    </row>
    <row r="2788">
      <c r="A2788" s="5">
        <f>HYPERLINK("https://finance.yahoo.com/quote/SMP","SMP")</f>
        <v/>
      </c>
      <c r="B2788" t="inlineStr">
        <is>
          <t>STANDARD MOTOR PRODUCTS, INC.</t>
        </is>
      </c>
      <c r="C2788" t="inlineStr">
        <is>
          <t>NYSE</t>
        </is>
      </c>
      <c r="D2788" t="n">
        <v>93389</v>
      </c>
      <c r="E2788" t="inlineStr">
        <is>
          <t>SEC</t>
        </is>
      </c>
    </row>
    <row r="2789">
      <c r="A2789" s="5">
        <f>HYPERLINK("https://finance.yahoo.com/quote/EVLV","EVLV")</f>
        <v/>
      </c>
      <c r="B2789" t="inlineStr">
        <is>
          <t>Evolv Technologies Holdings, Inc.</t>
        </is>
      </c>
      <c r="C2789" t="inlineStr">
        <is>
          <t>Nasdaq</t>
        </is>
      </c>
      <c r="D2789" t="n">
        <v>1805385</v>
      </c>
      <c r="E2789" t="inlineStr">
        <is>
          <t>SEC</t>
        </is>
      </c>
    </row>
    <row r="2790">
      <c r="A2790" s="5">
        <f>HYPERLINK("https://finance.yahoo.com/quote/AWF","AWF")</f>
        <v/>
      </c>
      <c r="B2790" t="inlineStr">
        <is>
          <t>ALLIANCEBERNSTEIN GLOBAL HIGH INCOME FUND INC</t>
        </is>
      </c>
      <c r="C2790" t="inlineStr">
        <is>
          <t>NYSE</t>
        </is>
      </c>
      <c r="D2790" t="n">
        <v>906013</v>
      </c>
      <c r="E2790" t="inlineStr">
        <is>
          <t>SEC</t>
        </is>
      </c>
    </row>
    <row r="2791">
      <c r="A2791" s="5">
        <f>HYPERLINK("https://finance.yahoo.com/quote/HBIA","HBIA")</f>
        <v/>
      </c>
      <c r="B2791" t="inlineStr">
        <is>
          <t>HILLS BANCORPORATION</t>
        </is>
      </c>
      <c r="C2791" t="inlineStr">
        <is>
          <t>OTC</t>
        </is>
      </c>
      <c r="D2791" t="n">
        <v>732417</v>
      </c>
      <c r="E2791" t="inlineStr">
        <is>
          <t>SEC</t>
        </is>
      </c>
    </row>
    <row r="2792">
      <c r="A2792" s="5">
        <f>HYPERLINK("https://finance.yahoo.com/quote/SPFI","SPFI")</f>
        <v/>
      </c>
      <c r="B2792" t="inlineStr">
        <is>
          <t>SOUTH PLAINS FINANCIAL, INC.</t>
        </is>
      </c>
      <c r="C2792" t="inlineStr">
        <is>
          <t>Nasdaq</t>
        </is>
      </c>
      <c r="D2792" t="n">
        <v>1163668</v>
      </c>
      <c r="E2792" t="inlineStr">
        <is>
          <t>SEC</t>
        </is>
      </c>
    </row>
    <row r="2793">
      <c r="A2793" s="5">
        <f>HYPERLINK("https://finance.yahoo.com/quote/DJCO","DJCO")</f>
        <v/>
      </c>
      <c r="B2793" t="inlineStr">
        <is>
          <t>DAILY JOURNAL CORP</t>
        </is>
      </c>
      <c r="C2793" t="inlineStr">
        <is>
          <t>Nasdaq</t>
        </is>
      </c>
      <c r="D2793" t="n">
        <v>783412</v>
      </c>
      <c r="E2793" t="inlineStr">
        <is>
          <t>SEC</t>
        </is>
      </c>
    </row>
    <row r="2794">
      <c r="A2794" s="5">
        <f>HYPERLINK("https://finance.yahoo.com/quote/ROOT","ROOT")</f>
        <v/>
      </c>
      <c r="B2794" t="inlineStr">
        <is>
          <t>Root, Inc.</t>
        </is>
      </c>
      <c r="C2794" t="inlineStr">
        <is>
          <t>Nasdaq</t>
        </is>
      </c>
      <c r="D2794" t="n">
        <v>1788882</v>
      </c>
      <c r="E2794" t="inlineStr">
        <is>
          <t>SEC</t>
        </is>
      </c>
    </row>
    <row r="2795">
      <c r="A2795" s="5">
        <f>HYPERLINK("https://finance.yahoo.com/quote/ASC","ASC")</f>
        <v/>
      </c>
      <c r="B2795" t="inlineStr">
        <is>
          <t>Ardmore Shipping Corp</t>
        </is>
      </c>
      <c r="C2795" t="inlineStr">
        <is>
          <t>NYSE</t>
        </is>
      </c>
      <c r="D2795" t="n">
        <v>1577437</v>
      </c>
      <c r="E2795" t="inlineStr">
        <is>
          <t>SEC</t>
        </is>
      </c>
    </row>
    <row r="2796">
      <c r="A2796" s="5">
        <f>HYPERLINK("https://finance.yahoo.com/quote/ABX","ABX")</f>
        <v/>
      </c>
      <c r="B2796" t="inlineStr">
        <is>
          <t>Abacus Global Management, Inc.</t>
        </is>
      </c>
      <c r="C2796" t="inlineStr">
        <is>
          <t>NYSE</t>
        </is>
      </c>
      <c r="D2796" t="n">
        <v>1814287</v>
      </c>
      <c r="E2796" t="inlineStr">
        <is>
          <t>SEC</t>
        </is>
      </c>
    </row>
    <row r="2797">
      <c r="A2797" s="5">
        <f>HYPERLINK("https://finance.yahoo.com/quote/XNDU","XNDU")</f>
        <v/>
      </c>
      <c r="B2797" t="inlineStr">
        <is>
          <t>Xanadu Quantum Technologies Ltd</t>
        </is>
      </c>
      <c r="C2797" t="inlineStr">
        <is>
          <t>Nasdaq</t>
        </is>
      </c>
      <c r="D2797" t="n">
        <v>2097163</v>
      </c>
      <c r="E2797" t="inlineStr">
        <is>
          <t>SEC</t>
        </is>
      </c>
    </row>
    <row r="2798">
      <c r="A2798" s="5">
        <f>HYPERLINK("https://finance.yahoo.com/quote/CEVA","CEVA")</f>
        <v/>
      </c>
      <c r="B2798" t="inlineStr">
        <is>
          <t>CEVA INC</t>
        </is>
      </c>
      <c r="C2798" t="inlineStr">
        <is>
          <t>Nasdaq</t>
        </is>
      </c>
      <c r="D2798" t="n">
        <v>1173489</v>
      </c>
      <c r="E2798" t="inlineStr">
        <is>
          <t>SEC</t>
        </is>
      </c>
    </row>
    <row r="2799">
      <c r="A2799" s="5">
        <f>HYPERLINK("https://finance.yahoo.com/quote/PCN","PCN")</f>
        <v/>
      </c>
      <c r="B2799" t="inlineStr">
        <is>
          <t>PIMCO CORPORATE &amp; INCOME STRATEGY FUND</t>
        </is>
      </c>
      <c r="C2799" t="inlineStr">
        <is>
          <t>NYSE</t>
        </is>
      </c>
      <c r="D2799" t="n">
        <v>1160990</v>
      </c>
      <c r="E2799" t="inlineStr">
        <is>
          <t>SEC</t>
        </is>
      </c>
    </row>
    <row r="2800">
      <c r="A2800" s="5">
        <f>HYPERLINK("https://finance.yahoo.com/quote/WGO","WGO")</f>
        <v/>
      </c>
      <c r="B2800" t="inlineStr">
        <is>
          <t>WINNEBAGO INDUSTRIES INC</t>
        </is>
      </c>
      <c r="C2800" t="inlineStr">
        <is>
          <t>NYSE</t>
        </is>
      </c>
      <c r="D2800" t="n">
        <v>107687</v>
      </c>
      <c r="E2800" t="inlineStr">
        <is>
          <t>SEC</t>
        </is>
      </c>
    </row>
    <row r="2801">
      <c r="A2801" s="5">
        <f>HYPERLINK("https://finance.yahoo.com/quote/NRK","NRK")</f>
        <v/>
      </c>
      <c r="B2801" t="inlineStr">
        <is>
          <t>NUVEEN NEW YORK AMT-FREE QUALITY MUNICIPAL INCOME FUND</t>
        </is>
      </c>
      <c r="C2801" t="inlineStr">
        <is>
          <t>NYSE</t>
        </is>
      </c>
      <c r="D2801" t="n">
        <v>1195739</v>
      </c>
      <c r="E2801" t="inlineStr">
        <is>
          <t>SEC</t>
        </is>
      </c>
    </row>
    <row r="2802">
      <c r="A2802" s="5">
        <f>HYPERLINK("https://finance.yahoo.com/quote/INMD","INMD")</f>
        <v/>
      </c>
      <c r="B2802" t="inlineStr">
        <is>
          <t>InMode Ltd.</t>
        </is>
      </c>
      <c r="C2802" t="inlineStr">
        <is>
          <t>Nasdaq</t>
        </is>
      </c>
      <c r="D2802" t="n">
        <v>1742692</v>
      </c>
      <c r="E2802" t="inlineStr">
        <is>
          <t>SEC</t>
        </is>
      </c>
    </row>
    <row r="2803">
      <c r="A2803" s="5">
        <f>HYPERLINK("https://finance.yahoo.com/quote/BBSI","BBSI")</f>
        <v/>
      </c>
      <c r="B2803" t="inlineStr">
        <is>
          <t>BARRETT BUSINESS SERVICES INC</t>
        </is>
      </c>
      <c r="C2803" t="inlineStr">
        <is>
          <t>Nasdaq</t>
        </is>
      </c>
      <c r="D2803" t="n">
        <v>902791</v>
      </c>
      <c r="E2803" t="inlineStr">
        <is>
          <t>SEC</t>
        </is>
      </c>
    </row>
    <row r="2804">
      <c r="A2804" s="5">
        <f>HYPERLINK("https://finance.yahoo.com/quote/CRESY","CRESY")</f>
        <v/>
      </c>
      <c r="B2804" t="inlineStr">
        <is>
          <t>CRESUD INC</t>
        </is>
      </c>
      <c r="C2804" t="inlineStr">
        <is>
          <t>Nasdaq</t>
        </is>
      </c>
      <c r="D2804" t="n">
        <v>1034957</v>
      </c>
      <c r="E2804" t="inlineStr">
        <is>
          <t>SEC</t>
        </is>
      </c>
    </row>
    <row r="2805">
      <c r="A2805" s="5">
        <f>HYPERLINK("https://finance.yahoo.com/quote/HTD","HTD")</f>
        <v/>
      </c>
      <c r="B2805" t="inlineStr">
        <is>
          <t>JOHN HANCOCK TAX-ADVANTAGED DIVIDEND INCOME FUND</t>
        </is>
      </c>
      <c r="C2805" t="inlineStr">
        <is>
          <t>NYSE</t>
        </is>
      </c>
      <c r="D2805" t="n">
        <v>1260041</v>
      </c>
      <c r="E2805" t="inlineStr">
        <is>
          <t>SEC</t>
        </is>
      </c>
    </row>
    <row r="2806">
      <c r="A2806" s="5">
        <f>HYPERLINK("https://finance.yahoo.com/quote/ASGI","ASGI")</f>
        <v/>
      </c>
      <c r="B2806" t="inlineStr">
        <is>
          <t>abrdn Global Infrastructure Income Fund</t>
        </is>
      </c>
      <c r="C2806" t="inlineStr">
        <is>
          <t>NYSE</t>
        </is>
      </c>
      <c r="D2806" t="n">
        <v>1793855</v>
      </c>
      <c r="E2806" t="inlineStr">
        <is>
          <t>SEC</t>
        </is>
      </c>
    </row>
    <row r="2807">
      <c r="A2807" s="5">
        <f>HYPERLINK("https://finance.yahoo.com/quote/ALRS","ALRS")</f>
        <v/>
      </c>
      <c r="B2807" t="inlineStr">
        <is>
          <t>ALERUS FINANCIAL CORP</t>
        </is>
      </c>
      <c r="C2807" t="inlineStr">
        <is>
          <t>Nasdaq</t>
        </is>
      </c>
      <c r="D2807" t="n">
        <v>903419</v>
      </c>
      <c r="E2807" t="inlineStr">
        <is>
          <t>SEC</t>
        </is>
      </c>
    </row>
    <row r="2808">
      <c r="A2808" s="5">
        <f>HYPERLINK("https://finance.yahoo.com/quote/HQ","HQ")</f>
        <v/>
      </c>
      <c r="B2808" t="inlineStr">
        <is>
          <t>Horizon Quantum Holdings Ltd.</t>
        </is>
      </c>
      <c r="C2808" t="inlineStr">
        <is>
          <t>Nasdaq</t>
        </is>
      </c>
      <c r="D2808" t="n">
        <v>2088256</v>
      </c>
      <c r="E2808" t="inlineStr">
        <is>
          <t>SEC</t>
        </is>
      </c>
    </row>
    <row r="2809">
      <c r="A2809" s="5">
        <f>HYPERLINK("https://finance.yahoo.com/quote/MTW","MTW")</f>
        <v/>
      </c>
      <c r="B2809" t="inlineStr">
        <is>
          <t>MANITOWOC CO INC</t>
        </is>
      </c>
      <c r="C2809" t="inlineStr">
        <is>
          <t>NYSE</t>
        </is>
      </c>
      <c r="D2809" t="n">
        <v>61986</v>
      </c>
      <c r="E2809" t="inlineStr">
        <is>
          <t>SEC</t>
        </is>
      </c>
    </row>
    <row r="2810">
      <c r="A2810" s="5">
        <f>HYPERLINK("https://finance.yahoo.com/quote/PGC","PGC")</f>
        <v/>
      </c>
      <c r="B2810" t="inlineStr">
        <is>
          <t>PEAPACK GLADSTONE FINANCIAL CORP</t>
        </is>
      </c>
      <c r="C2810" t="inlineStr">
        <is>
          <t>Nasdaq</t>
        </is>
      </c>
      <c r="D2810" t="n">
        <v>1050743</v>
      </c>
      <c r="E2810" t="inlineStr">
        <is>
          <t>SEC</t>
        </is>
      </c>
    </row>
    <row r="2811">
      <c r="A2811" s="5">
        <f>HYPERLINK("https://finance.yahoo.com/quote/PSEC","PSEC")</f>
        <v/>
      </c>
      <c r="B2811" t="inlineStr">
        <is>
          <t>PROSPECT CAPITAL CORP</t>
        </is>
      </c>
      <c r="C2811" t="inlineStr">
        <is>
          <t>Nasdaq</t>
        </is>
      </c>
      <c r="D2811" t="n">
        <v>1287032</v>
      </c>
      <c r="E2811" t="inlineStr">
        <is>
          <t>SEC</t>
        </is>
      </c>
    </row>
    <row r="2812">
      <c r="A2812" s="5">
        <f>HYPERLINK("https://finance.yahoo.com/quote/FISI","FISI")</f>
        <v/>
      </c>
      <c r="B2812" t="inlineStr">
        <is>
          <t>FINANCIAL INSTITUTIONS INC</t>
        </is>
      </c>
      <c r="C2812" t="inlineStr">
        <is>
          <t>Nasdaq</t>
        </is>
      </c>
      <c r="D2812" t="n">
        <v>862831</v>
      </c>
      <c r="E2812" t="inlineStr">
        <is>
          <t>SEC</t>
        </is>
      </c>
    </row>
    <row r="2813">
      <c r="A2813" s="5">
        <f>HYPERLINK("https://finance.yahoo.com/quote/OBE","OBE")</f>
        <v/>
      </c>
      <c r="B2813" t="inlineStr">
        <is>
          <t>OBSIDIAN ENERGY LTD.</t>
        </is>
      </c>
      <c r="C2813" t="inlineStr">
        <is>
          <t>NYSE</t>
        </is>
      </c>
      <c r="D2813" t="n">
        <v>1334388</v>
      </c>
      <c r="E2813" t="inlineStr">
        <is>
          <t>SEC</t>
        </is>
      </c>
    </row>
    <row r="2814">
      <c r="A2814" s="5">
        <f>HYPERLINK("https://finance.yahoo.com/quote/AHCO","AHCO")</f>
        <v/>
      </c>
      <c r="B2814" t="inlineStr">
        <is>
          <t>AdaptHealth Corp.</t>
        </is>
      </c>
      <c r="C2814" t="inlineStr">
        <is>
          <t>Nasdaq</t>
        </is>
      </c>
      <c r="D2814" t="n">
        <v>1725255</v>
      </c>
      <c r="E2814" t="inlineStr">
        <is>
          <t>SEC</t>
        </is>
      </c>
    </row>
    <row r="2815">
      <c r="A2815" s="5">
        <f>HYPERLINK("https://finance.yahoo.com/quote/EVER","EVER")</f>
        <v/>
      </c>
      <c r="B2815" t="inlineStr">
        <is>
          <t>EverQuote, Inc.</t>
        </is>
      </c>
      <c r="C2815" t="inlineStr">
        <is>
          <t>Nasdaq</t>
        </is>
      </c>
      <c r="D2815" t="n">
        <v>1640428</v>
      </c>
      <c r="E2815" t="inlineStr">
        <is>
          <t>SEC</t>
        </is>
      </c>
    </row>
    <row r="2816">
      <c r="A2816" s="5">
        <f>HYPERLINK("https://finance.yahoo.com/quote/NAVI","NAVI")</f>
        <v/>
      </c>
      <c r="B2816" t="inlineStr">
        <is>
          <t>NAVIENT CORP</t>
        </is>
      </c>
      <c r="C2816" t="inlineStr">
        <is>
          <t>Nasdaq</t>
        </is>
      </c>
      <c r="D2816" t="n">
        <v>1593538</v>
      </c>
      <c r="E2816" t="inlineStr">
        <is>
          <t>SEC</t>
        </is>
      </c>
    </row>
    <row r="2817">
      <c r="A2817" s="5">
        <f>HYPERLINK("https://finance.yahoo.com/quote/HSHP","HSHP")</f>
        <v/>
      </c>
      <c r="B2817" t="inlineStr">
        <is>
          <t>Himalaya Shipping Ltd.</t>
        </is>
      </c>
      <c r="C2817" t="inlineStr">
        <is>
          <t>NYSE</t>
        </is>
      </c>
      <c r="D2817" t="n">
        <v>1959455</v>
      </c>
      <c r="E2817" t="inlineStr">
        <is>
          <t>SEC</t>
        </is>
      </c>
    </row>
    <row r="2818">
      <c r="A2818" s="5">
        <f>HYPERLINK("https://finance.yahoo.com/quote/VRTS","VRTS")</f>
        <v/>
      </c>
      <c r="B2818" t="inlineStr">
        <is>
          <t>VIRTUS INVESTMENT PARTNERS, INC.</t>
        </is>
      </c>
      <c r="C2818" t="inlineStr">
        <is>
          <t>NYSE</t>
        </is>
      </c>
      <c r="D2818" t="n">
        <v>883237</v>
      </c>
      <c r="E2818" t="inlineStr">
        <is>
          <t>SEC</t>
        </is>
      </c>
    </row>
    <row r="2819">
      <c r="A2819" s="5">
        <f>HYPERLINK("https://finance.yahoo.com/quote/ASM","ASM")</f>
        <v/>
      </c>
      <c r="B2819" t="inlineStr">
        <is>
          <t>AVINO SILVER &amp; GOLD MINES LTD</t>
        </is>
      </c>
      <c r="C2819" t="inlineStr">
        <is>
          <t>NYSE</t>
        </is>
      </c>
      <c r="D2819" t="n">
        <v>316888</v>
      </c>
      <c r="E2819" t="inlineStr">
        <is>
          <t>SEC</t>
        </is>
      </c>
    </row>
    <row r="2820">
      <c r="A2820" s="5">
        <f>HYPERLINK("https://finance.yahoo.com/quote/SAFE","SAFE")</f>
        <v/>
      </c>
      <c r="B2820" t="inlineStr">
        <is>
          <t>Safehold Inc.</t>
        </is>
      </c>
      <c r="C2820" t="inlineStr">
        <is>
          <t>NYSE</t>
        </is>
      </c>
      <c r="D2820" t="n">
        <v>1095651</v>
      </c>
      <c r="E2820" t="inlineStr">
        <is>
          <t>SEC</t>
        </is>
      </c>
    </row>
    <row r="2821">
      <c r="A2821" s="5">
        <f>HYPERLINK("https://finance.yahoo.com/quote/SVC","SVC")</f>
        <v/>
      </c>
      <c r="B2821" t="inlineStr">
        <is>
          <t>Service Properties Trust</t>
        </is>
      </c>
      <c r="C2821" t="inlineStr">
        <is>
          <t>Nasdaq</t>
        </is>
      </c>
      <c r="D2821" t="n">
        <v>945394</v>
      </c>
      <c r="E2821" t="inlineStr">
        <is>
          <t>SEC</t>
        </is>
      </c>
    </row>
    <row r="2822">
      <c r="A2822" s="5">
        <f>HYPERLINK("https://finance.yahoo.com/quote/FMC","FMC")</f>
        <v/>
      </c>
      <c r="B2822" t="inlineStr">
        <is>
          <t>FMC CORP</t>
        </is>
      </c>
      <c r="C2822" t="inlineStr">
        <is>
          <t>NYSE</t>
        </is>
      </c>
      <c r="D2822" t="n">
        <v>37785</v>
      </c>
      <c r="E2822" t="inlineStr">
        <is>
          <t>SEC</t>
        </is>
      </c>
    </row>
    <row r="2823">
      <c r="A2823" s="5">
        <f>HYPERLINK("https://finance.yahoo.com/quote/PLTK","PLTK")</f>
        <v/>
      </c>
      <c r="B2823" t="inlineStr">
        <is>
          <t>Playtika Holding Corp.</t>
        </is>
      </c>
      <c r="C2823" t="inlineStr">
        <is>
          <t>Nasdaq</t>
        </is>
      </c>
      <c r="D2823" t="n">
        <v>1828016</v>
      </c>
      <c r="E2823" t="inlineStr">
        <is>
          <t>SEC</t>
        </is>
      </c>
    </row>
    <row r="2824">
      <c r="A2824" s="5">
        <f>HYPERLINK("https://finance.yahoo.com/quote/BLMN","BLMN")</f>
        <v/>
      </c>
      <c r="B2824" t="inlineStr">
        <is>
          <t>Bloomin' Brands, Inc.</t>
        </is>
      </c>
      <c r="C2824" t="inlineStr">
        <is>
          <t>Nasdaq</t>
        </is>
      </c>
      <c r="D2824" t="n">
        <v>1546417</v>
      </c>
      <c r="E2824" t="inlineStr">
        <is>
          <t>SEC</t>
        </is>
      </c>
    </row>
    <row r="2825">
      <c r="A2825" s="5">
        <f>HYPERLINK("https://finance.yahoo.com/quote/AIO","AIO")</f>
        <v/>
      </c>
      <c r="B2825" t="inlineStr">
        <is>
          <t>Virtus Artificial Intelligence &amp; Technology Opportunities Fund</t>
        </is>
      </c>
      <c r="C2825" t="inlineStr">
        <is>
          <t>NYSE</t>
        </is>
      </c>
      <c r="D2825" t="n">
        <v>1778114</v>
      </c>
      <c r="E2825" t="inlineStr">
        <is>
          <t>SEC</t>
        </is>
      </c>
    </row>
    <row r="2826">
      <c r="A2826" s="5">
        <f>HYPERLINK("https://finance.yahoo.com/quote/HTLD","HTLD")</f>
        <v/>
      </c>
      <c r="B2826" t="inlineStr">
        <is>
          <t>HEARTLAND EXPRESS INC</t>
        </is>
      </c>
      <c r="C2826" t="inlineStr">
        <is>
          <t>Nasdaq</t>
        </is>
      </c>
      <c r="D2826" t="n">
        <v>799233</v>
      </c>
      <c r="E2826" t="inlineStr">
        <is>
          <t>SEC</t>
        </is>
      </c>
    </row>
    <row r="2827">
      <c r="A2827" s="5">
        <f>HYPERLINK("https://finance.yahoo.com/quote/SMBC","SMBC")</f>
        <v/>
      </c>
      <c r="B2827" t="inlineStr">
        <is>
          <t>SOUTHERN MISSOURI BANCORP, INC.</t>
        </is>
      </c>
      <c r="C2827" t="inlineStr">
        <is>
          <t>Nasdaq</t>
        </is>
      </c>
      <c r="D2827" t="n">
        <v>916907</v>
      </c>
      <c r="E2827" t="inlineStr">
        <is>
          <t>SEC</t>
        </is>
      </c>
    </row>
    <row r="2828">
      <c r="A2828" s="5">
        <f>HYPERLINK("https://finance.yahoo.com/quote/RJET","RJET")</f>
        <v/>
      </c>
      <c r="B2828" t="inlineStr">
        <is>
          <t>REPUBLIC AIRWAYS HOLDINGS INC.</t>
        </is>
      </c>
      <c r="C2828" t="inlineStr">
        <is>
          <t>Nasdaq</t>
        </is>
      </c>
      <c r="D2828" t="n">
        <v>810332</v>
      </c>
      <c r="E2828" t="inlineStr">
        <is>
          <t>SEC</t>
        </is>
      </c>
    </row>
    <row r="2829">
      <c r="A2829" s="5">
        <f>HYPERLINK("https://finance.yahoo.com/quote/TASK","TASK")</f>
        <v/>
      </c>
      <c r="B2829" t="inlineStr">
        <is>
          <t>TaskUs, Inc.</t>
        </is>
      </c>
      <c r="C2829" t="inlineStr">
        <is>
          <t>Nasdaq</t>
        </is>
      </c>
      <c r="D2829" t="n">
        <v>1829864</v>
      </c>
      <c r="E2829" t="inlineStr">
        <is>
          <t>SEC</t>
        </is>
      </c>
    </row>
    <row r="2830">
      <c r="A2830" s="5">
        <f>HYPERLINK("https://finance.yahoo.com/quote/TTI","TTI")</f>
        <v/>
      </c>
      <c r="B2830" t="inlineStr">
        <is>
          <t>TETRA TECHNOLOGIES INC</t>
        </is>
      </c>
      <c r="C2830" t="inlineStr">
        <is>
          <t>NYSE</t>
        </is>
      </c>
      <c r="D2830" t="n">
        <v>844965</v>
      </c>
      <c r="E2830" t="inlineStr">
        <is>
          <t>SEC</t>
        </is>
      </c>
    </row>
    <row r="2831">
      <c r="A2831" s="5">
        <f>HYPERLINK("https://finance.yahoo.com/quote/TXO","TXO")</f>
        <v/>
      </c>
      <c r="B2831" t="inlineStr">
        <is>
          <t>TXO Partners, L.P.</t>
        </is>
      </c>
      <c r="C2831" t="inlineStr">
        <is>
          <t>NYSE</t>
        </is>
      </c>
      <c r="D2831" t="n">
        <v>1559432</v>
      </c>
      <c r="E2831" t="inlineStr">
        <is>
          <t>SEC</t>
        </is>
      </c>
    </row>
    <row r="2832">
      <c r="A2832" s="5">
        <f>HYPERLINK("https://finance.yahoo.com/quote/EOI","EOI")</f>
        <v/>
      </c>
      <c r="B2832" t="inlineStr">
        <is>
          <t>Eaton Vance Enhanced Equity Income Fund</t>
        </is>
      </c>
      <c r="C2832" t="inlineStr">
        <is>
          <t>NYSE</t>
        </is>
      </c>
      <c r="D2832" t="n">
        <v>1300391</v>
      </c>
      <c r="E2832" t="inlineStr">
        <is>
          <t>SEC</t>
        </is>
      </c>
    </row>
    <row r="2833">
      <c r="A2833" s="5">
        <f>HYPERLINK("https://finance.yahoo.com/quote/ARDX","ARDX")</f>
        <v/>
      </c>
      <c r="B2833" t="inlineStr">
        <is>
          <t>ARDELYX, INC.</t>
        </is>
      </c>
      <c r="C2833" t="inlineStr">
        <is>
          <t>Nasdaq</t>
        </is>
      </c>
      <c r="D2833" t="n">
        <v>1437402</v>
      </c>
      <c r="E2833" t="inlineStr">
        <is>
          <t>SEC</t>
        </is>
      </c>
    </row>
    <row r="2834">
      <c r="A2834" s="5">
        <f>HYPERLINK("https://finance.yahoo.com/quote/APMD","APMD")</f>
        <v/>
      </c>
      <c r="B2834" t="inlineStr">
        <is>
          <t>Apnimed, Inc.</t>
        </is>
      </c>
      <c r="C2834" t="inlineStr">
        <is>
          <t>Nasdaq</t>
        </is>
      </c>
      <c r="D2834" t="n">
        <v>1745648</v>
      </c>
      <c r="E2834" t="inlineStr">
        <is>
          <t>SEC</t>
        </is>
      </c>
    </row>
    <row r="2835">
      <c r="A2835" s="5">
        <f>HYPERLINK("https://finance.yahoo.com/quote/GOOS","GOOS")</f>
        <v/>
      </c>
      <c r="B2835" t="inlineStr">
        <is>
          <t>Canada Goose Holdings Inc.</t>
        </is>
      </c>
      <c r="C2835" t="inlineStr">
        <is>
          <t>NYSE</t>
        </is>
      </c>
      <c r="D2835" t="n">
        <v>1690511</v>
      </c>
      <c r="E2835" t="inlineStr">
        <is>
          <t>SEC</t>
        </is>
      </c>
    </row>
    <row r="2836">
      <c r="A2836" s="5">
        <f>HYPERLINK("https://finance.yahoo.com/quote/PHR","PHR")</f>
        <v/>
      </c>
      <c r="B2836" t="inlineStr">
        <is>
          <t>Phreesia, Inc.</t>
        </is>
      </c>
      <c r="C2836" t="inlineStr">
        <is>
          <t>NYSE</t>
        </is>
      </c>
      <c r="D2836" t="n">
        <v>1412408</v>
      </c>
      <c r="E2836" t="inlineStr">
        <is>
          <t>SEC</t>
        </is>
      </c>
    </row>
    <row r="2837">
      <c r="A2837" s="5">
        <f>HYPERLINK("https://finance.yahoo.com/quote/PUBM","PUBM")</f>
        <v/>
      </c>
      <c r="B2837" t="inlineStr">
        <is>
          <t>PubMatic, Inc.</t>
        </is>
      </c>
      <c r="C2837" t="inlineStr">
        <is>
          <t>Nasdaq</t>
        </is>
      </c>
      <c r="D2837" t="n">
        <v>1422930</v>
      </c>
      <c r="E2837" t="inlineStr">
        <is>
          <t>SEC</t>
        </is>
      </c>
    </row>
    <row r="2838">
      <c r="A2838" s="5">
        <f>HYPERLINK("https://finance.yahoo.com/quote/JBSS","JBSS")</f>
        <v/>
      </c>
      <c r="B2838" t="inlineStr">
        <is>
          <t>SANFILIPPO JOHN B &amp; SON INC</t>
        </is>
      </c>
      <c r="C2838" t="inlineStr">
        <is>
          <t>Nasdaq</t>
        </is>
      </c>
      <c r="D2838" t="n">
        <v>880117</v>
      </c>
      <c r="E2838" t="inlineStr">
        <is>
          <t>SEC</t>
        </is>
      </c>
    </row>
    <row r="2839">
      <c r="A2839" s="5">
        <f>HYPERLINK("https://finance.yahoo.com/quote/VREX","VREX")</f>
        <v/>
      </c>
      <c r="B2839" t="inlineStr">
        <is>
          <t>Varex Imaging Corp</t>
        </is>
      </c>
      <c r="C2839" t="inlineStr">
        <is>
          <t>Nasdaq</t>
        </is>
      </c>
      <c r="D2839" t="n">
        <v>1681622</v>
      </c>
      <c r="E2839" t="inlineStr">
        <is>
          <t>SEC</t>
        </is>
      </c>
    </row>
    <row r="2840">
      <c r="A2840" s="5">
        <f>HYPERLINK("https://finance.yahoo.com/quote/CODI","CODI")</f>
        <v/>
      </c>
      <c r="B2840" t="inlineStr">
        <is>
          <t>Compass Diversified Holdings</t>
        </is>
      </c>
      <c r="C2840" t="inlineStr">
        <is>
          <t>NYSE</t>
        </is>
      </c>
      <c r="D2840" t="n">
        <v>1345126</v>
      </c>
      <c r="E2840" t="inlineStr">
        <is>
          <t>SEC</t>
        </is>
      </c>
    </row>
    <row r="2841">
      <c r="A2841" s="5">
        <f>HYPERLINK("https://finance.yahoo.com/quote/SPT","SPT")</f>
        <v/>
      </c>
      <c r="B2841" t="inlineStr">
        <is>
          <t>Sprout Social, Inc.</t>
        </is>
      </c>
      <c r="C2841" t="inlineStr">
        <is>
          <t>Nasdaq</t>
        </is>
      </c>
      <c r="D2841" t="n">
        <v>1517375</v>
      </c>
      <c r="E2841" t="inlineStr">
        <is>
          <t>SEC</t>
        </is>
      </c>
    </row>
    <row r="2842">
      <c r="A2842" s="5">
        <f>HYPERLINK("https://finance.yahoo.com/quote/SWIM","SWIM")</f>
        <v/>
      </c>
      <c r="B2842" t="inlineStr">
        <is>
          <t>Latham Group, Inc.</t>
        </is>
      </c>
      <c r="C2842" t="inlineStr">
        <is>
          <t>Nasdaq</t>
        </is>
      </c>
      <c r="D2842" t="n">
        <v>1833197</v>
      </c>
      <c r="E2842" t="inlineStr">
        <is>
          <t>SEC</t>
        </is>
      </c>
    </row>
    <row r="2843">
      <c r="A2843" s="5">
        <f>HYPERLINK("https://finance.yahoo.com/quote/SMWB","SMWB")</f>
        <v/>
      </c>
      <c r="B2843" t="inlineStr">
        <is>
          <t>SIMILARWEB LTD.</t>
        </is>
      </c>
      <c r="C2843" t="inlineStr">
        <is>
          <t>NYSE</t>
        </is>
      </c>
      <c r="D2843" t="n">
        <v>1842731</v>
      </c>
      <c r="E2843" t="inlineStr">
        <is>
          <t>SEC</t>
        </is>
      </c>
    </row>
    <row r="2844">
      <c r="A2844" s="5">
        <f>HYPERLINK("https://finance.yahoo.com/quote/GHM","GHM")</f>
        <v/>
      </c>
      <c r="B2844" t="inlineStr">
        <is>
          <t>GRAHAM CORP</t>
        </is>
      </c>
      <c r="C2844" t="inlineStr">
        <is>
          <t>NYSE</t>
        </is>
      </c>
      <c r="D2844" t="n">
        <v>716314</v>
      </c>
      <c r="E2844" t="inlineStr">
        <is>
          <t>SEC</t>
        </is>
      </c>
    </row>
    <row r="2845">
      <c r="A2845" s="5">
        <f>HYPERLINK("https://finance.yahoo.com/quote/GRNT","GRNT")</f>
        <v/>
      </c>
      <c r="B2845" t="inlineStr">
        <is>
          <t>Granite Ridge Resources, Inc.</t>
        </is>
      </c>
      <c r="C2845" t="inlineStr">
        <is>
          <t>NYSE</t>
        </is>
      </c>
      <c r="D2845" t="n">
        <v>1928446</v>
      </c>
      <c r="E2845" t="inlineStr">
        <is>
          <t>SEC</t>
        </is>
      </c>
    </row>
    <row r="2846">
      <c r="A2846" s="5">
        <f>HYPERLINK("https://finance.yahoo.com/quote/DCBO","DCBO")</f>
        <v/>
      </c>
      <c r="B2846" t="inlineStr">
        <is>
          <t>Docebo Inc.</t>
        </is>
      </c>
      <c r="C2846" t="inlineStr">
        <is>
          <t>Nasdaq</t>
        </is>
      </c>
      <c r="D2846" t="n">
        <v>1829959</v>
      </c>
      <c r="E2846" t="inlineStr">
        <is>
          <t>SEC</t>
        </is>
      </c>
    </row>
    <row r="2847">
      <c r="A2847" s="5">
        <f>HYPERLINK("https://finance.yahoo.com/quote/SKYH","SKYH")</f>
        <v/>
      </c>
      <c r="B2847" t="inlineStr">
        <is>
          <t>Sky Harbour Group Corp</t>
        </is>
      </c>
      <c r="C2847" t="inlineStr">
        <is>
          <t>NYSE</t>
        </is>
      </c>
      <c r="D2847" t="n">
        <v>1823587</v>
      </c>
      <c r="E2847" t="inlineStr">
        <is>
          <t>SEC</t>
        </is>
      </c>
    </row>
    <row r="2848">
      <c r="A2848" s="5">
        <f>HYPERLINK("https://finance.yahoo.com/quote/KRNGY","KRNGY")</f>
        <v/>
      </c>
      <c r="B2848" t="inlineStr">
        <is>
          <t>Karoon Gas Australia Ltd /ADR/</t>
        </is>
      </c>
      <c r="C2848" t="inlineStr">
        <is>
          <t>OTC</t>
        </is>
      </c>
      <c r="D2848" t="n">
        <v>1494191</v>
      </c>
      <c r="E2848" t="inlineStr">
        <is>
          <t>SEC</t>
        </is>
      </c>
    </row>
    <row r="2849">
      <c r="A2849" s="5">
        <f>HYPERLINK("https://finance.yahoo.com/quote/WRLD","WRLD")</f>
        <v/>
      </c>
      <c r="B2849" t="inlineStr">
        <is>
          <t>WORLD ACCEPTANCE CORP</t>
        </is>
      </c>
      <c r="C2849" t="inlineStr">
        <is>
          <t>Nasdaq</t>
        </is>
      </c>
      <c r="D2849" t="n">
        <v>108385</v>
      </c>
      <c r="E2849" t="inlineStr">
        <is>
          <t>SEC</t>
        </is>
      </c>
    </row>
    <row r="2850">
      <c r="A2850" s="5">
        <f>HYPERLINK("https://finance.yahoo.com/quote/JMIA","JMIA")</f>
        <v/>
      </c>
      <c r="B2850" t="inlineStr">
        <is>
          <t>Jumia Technologies AG</t>
        </is>
      </c>
      <c r="C2850" t="inlineStr">
        <is>
          <t>NYSE</t>
        </is>
      </c>
      <c r="D2850" t="n">
        <v>1756708</v>
      </c>
      <c r="E2850" t="inlineStr">
        <is>
          <t>SEC</t>
        </is>
      </c>
    </row>
    <row r="2851">
      <c r="A2851" s="5">
        <f>HYPERLINK("https://finance.yahoo.com/quote/VTS","VTS")</f>
        <v/>
      </c>
      <c r="B2851" t="inlineStr">
        <is>
          <t>Vitesse Energy, Inc.</t>
        </is>
      </c>
      <c r="C2851" t="inlineStr">
        <is>
          <t>NYSE</t>
        </is>
      </c>
      <c r="D2851" t="n">
        <v>1944558</v>
      </c>
      <c r="E2851" t="inlineStr">
        <is>
          <t>SEC</t>
        </is>
      </c>
    </row>
    <row r="2852">
      <c r="A2852" s="5">
        <f>HYPERLINK("https://finance.yahoo.com/quote/TRNS","TRNS")</f>
        <v/>
      </c>
      <c r="B2852" t="inlineStr">
        <is>
          <t>TRANSCAT INC</t>
        </is>
      </c>
      <c r="C2852" t="inlineStr">
        <is>
          <t>Nasdaq</t>
        </is>
      </c>
      <c r="D2852" t="n">
        <v>99302</v>
      </c>
      <c r="E2852" t="inlineStr">
        <is>
          <t>SEC</t>
        </is>
      </c>
    </row>
    <row r="2853">
      <c r="A2853" s="5">
        <f>HYPERLINK("https://finance.yahoo.com/quote/THQ","THQ")</f>
        <v/>
      </c>
      <c r="B2853" t="inlineStr">
        <is>
          <t>abrdn Healthcare Opportunities Fund</t>
        </is>
      </c>
      <c r="C2853" t="inlineStr">
        <is>
          <t>NYSE</t>
        </is>
      </c>
      <c r="D2853" t="n">
        <v>1604522</v>
      </c>
      <c r="E2853" t="inlineStr">
        <is>
          <t>SEC</t>
        </is>
      </c>
    </row>
    <row r="2854">
      <c r="A2854" s="5">
        <f>HYPERLINK("https://finance.yahoo.com/quote/BRAI","BRAI")</f>
        <v/>
      </c>
      <c r="B2854" t="inlineStr">
        <is>
          <t>Braiin Ltd</t>
        </is>
      </c>
      <c r="C2854" t="inlineStr">
        <is>
          <t>Nasdaq</t>
        </is>
      </c>
      <c r="D2854" t="n">
        <v>2076975</v>
      </c>
      <c r="E2854" t="inlineStr">
        <is>
          <t>SEC</t>
        </is>
      </c>
    </row>
    <row r="2855">
      <c r="A2855" s="5">
        <f>HYPERLINK("https://finance.yahoo.com/quote/SHBI","SHBI")</f>
        <v/>
      </c>
      <c r="B2855" t="inlineStr">
        <is>
          <t>SHORE BANCSHARES INC</t>
        </is>
      </c>
      <c r="C2855" t="inlineStr">
        <is>
          <t>Nasdaq</t>
        </is>
      </c>
      <c r="D2855" t="n">
        <v>1035092</v>
      </c>
      <c r="E2855" t="inlineStr">
        <is>
          <t>SEC</t>
        </is>
      </c>
    </row>
    <row r="2856">
      <c r="A2856" s="5">
        <f>HYPERLINK("https://finance.yahoo.com/quote/GPRK","GPRK")</f>
        <v/>
      </c>
      <c r="B2856" t="inlineStr">
        <is>
          <t>GeoPark Ltd</t>
        </is>
      </c>
      <c r="C2856" t="inlineStr">
        <is>
          <t>NYSE</t>
        </is>
      </c>
      <c r="D2856" t="n">
        <v>1464591</v>
      </c>
      <c r="E2856" t="inlineStr">
        <is>
          <t>SEC</t>
        </is>
      </c>
    </row>
    <row r="2857">
      <c r="A2857" s="5">
        <f>HYPERLINK("https://finance.yahoo.com/quote/IBCP","IBCP")</f>
        <v/>
      </c>
      <c r="B2857" t="inlineStr">
        <is>
          <t>INDEPENDENT BANK CORP /MI/</t>
        </is>
      </c>
      <c r="C2857" t="inlineStr">
        <is>
          <t>Nasdaq</t>
        </is>
      </c>
      <c r="D2857" t="n">
        <v>39311</v>
      </c>
      <c r="E2857" t="inlineStr">
        <is>
          <t>SEC</t>
        </is>
      </c>
    </row>
    <row r="2858">
      <c r="A2858" s="5">
        <f>HYPERLINK("https://finance.yahoo.com/quote/PHAR","PHAR")</f>
        <v/>
      </c>
      <c r="B2858" t="inlineStr">
        <is>
          <t>Pharming Group N.V.</t>
        </is>
      </c>
      <c r="C2858" t="inlineStr">
        <is>
          <t>Nasdaq</t>
        </is>
      </c>
      <c r="D2858" t="n">
        <v>1828316</v>
      </c>
      <c r="E2858" t="inlineStr">
        <is>
          <t>SEC</t>
        </is>
      </c>
    </row>
    <row r="2859">
      <c r="A2859" s="5">
        <f>HYPERLINK("https://finance.yahoo.com/quote/YSWY","YSWY")</f>
        <v/>
      </c>
      <c r="B2859" t="inlineStr">
        <is>
          <t>Yesway, Inc.</t>
        </is>
      </c>
      <c r="C2859" t="inlineStr">
        <is>
          <t>Nasdaq</t>
        </is>
      </c>
      <c r="D2859" t="n">
        <v>1859836</v>
      </c>
      <c r="E2859" t="inlineStr">
        <is>
          <t>SEC</t>
        </is>
      </c>
    </row>
    <row r="2860">
      <c r="A2860" s="5">
        <f>HYPERLINK("https://finance.yahoo.com/quote/AVEX","AVEX")</f>
        <v/>
      </c>
      <c r="B2860" t="inlineStr">
        <is>
          <t>AEVEX Corp.</t>
        </is>
      </c>
      <c r="C2860" t="inlineStr">
        <is>
          <t>NYSE</t>
        </is>
      </c>
      <c r="D2860" t="n">
        <v>2096300</v>
      </c>
      <c r="E2860" t="inlineStr">
        <is>
          <t>SEC</t>
        </is>
      </c>
    </row>
    <row r="2861">
      <c r="A2861" s="5">
        <f>HYPERLINK("https://finance.yahoo.com/quote/KRNT","KRNT")</f>
        <v/>
      </c>
      <c r="B2861" t="inlineStr">
        <is>
          <t>Kornit Digital Ltd.</t>
        </is>
      </c>
      <c r="C2861" t="inlineStr">
        <is>
          <t>Nasdaq</t>
        </is>
      </c>
      <c r="D2861" t="n">
        <v>1625791</v>
      </c>
      <c r="E2861" t="inlineStr">
        <is>
          <t>SEC</t>
        </is>
      </c>
    </row>
    <row r="2862">
      <c r="A2862" s="5">
        <f>HYPERLINK("https://finance.yahoo.com/quote/LAC","LAC")</f>
        <v/>
      </c>
      <c r="B2862" t="inlineStr">
        <is>
          <t>LITHIUM AMERICAS CORP.</t>
        </is>
      </c>
      <c r="C2862" t="inlineStr">
        <is>
          <t>NYSE</t>
        </is>
      </c>
      <c r="D2862" t="n">
        <v>1966983</v>
      </c>
      <c r="E2862" t="inlineStr">
        <is>
          <t>SEC</t>
        </is>
      </c>
    </row>
    <row r="2863">
      <c r="A2863" s="5">
        <f>HYPERLINK("https://finance.yahoo.com/quote/VINP","VINP")</f>
        <v/>
      </c>
      <c r="B2863" t="inlineStr">
        <is>
          <t>Vinci Compass Investments Ltd.</t>
        </is>
      </c>
      <c r="C2863" t="inlineStr">
        <is>
          <t>Nasdaq</t>
        </is>
      </c>
      <c r="D2863" t="n">
        <v>1826286</v>
      </c>
      <c r="E2863" t="inlineStr">
        <is>
          <t>SEC</t>
        </is>
      </c>
    </row>
    <row r="2864">
      <c r="A2864" s="5">
        <f>HYPERLINK("https://finance.yahoo.com/quote/PHK","PHK")</f>
        <v/>
      </c>
      <c r="B2864" t="inlineStr">
        <is>
          <t>PIMCO HIGH INCOME FUND</t>
        </is>
      </c>
      <c r="C2864" t="inlineStr">
        <is>
          <t>NYSE</t>
        </is>
      </c>
      <c r="D2864" t="n">
        <v>1219360</v>
      </c>
      <c r="E2864" t="inlineStr">
        <is>
          <t>SEC</t>
        </is>
      </c>
    </row>
    <row r="2865">
      <c r="A2865" s="5">
        <f>HYPERLINK("https://finance.yahoo.com/quote/HTB","HTB")</f>
        <v/>
      </c>
      <c r="B2865" t="inlineStr">
        <is>
          <t>HomeTrust Bancshares, Inc.</t>
        </is>
      </c>
      <c r="C2865" t="inlineStr">
        <is>
          <t>NYSE</t>
        </is>
      </c>
      <c r="D2865" t="n">
        <v>1538263</v>
      </c>
      <c r="E2865" t="inlineStr">
        <is>
          <t>SEC</t>
        </is>
      </c>
    </row>
    <row r="2866">
      <c r="A2866" s="5">
        <f>HYPERLINK("https://finance.yahoo.com/quote/APC","APC")</f>
        <v/>
      </c>
      <c r="B2866" t="inlineStr">
        <is>
          <t>ARKO Petroleum Corp.</t>
        </is>
      </c>
      <c r="C2866" t="inlineStr">
        <is>
          <t>Nasdaq</t>
        </is>
      </c>
      <c r="D2866" t="n">
        <v>2080921</v>
      </c>
      <c r="E2866" t="inlineStr">
        <is>
          <t>SEC</t>
        </is>
      </c>
    </row>
    <row r="2867">
      <c r="A2867" s="5">
        <f>HYPERLINK("https://finance.yahoo.com/quote/OSPN","OSPN")</f>
        <v/>
      </c>
      <c r="B2867" t="inlineStr">
        <is>
          <t>OneSpan Inc.</t>
        </is>
      </c>
      <c r="C2867" t="inlineStr">
        <is>
          <t>Nasdaq</t>
        </is>
      </c>
      <c r="D2867" t="n">
        <v>1044777</v>
      </c>
      <c r="E2867" t="inlineStr">
        <is>
          <t>SEC</t>
        </is>
      </c>
    </row>
    <row r="2868">
      <c r="A2868" s="5">
        <f>HYPERLINK("https://finance.yahoo.com/quote/TCGLF","TCGLF")</f>
        <v/>
      </c>
      <c r="B2868" t="inlineStr">
        <is>
          <t>TechCreate Group Ltd.</t>
        </is>
      </c>
      <c r="C2868" t="inlineStr">
        <is>
          <t>OTC</t>
        </is>
      </c>
      <c r="D2868" t="n">
        <v>2047190</v>
      </c>
      <c r="E2868" t="inlineStr">
        <is>
          <t>SEC</t>
        </is>
      </c>
    </row>
    <row r="2869">
      <c r="A2869" s="5">
        <f>HYPERLINK("https://finance.yahoo.com/quote/GCMG","GCMG")</f>
        <v/>
      </c>
      <c r="B2869" t="inlineStr">
        <is>
          <t>GCM Grosvenor Inc.</t>
        </is>
      </c>
      <c r="C2869" t="inlineStr">
        <is>
          <t>Nasdaq</t>
        </is>
      </c>
      <c r="D2869" t="n">
        <v>1819796</v>
      </c>
      <c r="E2869" t="inlineStr">
        <is>
          <t>SEC</t>
        </is>
      </c>
    </row>
    <row r="2870">
      <c r="A2870" s="5">
        <f>HYPERLINK("https://finance.yahoo.com/quote/OGG","OGG")</f>
        <v/>
      </c>
      <c r="B2870" t="inlineStr">
        <is>
          <t>Osisko Gold Group Inc.</t>
        </is>
      </c>
      <c r="C2870" t="inlineStr">
        <is>
          <t>NYSE</t>
        </is>
      </c>
      <c r="D2870" t="n">
        <v>1431852</v>
      </c>
      <c r="E2870" t="inlineStr">
        <is>
          <t>SEC</t>
        </is>
      </c>
    </row>
    <row r="2871">
      <c r="A2871" s="5">
        <f>HYPERLINK("https://finance.yahoo.com/quote/LYTS","LYTS")</f>
        <v/>
      </c>
      <c r="B2871" t="inlineStr">
        <is>
          <t>LSI INDUSTRIES INC</t>
        </is>
      </c>
      <c r="C2871" t="inlineStr">
        <is>
          <t>Nasdaq</t>
        </is>
      </c>
      <c r="D2871" t="n">
        <v>763532</v>
      </c>
      <c r="E2871" t="inlineStr">
        <is>
          <t>SEC</t>
        </is>
      </c>
    </row>
    <row r="2872">
      <c r="A2872" s="5">
        <f>HYPERLINK("https://finance.yahoo.com/quote/KOP","KOP")</f>
        <v/>
      </c>
      <c r="B2872" t="inlineStr">
        <is>
          <t>Koppers Holdings Inc.</t>
        </is>
      </c>
      <c r="C2872" t="inlineStr">
        <is>
          <t>NYSE</t>
        </is>
      </c>
      <c r="D2872" t="n">
        <v>1315257</v>
      </c>
      <c r="E2872" t="inlineStr">
        <is>
          <t>SEC</t>
        </is>
      </c>
    </row>
    <row r="2873">
      <c r="A2873" s="5">
        <f>HYPERLINK("https://finance.yahoo.com/quote/HTZ","HTZ")</f>
        <v/>
      </c>
      <c r="B2873" t="inlineStr">
        <is>
          <t>HERTZ GLOBAL HOLDINGS, INC</t>
        </is>
      </c>
      <c r="C2873" t="inlineStr">
        <is>
          <t>Nasdaq</t>
        </is>
      </c>
      <c r="D2873" t="n">
        <v>1657853</v>
      </c>
      <c r="E2873" t="inlineStr">
        <is>
          <t>SEC</t>
        </is>
      </c>
    </row>
    <row r="2874">
      <c r="A2874" s="5">
        <f>HYPERLINK("https://finance.yahoo.com/quote/VBNK","VBNK")</f>
        <v/>
      </c>
      <c r="B2874" t="inlineStr">
        <is>
          <t>VersaBank</t>
        </is>
      </c>
      <c r="C2874" t="inlineStr">
        <is>
          <t>Nasdaq</t>
        </is>
      </c>
      <c r="D2874" t="n">
        <v>1690639</v>
      </c>
      <c r="E2874" t="inlineStr">
        <is>
          <t>SEC</t>
        </is>
      </c>
    </row>
    <row r="2875">
      <c r="A2875" s="5">
        <f>HYPERLINK("https://finance.yahoo.com/quote/INN","INN")</f>
        <v/>
      </c>
      <c r="B2875" t="inlineStr">
        <is>
          <t>Summit Hotel Properties, Inc.</t>
        </is>
      </c>
      <c r="C2875" t="inlineStr">
        <is>
          <t>NYSE</t>
        </is>
      </c>
      <c r="D2875" t="n">
        <v>1497645</v>
      </c>
      <c r="E2875" t="inlineStr">
        <is>
          <t>SEC</t>
        </is>
      </c>
    </row>
    <row r="2876">
      <c r="A2876" s="5">
        <f>HYPERLINK("https://finance.yahoo.com/quote/MSSHY","MSSHY")</f>
        <v/>
      </c>
      <c r="B2876" t="inlineStr">
        <is>
          <t>Mitsui-Soko Holdings Co Limited/ADR</t>
        </is>
      </c>
      <c r="C2876" t="inlineStr">
        <is>
          <t>OTC</t>
        </is>
      </c>
      <c r="D2876" t="n">
        <v>2087844</v>
      </c>
      <c r="E2876" t="inlineStr">
        <is>
          <t>SEC</t>
        </is>
      </c>
    </row>
    <row r="2877">
      <c r="A2877" s="5">
        <f>HYPERLINK("https://finance.yahoo.com/quote/WLKP","WLKP")</f>
        <v/>
      </c>
      <c r="B2877" t="inlineStr">
        <is>
          <t>Westlake Chemical Partners LP</t>
        </is>
      </c>
      <c r="C2877" t="inlineStr">
        <is>
          <t>NYSE</t>
        </is>
      </c>
      <c r="D2877" t="n">
        <v>1604665</v>
      </c>
      <c r="E2877" t="inlineStr">
        <is>
          <t>SEC</t>
        </is>
      </c>
    </row>
    <row r="2878">
      <c r="A2878" s="5">
        <f>HYPERLINK("https://finance.yahoo.com/quote/COLL","COLL")</f>
        <v/>
      </c>
      <c r="B2878" t="inlineStr">
        <is>
          <t>COLLEGIUM PHARMACEUTICAL, INC</t>
        </is>
      </c>
      <c r="C2878" t="inlineStr">
        <is>
          <t>Nasdaq</t>
        </is>
      </c>
      <c r="D2878" t="n">
        <v>1267565</v>
      </c>
      <c r="E2878" t="inlineStr">
        <is>
          <t>SEC</t>
        </is>
      </c>
    </row>
    <row r="2879">
      <c r="A2879" s="5">
        <f>HYPERLINK("https://finance.yahoo.com/quote/HELP","HELP")</f>
        <v/>
      </c>
      <c r="B2879" t="inlineStr">
        <is>
          <t>Helus Pharma Inc.</t>
        </is>
      </c>
      <c r="C2879" t="inlineStr">
        <is>
          <t>Nasdaq</t>
        </is>
      </c>
      <c r="D2879" t="n">
        <v>1833141</v>
      </c>
      <c r="E2879" t="inlineStr">
        <is>
          <t>SEC</t>
        </is>
      </c>
    </row>
    <row r="2880">
      <c r="A2880" s="5">
        <f>HYPERLINK("https://finance.yahoo.com/quote/WASH","WASH")</f>
        <v/>
      </c>
      <c r="B2880" t="inlineStr">
        <is>
          <t>WASHINGTON TRUST BANCORP INC</t>
        </is>
      </c>
      <c r="C2880" t="inlineStr">
        <is>
          <t>Nasdaq</t>
        </is>
      </c>
      <c r="D2880" t="n">
        <v>737468</v>
      </c>
      <c r="E2880" t="inlineStr">
        <is>
          <t>SEC</t>
        </is>
      </c>
    </row>
    <row r="2881">
      <c r="A2881" s="5">
        <f>HYPERLINK("https://finance.yahoo.com/quote/ACDC","ACDC")</f>
        <v/>
      </c>
      <c r="B2881" t="inlineStr">
        <is>
          <t>ProFrac Holding Corp.</t>
        </is>
      </c>
      <c r="C2881" t="inlineStr">
        <is>
          <t>Nasdaq</t>
        </is>
      </c>
      <c r="D2881" t="n">
        <v>1881487</v>
      </c>
      <c r="E2881" t="inlineStr">
        <is>
          <t>SEC</t>
        </is>
      </c>
    </row>
    <row r="2882">
      <c r="A2882" s="5">
        <f>HYPERLINK("https://finance.yahoo.com/quote/CTO","CTO")</f>
        <v/>
      </c>
      <c r="B2882" t="inlineStr">
        <is>
          <t>CTO Realty Growth, Inc.</t>
        </is>
      </c>
      <c r="C2882" t="inlineStr">
        <is>
          <t>NYSE</t>
        </is>
      </c>
      <c r="D2882" t="n">
        <v>23795</v>
      </c>
      <c r="E2882" t="inlineStr">
        <is>
          <t>SEC</t>
        </is>
      </c>
    </row>
    <row r="2883">
      <c r="A2883" s="5">
        <f>HYPERLINK("https://finance.yahoo.com/quote/BTO","BTO")</f>
        <v/>
      </c>
      <c r="B2883" t="inlineStr">
        <is>
          <t>JOHN HANCOCK FINANCIAL OPPORTUNITIES FUND</t>
        </is>
      </c>
      <c r="C2883" t="inlineStr">
        <is>
          <t>NYSE</t>
        </is>
      </c>
      <c r="D2883" t="n">
        <v>925683</v>
      </c>
      <c r="E2883" t="inlineStr">
        <is>
          <t>SEC</t>
        </is>
      </c>
    </row>
    <row r="2884">
      <c r="A2884" s="5">
        <f>HYPERLINK("https://finance.yahoo.com/quote/BXBL","BXBL")</f>
        <v/>
      </c>
      <c r="B2884" t="inlineStr">
        <is>
          <t>BOXABL Inc.</t>
        </is>
      </c>
      <c r="C2884" t="inlineStr">
        <is>
          <t>Nasdaq</t>
        </is>
      </c>
      <c r="D2884" t="n">
        <v>1906364</v>
      </c>
      <c r="E2884" t="inlineStr">
        <is>
          <t>SEC</t>
        </is>
      </c>
    </row>
    <row r="2885">
      <c r="A2885" s="5">
        <f>HYPERLINK("https://finance.yahoo.com/quote/BUR","BUR")</f>
        <v/>
      </c>
      <c r="B2885" t="inlineStr">
        <is>
          <t>Burford Capital Ltd</t>
        </is>
      </c>
      <c r="C2885" t="inlineStr">
        <is>
          <t>NYSE</t>
        </is>
      </c>
      <c r="D2885" t="n">
        <v>1714174</v>
      </c>
      <c r="E2885" t="inlineStr">
        <is>
          <t>SEC</t>
        </is>
      </c>
    </row>
    <row r="2886">
      <c r="A2886" s="5">
        <f>HYPERLINK("https://finance.yahoo.com/quote/PAR","PAR")</f>
        <v/>
      </c>
      <c r="B2886" t="inlineStr">
        <is>
          <t>PAR TECHNOLOGY CORP</t>
        </is>
      </c>
      <c r="C2886" t="inlineStr">
        <is>
          <t>NYSE</t>
        </is>
      </c>
      <c r="D2886" t="n">
        <v>708821</v>
      </c>
      <c r="E2886" t="inlineStr">
        <is>
          <t>SEC</t>
        </is>
      </c>
    </row>
    <row r="2887">
      <c r="A2887" s="5">
        <f>HYPERLINK("https://finance.yahoo.com/quote/MEGI","MEGI")</f>
        <v/>
      </c>
      <c r="B2887" t="inlineStr">
        <is>
          <t>NYLIM CBRE Global Infrastructure Megatrends Term Fund</t>
        </is>
      </c>
      <c r="C2887" t="inlineStr">
        <is>
          <t>NYSE</t>
        </is>
      </c>
      <c r="D2887" t="n">
        <v>1855066</v>
      </c>
      <c r="E2887" t="inlineStr">
        <is>
          <t>SEC</t>
        </is>
      </c>
    </row>
    <row r="2888">
      <c r="A2888" s="5">
        <f>HYPERLINK("https://finance.yahoo.com/quote/FDUS","FDUS")</f>
        <v/>
      </c>
      <c r="B2888" t="inlineStr">
        <is>
          <t>FIDUS INVESTMENT Corp</t>
        </is>
      </c>
      <c r="C2888" t="inlineStr">
        <is>
          <t>Nasdaq</t>
        </is>
      </c>
      <c r="D2888" t="n">
        <v>1513363</v>
      </c>
      <c r="E2888" t="inlineStr">
        <is>
          <t>SEC</t>
        </is>
      </c>
    </row>
    <row r="2889">
      <c r="A2889" s="5">
        <f>HYPERLINK("https://finance.yahoo.com/quote/CVLG","CVLG")</f>
        <v/>
      </c>
      <c r="B2889" t="inlineStr">
        <is>
          <t>COVENANT LOGISTICS GROUP, INC.</t>
        </is>
      </c>
      <c r="C2889" t="inlineStr">
        <is>
          <t>NYSE</t>
        </is>
      </c>
      <c r="D2889" t="n">
        <v>928658</v>
      </c>
      <c r="E2889" t="inlineStr">
        <is>
          <t>SEC</t>
        </is>
      </c>
    </row>
    <row r="2890">
      <c r="A2890" s="5">
        <f>HYPERLINK("https://finance.yahoo.com/quote/FEIM","FEIM")</f>
        <v/>
      </c>
      <c r="B2890" t="inlineStr">
        <is>
          <t>FREQUENCY ELECTRONICS INC</t>
        </is>
      </c>
      <c r="C2890" t="inlineStr">
        <is>
          <t>Nasdaq</t>
        </is>
      </c>
      <c r="D2890" t="n">
        <v>39020</v>
      </c>
      <c r="E2890" t="inlineStr">
        <is>
          <t>SEC</t>
        </is>
      </c>
    </row>
    <row r="2891">
      <c r="A2891" s="5">
        <f>HYPERLINK("https://finance.yahoo.com/quote/TIGR","TIGR")</f>
        <v/>
      </c>
      <c r="B2891" t="inlineStr">
        <is>
          <t>UP Fintech Holding Ltd</t>
        </is>
      </c>
      <c r="C2891" t="inlineStr">
        <is>
          <t>Nasdaq</t>
        </is>
      </c>
      <c r="D2891" t="n">
        <v>1756699</v>
      </c>
      <c r="E2891" t="inlineStr">
        <is>
          <t>SEC</t>
        </is>
      </c>
    </row>
    <row r="2892">
      <c r="A2892" s="5">
        <f>HYPERLINK("https://finance.yahoo.com/quote/CRTO","CRTO")</f>
        <v/>
      </c>
      <c r="B2892" t="inlineStr">
        <is>
          <t>Criteo S.A.</t>
        </is>
      </c>
      <c r="C2892" t="inlineStr">
        <is>
          <t>Nasdaq</t>
        </is>
      </c>
      <c r="D2892" t="n">
        <v>1576427</v>
      </c>
      <c r="E2892" t="inlineStr">
        <is>
          <t>SEC</t>
        </is>
      </c>
    </row>
    <row r="2893">
      <c r="A2893" s="5">
        <f>HYPERLINK("https://finance.yahoo.com/quote/YEXT","YEXT")</f>
        <v/>
      </c>
      <c r="B2893" t="inlineStr">
        <is>
          <t>Yext, Inc.</t>
        </is>
      </c>
      <c r="C2893" t="inlineStr">
        <is>
          <t>NYSE</t>
        </is>
      </c>
      <c r="D2893" t="n">
        <v>1614178</v>
      </c>
      <c r="E2893" t="inlineStr">
        <is>
          <t>SEC</t>
        </is>
      </c>
    </row>
    <row r="2894">
      <c r="A2894" s="5">
        <f>HYPERLINK("https://finance.yahoo.com/quote/ADSE","ADSE")</f>
        <v/>
      </c>
      <c r="B2894" t="inlineStr">
        <is>
          <t>Ads-Tec Energy Public Ltd Co</t>
        </is>
      </c>
      <c r="C2894" t="inlineStr">
        <is>
          <t>Nasdaq</t>
        </is>
      </c>
      <c r="D2894" t="n">
        <v>1879248</v>
      </c>
      <c r="E2894" t="inlineStr">
        <is>
          <t>SEC</t>
        </is>
      </c>
    </row>
    <row r="2895">
      <c r="A2895" s="5">
        <f>HYPERLINK("https://finance.yahoo.com/quote/MNTN","MNTN")</f>
        <v/>
      </c>
      <c r="B2895" t="inlineStr">
        <is>
          <t>MNTN, Inc.</t>
        </is>
      </c>
      <c r="C2895" t="inlineStr">
        <is>
          <t>NYSE</t>
        </is>
      </c>
      <c r="D2895" t="n">
        <v>1891027</v>
      </c>
      <c r="E2895" t="inlineStr">
        <is>
          <t>SEC</t>
        </is>
      </c>
    </row>
    <row r="2896">
      <c r="A2896" s="5">
        <f>HYPERLINK("https://finance.yahoo.com/quote/RXT","RXT")</f>
        <v/>
      </c>
      <c r="B2896" t="inlineStr">
        <is>
          <t>Rackspace Technology, Inc.</t>
        </is>
      </c>
      <c r="C2896" t="inlineStr">
        <is>
          <t>Nasdaq</t>
        </is>
      </c>
      <c r="D2896" t="n">
        <v>1810019</v>
      </c>
      <c r="E2896" t="inlineStr">
        <is>
          <t>SEC</t>
        </is>
      </c>
    </row>
    <row r="2897">
      <c r="A2897" s="5">
        <f>HYPERLINK("https://finance.yahoo.com/quote/NGVC","NGVC")</f>
        <v/>
      </c>
      <c r="B2897" t="inlineStr">
        <is>
          <t>Natural Grocers by Vitamin Cottage, Inc.</t>
        </is>
      </c>
      <c r="C2897" t="inlineStr">
        <is>
          <t>NYSE</t>
        </is>
      </c>
      <c r="D2897" t="n">
        <v>1547459</v>
      </c>
      <c r="E2897" t="inlineStr">
        <is>
          <t>SEC</t>
        </is>
      </c>
    </row>
    <row r="2898">
      <c r="A2898" s="5">
        <f>HYPERLINK("https://finance.yahoo.com/quote/CGNT","CGNT")</f>
        <v/>
      </c>
      <c r="B2898" t="inlineStr">
        <is>
          <t>Cognyte Software Ltd.</t>
        </is>
      </c>
      <c r="C2898" t="inlineStr">
        <is>
          <t>Nasdaq</t>
        </is>
      </c>
      <c r="D2898" t="n">
        <v>1824814</v>
      </c>
      <c r="E2898" t="inlineStr">
        <is>
          <t>SEC</t>
        </is>
      </c>
    </row>
    <row r="2899">
      <c r="A2899" s="5">
        <f>HYPERLINK("https://finance.yahoo.com/quote/RGR","RGR")</f>
        <v/>
      </c>
      <c r="B2899" t="inlineStr">
        <is>
          <t>STURM RUGER &amp; CO INC</t>
        </is>
      </c>
      <c r="C2899" t="inlineStr">
        <is>
          <t>NYSE</t>
        </is>
      </c>
      <c r="D2899" t="n">
        <v>95029</v>
      </c>
      <c r="E2899" t="inlineStr">
        <is>
          <t>SEC</t>
        </is>
      </c>
    </row>
    <row r="2900">
      <c r="A2900" s="5">
        <f>HYPERLINK("https://finance.yahoo.com/quote/VPG","VPG")</f>
        <v/>
      </c>
      <c r="B2900" t="inlineStr">
        <is>
          <t>Vishay Precision Group, Inc.</t>
        </is>
      </c>
      <c r="C2900" t="inlineStr">
        <is>
          <t>NYSE</t>
        </is>
      </c>
      <c r="D2900" t="n">
        <v>1487952</v>
      </c>
      <c r="E2900" t="inlineStr">
        <is>
          <t>SEC</t>
        </is>
      </c>
    </row>
    <row r="2901">
      <c r="A2901" s="5">
        <f>HYPERLINK("https://finance.yahoo.com/quote/PRAA","PRAA")</f>
        <v/>
      </c>
      <c r="B2901" t="inlineStr">
        <is>
          <t>PRA GROUP INC</t>
        </is>
      </c>
      <c r="C2901" t="inlineStr">
        <is>
          <t>Nasdaq</t>
        </is>
      </c>
      <c r="D2901" t="n">
        <v>1185348</v>
      </c>
      <c r="E2901" t="inlineStr">
        <is>
          <t>SEC</t>
        </is>
      </c>
    </row>
    <row r="2902">
      <c r="A2902" s="5">
        <f>HYPERLINK("https://finance.yahoo.com/quote/MLAB","MLAB")</f>
        <v/>
      </c>
      <c r="B2902" t="inlineStr">
        <is>
          <t>MESA LABORATORIES INC /CO/</t>
        </is>
      </c>
      <c r="C2902" t="inlineStr">
        <is>
          <t>Nasdaq</t>
        </is>
      </c>
      <c r="D2902" t="n">
        <v>724004</v>
      </c>
      <c r="E2902" t="inlineStr">
        <is>
          <t>SEC</t>
        </is>
      </c>
    </row>
    <row r="2903">
      <c r="A2903" s="5">
        <f>HYPERLINK("https://finance.yahoo.com/quote/LXU","LXU")</f>
        <v/>
      </c>
      <c r="B2903" t="inlineStr">
        <is>
          <t>LSB INDUSTRIES, INC.</t>
        </is>
      </c>
      <c r="C2903" t="inlineStr">
        <is>
          <t>NYSE</t>
        </is>
      </c>
      <c r="D2903" t="n">
        <v>60714</v>
      </c>
      <c r="E2903" t="inlineStr">
        <is>
          <t>SEC</t>
        </is>
      </c>
    </row>
    <row r="2904">
      <c r="A2904" s="5">
        <f>HYPERLINK("https://finance.yahoo.com/quote/SUPV","SUPV")</f>
        <v/>
      </c>
      <c r="B2904" t="inlineStr">
        <is>
          <t>Grupo Supervielle S.A.</t>
        </is>
      </c>
      <c r="C2904" t="inlineStr">
        <is>
          <t>NYSE</t>
        </is>
      </c>
      <c r="D2904" t="n">
        <v>1517399</v>
      </c>
      <c r="E2904" t="inlineStr">
        <is>
          <t>SEC</t>
        </is>
      </c>
    </row>
    <row r="2905">
      <c r="A2905" s="5">
        <f>HYPERLINK("https://finance.yahoo.com/quote/STRW","STRW")</f>
        <v/>
      </c>
      <c r="B2905" t="inlineStr">
        <is>
          <t>Strawberry Fields REIT, Inc.</t>
        </is>
      </c>
      <c r="C2905" t="inlineStr">
        <is>
          <t>NYSE</t>
        </is>
      </c>
      <c r="D2905" t="n">
        <v>1782430</v>
      </c>
      <c r="E2905" t="inlineStr">
        <is>
          <t>SEC</t>
        </is>
      </c>
    </row>
    <row r="2906">
      <c r="A2906" s="5">
        <f>HYPERLINK("https://finance.yahoo.com/quote/CTKB","CTKB")</f>
        <v/>
      </c>
      <c r="B2906" t="inlineStr">
        <is>
          <t>Cytek Biosciences, Inc.</t>
        </is>
      </c>
      <c r="C2906" t="inlineStr">
        <is>
          <t>Nasdaq</t>
        </is>
      </c>
      <c r="D2906" t="n">
        <v>1831915</v>
      </c>
      <c r="E2906" t="inlineStr">
        <is>
          <t>SEC</t>
        </is>
      </c>
    </row>
    <row r="2907">
      <c r="A2907" s="5">
        <f>HYPERLINK("https://finance.yahoo.com/quote/AROW","AROW")</f>
        <v/>
      </c>
      <c r="B2907" t="inlineStr">
        <is>
          <t>ARROW FINANCIAL CORP</t>
        </is>
      </c>
      <c r="C2907" t="inlineStr">
        <is>
          <t>Nasdaq</t>
        </is>
      </c>
      <c r="D2907" t="n">
        <v>717538</v>
      </c>
      <c r="E2907" t="inlineStr">
        <is>
          <t>SEC</t>
        </is>
      </c>
    </row>
    <row r="2908">
      <c r="A2908" s="5">
        <f>HYPERLINK("https://finance.yahoo.com/quote/SLBT","SLBT")</f>
        <v/>
      </c>
      <c r="B2908" t="inlineStr">
        <is>
          <t>SL Science Holding Ltd</t>
        </is>
      </c>
      <c r="C2908" t="inlineStr">
        <is>
          <t>Nasdaq</t>
        </is>
      </c>
      <c r="D2908" t="n">
        <v>2070534</v>
      </c>
      <c r="E2908" t="inlineStr">
        <is>
          <t>SEC</t>
        </is>
      </c>
    </row>
    <row r="2909">
      <c r="A2909" s="5">
        <f>HYPERLINK("https://finance.yahoo.com/quote/RHNO","RHNO")</f>
        <v/>
      </c>
      <c r="B2909" t="inlineStr">
        <is>
          <t>RHINO BITCOIN INC.</t>
        </is>
      </c>
      <c r="C2909" t="inlineStr">
        <is>
          <t>OTC</t>
        </is>
      </c>
      <c r="D2909" t="n">
        <v>1785493</v>
      </c>
      <c r="E2909" t="inlineStr">
        <is>
          <t>SEC</t>
        </is>
      </c>
    </row>
    <row r="2910">
      <c r="A2910" s="5">
        <f>HYPERLINK("https://finance.yahoo.com/quote/BWMN","BWMN")</f>
        <v/>
      </c>
      <c r="B2910" t="inlineStr">
        <is>
          <t>Bowman Consulting Group Ltd.</t>
        </is>
      </c>
      <c r="C2910" t="inlineStr">
        <is>
          <t>Nasdaq</t>
        </is>
      </c>
      <c r="D2910" t="n">
        <v>1847590</v>
      </c>
      <c r="E2910" t="inlineStr">
        <is>
          <t>SEC</t>
        </is>
      </c>
    </row>
    <row r="2911">
      <c r="A2911" s="5">
        <f>HYPERLINK("https://finance.yahoo.com/quote/DC","DC")</f>
        <v/>
      </c>
      <c r="B2911" t="inlineStr">
        <is>
          <t>Dakota Gold Corp.</t>
        </is>
      </c>
      <c r="C2911" t="inlineStr">
        <is>
          <t>NYSE</t>
        </is>
      </c>
      <c r="D2911" t="n">
        <v>1852353</v>
      </c>
      <c r="E2911" t="inlineStr">
        <is>
          <t>SEC</t>
        </is>
      </c>
    </row>
    <row r="2912">
      <c r="A2912" s="5">
        <f>HYPERLINK("https://finance.yahoo.com/quote/SCHL","SCHL")</f>
        <v/>
      </c>
      <c r="B2912" t="inlineStr">
        <is>
          <t>SCHOLASTIC CORP</t>
        </is>
      </c>
      <c r="C2912" t="inlineStr">
        <is>
          <t>Nasdaq</t>
        </is>
      </c>
      <c r="D2912" t="n">
        <v>866729</v>
      </c>
      <c r="E2912" t="inlineStr">
        <is>
          <t>SEC</t>
        </is>
      </c>
    </row>
    <row r="2913">
      <c r="A2913" s="5">
        <f>HYPERLINK("https://finance.yahoo.com/quote/BKSY","BKSY")</f>
        <v/>
      </c>
      <c r="B2913" t="inlineStr">
        <is>
          <t>BlackSky Technology Inc.</t>
        </is>
      </c>
      <c r="C2913" t="inlineStr">
        <is>
          <t>NYSE</t>
        </is>
      </c>
      <c r="D2913" t="n">
        <v>1753539</v>
      </c>
      <c r="E2913" t="inlineStr">
        <is>
          <t>SEC</t>
        </is>
      </c>
    </row>
    <row r="2914">
      <c r="A2914" s="5">
        <f>HYPERLINK("https://finance.yahoo.com/quote/BCAL","BCAL")</f>
        <v/>
      </c>
      <c r="B2914" t="inlineStr">
        <is>
          <t>California BanCorp \ CA</t>
        </is>
      </c>
      <c r="C2914" t="inlineStr">
        <is>
          <t>Nasdaq</t>
        </is>
      </c>
      <c r="D2914" t="n">
        <v>1795815</v>
      </c>
      <c r="E2914" t="inlineStr">
        <is>
          <t>SEC</t>
        </is>
      </c>
    </row>
    <row r="2915">
      <c r="A2915" s="5">
        <f>HYPERLINK("https://finance.yahoo.com/quote/CARE","CARE")</f>
        <v/>
      </c>
      <c r="B2915" t="inlineStr">
        <is>
          <t>Carter Bankshares, Inc.</t>
        </is>
      </c>
      <c r="C2915" t="inlineStr">
        <is>
          <t>Nasdaq</t>
        </is>
      </c>
      <c r="D2915" t="n">
        <v>1829576</v>
      </c>
      <c r="E2915" t="inlineStr">
        <is>
          <t>SEC</t>
        </is>
      </c>
    </row>
    <row r="2916">
      <c r="A2916" s="5">
        <f>HYPERLINK("https://finance.yahoo.com/quote/AEVA","AEVA")</f>
        <v/>
      </c>
      <c r="B2916" t="inlineStr">
        <is>
          <t>Aeva Technologies, Inc.</t>
        </is>
      </c>
      <c r="C2916" t="inlineStr">
        <is>
          <t>Nasdaq</t>
        </is>
      </c>
      <c r="D2916" t="n">
        <v>1789029</v>
      </c>
      <c r="E2916" t="inlineStr">
        <is>
          <t>SEC</t>
        </is>
      </c>
    </row>
    <row r="2917">
      <c r="A2917" s="5">
        <f>HYPERLINK("https://finance.yahoo.com/quote/LAR","LAR")</f>
        <v/>
      </c>
      <c r="B2917" t="inlineStr">
        <is>
          <t>Lithium Argentina AG</t>
        </is>
      </c>
      <c r="C2917" t="inlineStr">
        <is>
          <t>NYSE</t>
        </is>
      </c>
      <c r="D2917" t="n">
        <v>1440972</v>
      </c>
      <c r="E2917" t="inlineStr">
        <is>
          <t>SEC</t>
        </is>
      </c>
    </row>
    <row r="2918">
      <c r="A2918" s="5">
        <f>HYPERLINK("https://finance.yahoo.com/quote/GERN","GERN")</f>
        <v/>
      </c>
      <c r="B2918" t="inlineStr">
        <is>
          <t>GERON CORP</t>
        </is>
      </c>
      <c r="C2918" t="inlineStr">
        <is>
          <t>Nasdaq</t>
        </is>
      </c>
      <c r="D2918" t="n">
        <v>886744</v>
      </c>
      <c r="E2918" t="inlineStr">
        <is>
          <t>SEC</t>
        </is>
      </c>
    </row>
    <row r="2919">
      <c r="A2919" s="5">
        <f>HYPERLINK("https://finance.yahoo.com/quote/CNNE","CNNE")</f>
        <v/>
      </c>
      <c r="B2919" t="inlineStr">
        <is>
          <t>Cannae Holdings, Inc.</t>
        </is>
      </c>
      <c r="C2919" t="inlineStr">
        <is>
          <t>NYSE</t>
        </is>
      </c>
      <c r="D2919" t="n">
        <v>1704720</v>
      </c>
      <c r="E2919" t="inlineStr">
        <is>
          <t>SEC</t>
        </is>
      </c>
    </row>
    <row r="2920">
      <c r="A2920" s="5">
        <f>HYPERLINK("https://finance.yahoo.com/quote/PFIS","PFIS")</f>
        <v/>
      </c>
      <c r="B2920" t="inlineStr">
        <is>
          <t>PEOPLES FINANCIAL SERVICES CORP.</t>
        </is>
      </c>
      <c r="C2920" t="inlineStr">
        <is>
          <t>Nasdaq</t>
        </is>
      </c>
      <c r="D2920" t="n">
        <v>1056943</v>
      </c>
      <c r="E2920" t="inlineStr">
        <is>
          <t>SEC</t>
        </is>
      </c>
    </row>
    <row r="2921">
      <c r="A2921" s="5">
        <f>HYPERLINK("https://finance.yahoo.com/quote/MALG","MALG")</f>
        <v/>
      </c>
      <c r="B2921" t="inlineStr">
        <is>
          <t>MICROALLIANCE GROUP INC.</t>
        </is>
      </c>
      <c r="C2921" t="inlineStr">
        <is>
          <t>OTC</t>
        </is>
      </c>
      <c r="D2921" t="n">
        <v>1309251</v>
      </c>
      <c r="E2921" t="inlineStr">
        <is>
          <t>SEC</t>
        </is>
      </c>
    </row>
    <row r="2922">
      <c r="A2922" s="5">
        <f>HYPERLINK("https://finance.yahoo.com/quote/TALMF","TALMF")</f>
        <v/>
      </c>
      <c r="B2922" t="inlineStr">
        <is>
          <t>Fuerte Metals Corp</t>
        </is>
      </c>
      <c r="C2922" t="inlineStr">
        <is>
          <t>OTC</t>
        </is>
      </c>
      <c r="D2922" t="n">
        <v>2001201</v>
      </c>
      <c r="E2922" t="inlineStr">
        <is>
          <t>SEC</t>
        </is>
      </c>
    </row>
    <row r="2923">
      <c r="A2923" s="5">
        <f>HYPERLINK("https://finance.yahoo.com/quote/CWBC","CWBC")</f>
        <v/>
      </c>
      <c r="B2923" t="inlineStr">
        <is>
          <t>Community West Bancshares</t>
        </is>
      </c>
      <c r="C2923" t="inlineStr">
        <is>
          <t>Nasdaq</t>
        </is>
      </c>
      <c r="D2923" t="n">
        <v>1127371</v>
      </c>
      <c r="E2923" t="inlineStr">
        <is>
          <t>SEC</t>
        </is>
      </c>
    </row>
    <row r="2924">
      <c r="A2924" s="5">
        <f>HYPERLINK("https://finance.yahoo.com/quote/MAKO","MAKO")</f>
        <v/>
      </c>
      <c r="B2924" t="inlineStr">
        <is>
          <t>Mako Mining Corp.</t>
        </is>
      </c>
      <c r="C2924" t="inlineStr">
        <is>
          <t>Nasdaq</t>
        </is>
      </c>
      <c r="D2924" t="n">
        <v>1784930</v>
      </c>
      <c r="E2924" t="inlineStr">
        <is>
          <t>SEC</t>
        </is>
      </c>
    </row>
    <row r="2925">
      <c r="A2925" s="5">
        <f>HYPERLINK("https://finance.yahoo.com/quote/CIM","CIM")</f>
        <v/>
      </c>
      <c r="B2925" t="inlineStr">
        <is>
          <t>CHIMERA INVESTMENT CORP</t>
        </is>
      </c>
      <c r="C2925" t="inlineStr">
        <is>
          <t>NYSE</t>
        </is>
      </c>
      <c r="D2925" t="n">
        <v>1409493</v>
      </c>
      <c r="E2925" t="inlineStr">
        <is>
          <t>SEC</t>
        </is>
      </c>
    </row>
    <row r="2926">
      <c r="A2926" s="5">
        <f>HYPERLINK("https://finance.yahoo.com/quote/QMCO","QMCO")</f>
        <v/>
      </c>
      <c r="B2926" t="inlineStr">
        <is>
          <t>QUANTUM CORP /DE/</t>
        </is>
      </c>
      <c r="C2926" t="inlineStr">
        <is>
          <t>Nasdaq</t>
        </is>
      </c>
      <c r="D2926" t="n">
        <v>709283</v>
      </c>
      <c r="E2926" t="inlineStr">
        <is>
          <t>SEC</t>
        </is>
      </c>
    </row>
    <row r="2927">
      <c r="A2927" s="5">
        <f>HYPERLINK("https://finance.yahoo.com/quote/ANNX","ANNX")</f>
        <v/>
      </c>
      <c r="B2927" t="inlineStr">
        <is>
          <t>Annexon, Inc.</t>
        </is>
      </c>
      <c r="C2927" t="inlineStr">
        <is>
          <t>Nasdaq</t>
        </is>
      </c>
      <c r="D2927" t="n">
        <v>1528115</v>
      </c>
      <c r="E2927" t="inlineStr">
        <is>
          <t>SEC</t>
        </is>
      </c>
    </row>
    <row r="2928">
      <c r="A2928" s="5">
        <f>HYPERLINK("https://finance.yahoo.com/quote/CGBD","CGBD")</f>
        <v/>
      </c>
      <c r="B2928" t="inlineStr">
        <is>
          <t>Carlyle Secured Lending, Inc.</t>
        </is>
      </c>
      <c r="C2928" t="inlineStr">
        <is>
          <t>Nasdaq</t>
        </is>
      </c>
      <c r="D2928" t="n">
        <v>1544206</v>
      </c>
      <c r="E2928" t="inlineStr">
        <is>
          <t>SEC</t>
        </is>
      </c>
    </row>
    <row r="2929">
      <c r="A2929" s="5">
        <f>HYPERLINK("https://finance.yahoo.com/quote/WOOF","WOOF")</f>
        <v/>
      </c>
      <c r="B2929" t="inlineStr">
        <is>
          <t>Petco Health &amp; Wellness Company, Inc.</t>
        </is>
      </c>
      <c r="C2929" t="inlineStr">
        <is>
          <t>Nasdaq</t>
        </is>
      </c>
      <c r="D2929" t="n">
        <v>1826470</v>
      </c>
      <c r="E2929" t="inlineStr">
        <is>
          <t>SEC</t>
        </is>
      </c>
    </row>
    <row r="2930">
      <c r="A2930" s="5">
        <f>HYPERLINK("https://finance.yahoo.com/quote/MOV","MOV")</f>
        <v/>
      </c>
      <c r="B2930" t="inlineStr">
        <is>
          <t>MOVADO GROUP INC</t>
        </is>
      </c>
      <c r="C2930" t="inlineStr">
        <is>
          <t>NYSE</t>
        </is>
      </c>
      <c r="D2930" t="n">
        <v>72573</v>
      </c>
      <c r="E2930" t="inlineStr">
        <is>
          <t>SEC</t>
        </is>
      </c>
    </row>
    <row r="2931">
      <c r="A2931" s="5">
        <f>HYPERLINK("https://finance.yahoo.com/quote/FUN","FUN")</f>
        <v/>
      </c>
      <c r="B2931" t="inlineStr">
        <is>
          <t>Six Flags Entertainment Corporation/NEW</t>
        </is>
      </c>
      <c r="C2931" t="inlineStr">
        <is>
          <t>NYSE</t>
        </is>
      </c>
      <c r="D2931" t="n">
        <v>1999001</v>
      </c>
      <c r="E2931" t="inlineStr">
        <is>
          <t>SEC</t>
        </is>
      </c>
    </row>
    <row r="2932">
      <c r="A2932" s="5">
        <f>HYPERLINK("https://finance.yahoo.com/quote/DGICA","DGICA")</f>
        <v/>
      </c>
      <c r="B2932" t="inlineStr">
        <is>
          <t>DONEGAL GROUP INC</t>
        </is>
      </c>
      <c r="C2932" t="inlineStr">
        <is>
          <t>Nasdaq</t>
        </is>
      </c>
      <c r="D2932" t="n">
        <v>800457</v>
      </c>
      <c r="E2932" t="inlineStr">
        <is>
          <t>SEC</t>
        </is>
      </c>
    </row>
    <row r="2933">
      <c r="A2933" s="5">
        <f>HYPERLINK("https://finance.yahoo.com/quote/FINV","FINV")</f>
        <v/>
      </c>
      <c r="B2933" t="inlineStr">
        <is>
          <t>FinVolution Group</t>
        </is>
      </c>
      <c r="C2933" t="inlineStr">
        <is>
          <t>NYSE</t>
        </is>
      </c>
      <c r="D2933" t="n">
        <v>1691445</v>
      </c>
      <c r="E2933" t="inlineStr">
        <is>
          <t>SEC</t>
        </is>
      </c>
    </row>
    <row r="2934">
      <c r="A2934" s="5">
        <f>HYPERLINK("https://finance.yahoo.com/quote/GDOT","GDOT")</f>
        <v/>
      </c>
      <c r="B2934" t="inlineStr">
        <is>
          <t>GREEN DOT CORP</t>
        </is>
      </c>
      <c r="C2934" t="inlineStr">
        <is>
          <t>NYSE</t>
        </is>
      </c>
      <c r="D2934" t="n">
        <v>1386278</v>
      </c>
      <c r="E2934" t="inlineStr">
        <is>
          <t>SEC</t>
        </is>
      </c>
    </row>
    <row r="2935">
      <c r="A2935" s="5">
        <f>HYPERLINK("https://finance.yahoo.com/quote/NRDS","NRDS")</f>
        <v/>
      </c>
      <c r="B2935" t="inlineStr">
        <is>
          <t>NERDWALLET, INC.</t>
        </is>
      </c>
      <c r="C2935" t="inlineStr">
        <is>
          <t>Nasdaq</t>
        </is>
      </c>
      <c r="D2935" t="n">
        <v>1625278</v>
      </c>
      <c r="E2935" t="inlineStr">
        <is>
          <t>SEC</t>
        </is>
      </c>
    </row>
    <row r="2936">
      <c r="A2936" s="5">
        <f>HYPERLINK("https://finance.yahoo.com/quote/ADAM","ADAM")</f>
        <v/>
      </c>
      <c r="B2936" t="inlineStr">
        <is>
          <t>ADAMAS TRUST, INC.</t>
        </is>
      </c>
      <c r="C2936" t="inlineStr">
        <is>
          <t>Nasdaq</t>
        </is>
      </c>
      <c r="D2936" t="n">
        <v>1273685</v>
      </c>
      <c r="E2936" t="inlineStr">
        <is>
          <t>SEC</t>
        </is>
      </c>
    </row>
    <row r="2937">
      <c r="A2937" s="5">
        <f>HYPERLINK("https://finance.yahoo.com/quote/CAZGF","CAZGF")</f>
        <v/>
      </c>
      <c r="B2937" t="inlineStr">
        <is>
          <t>Catapult Group International Ltd</t>
        </is>
      </c>
      <c r="C2937" t="inlineStr">
        <is>
          <t>OTC</t>
        </is>
      </c>
      <c r="D2937" t="n">
        <v>2074220</v>
      </c>
      <c r="E2937" t="inlineStr">
        <is>
          <t>SEC</t>
        </is>
      </c>
    </row>
    <row r="2938">
      <c r="A2938" s="5">
        <f>HYPERLINK("https://finance.yahoo.com/quote/BALY","BALY")</f>
        <v/>
      </c>
      <c r="B2938" t="inlineStr">
        <is>
          <t>Bally's Corp</t>
        </is>
      </c>
      <c r="C2938" t="inlineStr">
        <is>
          <t>NYSE</t>
        </is>
      </c>
      <c r="D2938" t="n">
        <v>1747079</v>
      </c>
      <c r="E2938" t="inlineStr">
        <is>
          <t>SEC</t>
        </is>
      </c>
    </row>
    <row r="2939">
      <c r="A2939" s="5">
        <f>HYPERLINK("https://finance.yahoo.com/quote/LOGC","LOGC")</f>
        <v/>
      </c>
      <c r="B2939" t="inlineStr">
        <is>
          <t>ContextLogic Holdings Inc.</t>
        </is>
      </c>
      <c r="C2939" t="inlineStr">
        <is>
          <t>OTC</t>
        </is>
      </c>
      <c r="D2939" t="n">
        <v>2064307</v>
      </c>
      <c r="E2939" t="inlineStr">
        <is>
          <t>SEC</t>
        </is>
      </c>
    </row>
    <row r="2940">
      <c r="A2940" s="5">
        <f>HYPERLINK("https://finance.yahoo.com/quote/SANA","SANA")</f>
        <v/>
      </c>
      <c r="B2940" t="inlineStr">
        <is>
          <t>Sana Biotechnology, Inc.</t>
        </is>
      </c>
      <c r="C2940" t="inlineStr">
        <is>
          <t>Nasdaq</t>
        </is>
      </c>
      <c r="D2940" t="n">
        <v>1770121</v>
      </c>
      <c r="E2940" t="inlineStr">
        <is>
          <t>SEC</t>
        </is>
      </c>
    </row>
    <row r="2941">
      <c r="A2941" s="5">
        <f>HYPERLINK("https://finance.yahoo.com/quote/CASS","CASS")</f>
        <v/>
      </c>
      <c r="B2941" t="inlineStr">
        <is>
          <t>CASS INFORMATION SYSTEMS INC</t>
        </is>
      </c>
      <c r="C2941" t="inlineStr">
        <is>
          <t>Nasdaq</t>
        </is>
      </c>
      <c r="D2941" t="n">
        <v>708781</v>
      </c>
      <c r="E2941" t="inlineStr">
        <is>
          <t>SEC</t>
        </is>
      </c>
    </row>
    <row r="2942">
      <c r="A2942" s="5">
        <f>HYPERLINK("https://finance.yahoo.com/quote/GDYN","GDYN")</f>
        <v/>
      </c>
      <c r="B2942" t="inlineStr">
        <is>
          <t>GRID DYNAMICS HOLDINGS, INC.</t>
        </is>
      </c>
      <c r="C2942" t="inlineStr">
        <is>
          <t>Nasdaq</t>
        </is>
      </c>
      <c r="D2942" t="n">
        <v>1743725</v>
      </c>
      <c r="E2942" t="inlineStr">
        <is>
          <t>SEC</t>
        </is>
      </c>
    </row>
    <row r="2943">
      <c r="A2943" s="5">
        <f>HYPERLINK("https://finance.yahoo.com/quote/DQ","DQ")</f>
        <v/>
      </c>
      <c r="B2943" t="inlineStr">
        <is>
          <t>DAQO NEW ENERGY CORP.</t>
        </is>
      </c>
      <c r="C2943" t="inlineStr">
        <is>
          <t>NYSE</t>
        </is>
      </c>
      <c r="D2943" t="n">
        <v>1477641</v>
      </c>
      <c r="E2943" t="inlineStr">
        <is>
          <t>SEC</t>
        </is>
      </c>
    </row>
    <row r="2944">
      <c r="A2944" s="5">
        <f>HYPERLINK("https://finance.yahoo.com/quote/TE","TE")</f>
        <v/>
      </c>
      <c r="B2944" t="inlineStr">
        <is>
          <t>T1 Energy Inc.</t>
        </is>
      </c>
      <c r="C2944" t="inlineStr">
        <is>
          <t>NYSE</t>
        </is>
      </c>
      <c r="D2944" t="n">
        <v>1992243</v>
      </c>
      <c r="E2944" t="inlineStr">
        <is>
          <t>SEC</t>
        </is>
      </c>
    </row>
    <row r="2945">
      <c r="A2945" s="5">
        <f>HYPERLINK("https://finance.yahoo.com/quote/FFC","FFC")</f>
        <v/>
      </c>
      <c r="B2945" t="inlineStr">
        <is>
          <t>Flaherty &amp; Crumrine PREFERRED &amp; INCOME SECURITIES FUND INC</t>
        </is>
      </c>
      <c r="C2945" t="inlineStr">
        <is>
          <t>NYSE</t>
        </is>
      </c>
      <c r="D2945" t="n">
        <v>1174164</v>
      </c>
      <c r="E2945" t="inlineStr">
        <is>
          <t>SEC</t>
        </is>
      </c>
    </row>
    <row r="2946">
      <c r="A2946" s="5">
        <f>HYPERLINK("https://finance.yahoo.com/quote/AGNT","AGNT")</f>
        <v/>
      </c>
      <c r="B2946" t="inlineStr">
        <is>
          <t>AGNT, Inc.</t>
        </is>
      </c>
      <c r="C2946" t="inlineStr">
        <is>
          <t>Nasdaq</t>
        </is>
      </c>
      <c r="D2946" t="n">
        <v>1495932</v>
      </c>
      <c r="E2946" t="inlineStr">
        <is>
          <t>SEC</t>
        </is>
      </c>
    </row>
    <row r="2947">
      <c r="A2947" s="5">
        <f>HYPERLINK("https://finance.yahoo.com/quote/CCB","CCB")</f>
        <v/>
      </c>
      <c r="B2947" t="inlineStr">
        <is>
          <t>COASTAL FINANCIAL CORP</t>
        </is>
      </c>
      <c r="C2947" t="inlineStr">
        <is>
          <t>Nasdaq</t>
        </is>
      </c>
      <c r="D2947" t="n">
        <v>1437958</v>
      </c>
      <c r="E2947" t="inlineStr">
        <is>
          <t>SEC</t>
        </is>
      </c>
    </row>
    <row r="2948">
      <c r="A2948" s="5">
        <f>HYPERLINK("https://finance.yahoo.com/quote/TRON","TRON")</f>
        <v/>
      </c>
      <c r="B2948" t="inlineStr">
        <is>
          <t>Tron Inc.</t>
        </is>
      </c>
      <c r="C2948" t="inlineStr">
        <is>
          <t>Nasdaq</t>
        </is>
      </c>
      <c r="D2948" t="n">
        <v>1956744</v>
      </c>
      <c r="E2948" t="inlineStr">
        <is>
          <t>SEC</t>
        </is>
      </c>
    </row>
    <row r="2949">
      <c r="A2949" s="5">
        <f>HYPERLINK("https://finance.yahoo.com/quote/MFIC","MFIC")</f>
        <v/>
      </c>
      <c r="B2949" t="inlineStr">
        <is>
          <t>MidCap Financial Investment Corp</t>
        </is>
      </c>
      <c r="C2949" t="inlineStr">
        <is>
          <t>Nasdaq</t>
        </is>
      </c>
      <c r="D2949" t="n">
        <v>1278752</v>
      </c>
      <c r="E2949" t="inlineStr">
        <is>
          <t>SEC</t>
        </is>
      </c>
    </row>
    <row r="2950">
      <c r="A2950" s="5">
        <f>HYPERLINK("https://finance.yahoo.com/quote/MG","MG")</f>
        <v/>
      </c>
      <c r="B2950" t="inlineStr">
        <is>
          <t>Mistras Group, Inc.</t>
        </is>
      </c>
      <c r="C2950" t="inlineStr">
        <is>
          <t>NYSE</t>
        </is>
      </c>
      <c r="D2950" t="n">
        <v>1436126</v>
      </c>
      <c r="E2950" t="inlineStr">
        <is>
          <t>SEC</t>
        </is>
      </c>
    </row>
    <row r="2951">
      <c r="A2951" s="5">
        <f>HYPERLINK("https://finance.yahoo.com/quote/IAM","IAM")</f>
        <v/>
      </c>
      <c r="B2951" t="inlineStr">
        <is>
          <t>Iambic Therapeutics, Inc.</t>
        </is>
      </c>
      <c r="C2951" t="inlineStr">
        <is>
          <t>Nasdaq</t>
        </is>
      </c>
      <c r="D2951" t="n">
        <v>1997038</v>
      </c>
      <c r="E2951" t="inlineStr">
        <is>
          <t>SEC</t>
        </is>
      </c>
    </row>
    <row r="2952">
      <c r="A2952" s="5">
        <f>HYPERLINK("https://finance.yahoo.com/quote/VTEX","VTEX")</f>
        <v/>
      </c>
      <c r="B2952" t="inlineStr">
        <is>
          <t>VTEX</t>
        </is>
      </c>
      <c r="C2952" t="inlineStr">
        <is>
          <t>NYSE</t>
        </is>
      </c>
      <c r="D2952" t="n">
        <v>1793663</v>
      </c>
      <c r="E2952" t="inlineStr">
        <is>
          <t>SEC</t>
        </is>
      </c>
    </row>
    <row r="2953">
      <c r="A2953" s="5">
        <f>HYPERLINK("https://finance.yahoo.com/quote/RCAT","RCAT")</f>
        <v/>
      </c>
      <c r="B2953" t="inlineStr">
        <is>
          <t>Red Cat Holdings, Inc.</t>
        </is>
      </c>
      <c r="C2953" t="inlineStr">
        <is>
          <t>Nasdaq</t>
        </is>
      </c>
      <c r="D2953" t="n">
        <v>748268</v>
      </c>
      <c r="E2953" t="inlineStr">
        <is>
          <t>SEC</t>
        </is>
      </c>
    </row>
    <row r="2954">
      <c r="A2954" s="5">
        <f>HYPERLINK("https://finance.yahoo.com/quote/CLDT","CLDT")</f>
        <v/>
      </c>
      <c r="B2954" t="inlineStr">
        <is>
          <t>Chatham Lodging Trust</t>
        </is>
      </c>
      <c r="C2954" t="inlineStr">
        <is>
          <t>NYSE</t>
        </is>
      </c>
      <c r="D2954" t="n">
        <v>1476045</v>
      </c>
      <c r="E2954" t="inlineStr">
        <is>
          <t>SEC</t>
        </is>
      </c>
    </row>
    <row r="2955">
      <c r="A2955" s="5">
        <f>HYPERLINK("https://finance.yahoo.com/quote/WHK","WHK")</f>
        <v/>
      </c>
      <c r="B2955" t="inlineStr">
        <is>
          <t>WhiteHawk Minerals Corp.</t>
        </is>
      </c>
      <c r="C2955" t="inlineStr">
        <is>
          <t>NYSE</t>
        </is>
      </c>
      <c r="D2955" t="n">
        <v>1921603</v>
      </c>
      <c r="E2955" t="inlineStr">
        <is>
          <t>SEC</t>
        </is>
      </c>
    </row>
    <row r="2956">
      <c r="A2956" s="5">
        <f>HYPERLINK("https://finance.yahoo.com/quote/BUI","BUI")</f>
        <v/>
      </c>
      <c r="B2956" t="inlineStr">
        <is>
          <t>BlackRock Utilities, Infrastructure &amp; Power Opportunities Trust</t>
        </is>
      </c>
      <c r="C2956" t="inlineStr">
        <is>
          <t>NYSE</t>
        </is>
      </c>
      <c r="D2956" t="n">
        <v>1528988</v>
      </c>
      <c r="E2956" t="inlineStr">
        <is>
          <t>SEC</t>
        </is>
      </c>
    </row>
    <row r="2957">
      <c r="A2957" s="5">
        <f>HYPERLINK("https://finance.yahoo.com/quote/STLN","STLN")</f>
        <v/>
      </c>
      <c r="B2957" t="inlineStr">
        <is>
          <t>Starling Oncology, Inc.</t>
        </is>
      </c>
      <c r="C2957" t="inlineStr">
        <is>
          <t>Nasdaq</t>
        </is>
      </c>
      <c r="D2957" t="n">
        <v>1799191</v>
      </c>
      <c r="E2957" t="inlineStr">
        <is>
          <t>SEC</t>
        </is>
      </c>
    </row>
    <row r="2958">
      <c r="A2958" s="5">
        <f>HYPERLINK("https://finance.yahoo.com/quote/LINC","LINC")</f>
        <v/>
      </c>
      <c r="B2958" t="inlineStr">
        <is>
          <t>LINCOLN EDUCATIONAL SERVICES CORP</t>
        </is>
      </c>
      <c r="C2958" t="inlineStr">
        <is>
          <t>Nasdaq</t>
        </is>
      </c>
      <c r="D2958" t="n">
        <v>1286613</v>
      </c>
      <c r="E2958" t="inlineStr">
        <is>
          <t>SEC</t>
        </is>
      </c>
    </row>
    <row r="2959">
      <c r="A2959" s="5">
        <f>HYPERLINK("https://finance.yahoo.com/quote/EGY","EGY")</f>
        <v/>
      </c>
      <c r="B2959" t="inlineStr">
        <is>
          <t>VAALCO ENERGY INC /DE/</t>
        </is>
      </c>
      <c r="C2959" t="inlineStr">
        <is>
          <t>NYSE</t>
        </is>
      </c>
      <c r="D2959" t="n">
        <v>894627</v>
      </c>
      <c r="E2959" t="inlineStr">
        <is>
          <t>SEC</t>
        </is>
      </c>
    </row>
    <row r="2960">
      <c r="A2960" s="5">
        <f>HYPERLINK("https://finance.yahoo.com/quote/RMT","RMT")</f>
        <v/>
      </c>
      <c r="B2960" t="inlineStr">
        <is>
          <t>ROYCE MICRO-CAP TRUST, INC.</t>
        </is>
      </c>
      <c r="C2960" t="inlineStr">
        <is>
          <t>NYSE</t>
        </is>
      </c>
      <c r="D2960" t="n">
        <v>912147</v>
      </c>
      <c r="E2960" t="inlineStr">
        <is>
          <t>SEC</t>
        </is>
      </c>
    </row>
    <row r="2961">
      <c r="A2961" s="5">
        <f>HYPERLINK("https://finance.yahoo.com/quote/MTA","MTA")</f>
        <v/>
      </c>
      <c r="B2961" t="inlineStr">
        <is>
          <t>Metalla Royalty &amp; Streaming Ltd.</t>
        </is>
      </c>
      <c r="C2961" t="inlineStr">
        <is>
          <t>NYSE</t>
        </is>
      </c>
      <c r="D2961" t="n">
        <v>1722606</v>
      </c>
      <c r="E2961" t="inlineStr">
        <is>
          <t>SEC</t>
        </is>
      </c>
    </row>
    <row r="2962">
      <c r="A2962" s="5">
        <f>HYPERLINK("https://finance.yahoo.com/quote/RRBI","RRBI")</f>
        <v/>
      </c>
      <c r="B2962" t="inlineStr">
        <is>
          <t>RED RIVER BANCSHARES INC</t>
        </is>
      </c>
      <c r="C2962" t="inlineStr">
        <is>
          <t>Nasdaq</t>
        </is>
      </c>
      <c r="D2962" t="n">
        <v>1071236</v>
      </c>
      <c r="E2962" t="inlineStr">
        <is>
          <t>SEC</t>
        </is>
      </c>
    </row>
    <row r="2963">
      <c r="A2963" s="5">
        <f>HYPERLINK("https://finance.yahoo.com/quote/MSBI","MSBI")</f>
        <v/>
      </c>
      <c r="B2963" t="inlineStr">
        <is>
          <t>Midland States Bancorp, Inc.</t>
        </is>
      </c>
      <c r="C2963" t="inlineStr">
        <is>
          <t>Nasdaq</t>
        </is>
      </c>
      <c r="D2963" t="n">
        <v>1466026</v>
      </c>
      <c r="E2963" t="inlineStr">
        <is>
          <t>SEC</t>
        </is>
      </c>
    </row>
    <row r="2964">
      <c r="A2964" s="5">
        <f>HYPERLINK("https://finance.yahoo.com/quote/BHB","BHB")</f>
        <v/>
      </c>
      <c r="B2964" t="inlineStr">
        <is>
          <t>BAR HARBOR BANKSHARES</t>
        </is>
      </c>
      <c r="C2964" t="inlineStr">
        <is>
          <t>NYSE</t>
        </is>
      </c>
      <c r="D2964" t="n">
        <v>743367</v>
      </c>
      <c r="E2964" t="inlineStr">
        <is>
          <t>SEC</t>
        </is>
      </c>
    </row>
    <row r="2965">
      <c r="A2965" s="5">
        <f>HYPERLINK("https://finance.yahoo.com/quote/CCSI","CCSI")</f>
        <v/>
      </c>
      <c r="B2965" t="inlineStr">
        <is>
          <t>Consensus Cloud Solutions, Inc.</t>
        </is>
      </c>
      <c r="C2965" t="inlineStr">
        <is>
          <t>Nasdaq</t>
        </is>
      </c>
      <c r="D2965" t="n">
        <v>1866633</v>
      </c>
      <c r="E2965" t="inlineStr">
        <is>
          <t>SEC</t>
        </is>
      </c>
    </row>
    <row r="2966">
      <c r="A2966" s="5">
        <f>HYPERLINK("https://finance.yahoo.com/quote/SGMT","SGMT")</f>
        <v/>
      </c>
      <c r="B2966" t="inlineStr">
        <is>
          <t>Sagimet Biosciences Inc.</t>
        </is>
      </c>
      <c r="C2966" t="inlineStr">
        <is>
          <t>Nasdaq</t>
        </is>
      </c>
      <c r="D2966" t="n">
        <v>1400118</v>
      </c>
      <c r="E2966" t="inlineStr">
        <is>
          <t>SEC</t>
        </is>
      </c>
    </row>
    <row r="2967">
      <c r="A2967" s="5">
        <f>HYPERLINK("https://finance.yahoo.com/quote/RVI","RVI")</f>
        <v/>
      </c>
      <c r="B2967" t="inlineStr">
        <is>
          <t>Robinhood Ventures Fund I</t>
        </is>
      </c>
      <c r="C2967" t="inlineStr">
        <is>
          <t>NYSE</t>
        </is>
      </c>
      <c r="D2967" t="n">
        <v>2085091</v>
      </c>
      <c r="E2967" t="inlineStr">
        <is>
          <t>SEC</t>
        </is>
      </c>
    </row>
    <row r="2968">
      <c r="A2968" s="5">
        <f>HYPERLINK("https://finance.yahoo.com/quote/OFRM","OFRM")</f>
        <v/>
      </c>
      <c r="B2968" t="inlineStr">
        <is>
          <t>Once Upon a Farm, PBC</t>
        </is>
      </c>
      <c r="C2968" t="inlineStr">
        <is>
          <t>NYSE</t>
        </is>
      </c>
      <c r="D2968" t="n">
        <v>1696556</v>
      </c>
      <c r="E2968" t="inlineStr">
        <is>
          <t>SEC</t>
        </is>
      </c>
    </row>
    <row r="2969">
      <c r="A2969" s="5">
        <f>HYPERLINK("https://finance.yahoo.com/quote/NIE","NIE")</f>
        <v/>
      </c>
      <c r="B2969" t="inlineStr">
        <is>
          <t>Virtus Equity &amp; Convertible Income Fund</t>
        </is>
      </c>
      <c r="C2969" t="inlineStr">
        <is>
          <t>NYSE</t>
        </is>
      </c>
      <c r="D2969" t="n">
        <v>1383441</v>
      </c>
      <c r="E2969" t="inlineStr">
        <is>
          <t>SEC</t>
        </is>
      </c>
    </row>
    <row r="2970">
      <c r="A2970" s="5">
        <f>HYPERLINK("https://finance.yahoo.com/quote/RMIX","RMIX")</f>
        <v/>
      </c>
      <c r="B2970" t="inlineStr">
        <is>
          <t>Suncrete, Inc.</t>
        </is>
      </c>
      <c r="C2970" t="inlineStr">
        <is>
          <t>Nasdaq</t>
        </is>
      </c>
      <c r="D2970" t="n">
        <v>2094433</v>
      </c>
      <c r="E2970" t="inlineStr">
        <is>
          <t>SEC</t>
        </is>
      </c>
    </row>
    <row r="2971">
      <c r="A2971" s="5">
        <f>HYPERLINK("https://finance.yahoo.com/quote/ANL","ANL")</f>
        <v/>
      </c>
      <c r="B2971" t="inlineStr">
        <is>
          <t>Adlai Nortye Group Ltd.</t>
        </is>
      </c>
      <c r="C2971" t="inlineStr">
        <is>
          <t>Nasdaq</t>
        </is>
      </c>
      <c r="D2971" t="n">
        <v>1944552</v>
      </c>
      <c r="E2971" t="inlineStr">
        <is>
          <t>SEC</t>
        </is>
      </c>
    </row>
    <row r="2972">
      <c r="A2972" s="5">
        <f>HYPERLINK("https://finance.yahoo.com/quote/IMMX","IMMX")</f>
        <v/>
      </c>
      <c r="B2972" t="inlineStr">
        <is>
          <t>Immix Biopharma, Inc.</t>
        </is>
      </c>
      <c r="C2972" t="inlineStr">
        <is>
          <t>Nasdaq</t>
        </is>
      </c>
      <c r="D2972" t="n">
        <v>1873835</v>
      </c>
      <c r="E2972" t="inlineStr">
        <is>
          <t>SEC</t>
        </is>
      </c>
    </row>
    <row r="2973">
      <c r="A2973" s="5">
        <f>HYPERLINK("https://finance.yahoo.com/quote/AOSL","AOSL")</f>
        <v/>
      </c>
      <c r="B2973" t="inlineStr">
        <is>
          <t>ALPHA &amp; OMEGA SEMICONDUCTOR Ltd</t>
        </is>
      </c>
      <c r="C2973" t="inlineStr">
        <is>
          <t>Nasdaq</t>
        </is>
      </c>
      <c r="D2973" t="n">
        <v>1387467</v>
      </c>
      <c r="E2973" t="inlineStr">
        <is>
          <t>SEC</t>
        </is>
      </c>
    </row>
    <row r="2974">
      <c r="A2974" s="5">
        <f>HYPERLINK("https://finance.yahoo.com/quote/FWRG","FWRG")</f>
        <v/>
      </c>
      <c r="B2974" t="inlineStr">
        <is>
          <t>First Watch Restaurant Group, Inc.</t>
        </is>
      </c>
      <c r="C2974" t="inlineStr">
        <is>
          <t>Nasdaq</t>
        </is>
      </c>
      <c r="D2974" t="n">
        <v>1789940</v>
      </c>
      <c r="E2974" t="inlineStr">
        <is>
          <t>SEC</t>
        </is>
      </c>
    </row>
    <row r="2975">
      <c r="A2975" s="5">
        <f>HYPERLINK("https://finance.yahoo.com/quote/MFA","MFA")</f>
        <v/>
      </c>
      <c r="B2975" t="inlineStr">
        <is>
          <t>MFA FINANCIAL, INC.</t>
        </is>
      </c>
      <c r="C2975" t="inlineStr">
        <is>
          <t>NYSE</t>
        </is>
      </c>
      <c r="D2975" t="n">
        <v>1055160</v>
      </c>
      <c r="E2975" t="inlineStr">
        <is>
          <t>SEC</t>
        </is>
      </c>
    </row>
    <row r="2976">
      <c r="A2976" s="5">
        <f>HYPERLINK("https://finance.yahoo.com/quote/CBNK","CBNK")</f>
        <v/>
      </c>
      <c r="B2976" t="inlineStr">
        <is>
          <t>Capital Bancorp Inc</t>
        </is>
      </c>
      <c r="C2976" t="inlineStr">
        <is>
          <t>Nasdaq</t>
        </is>
      </c>
      <c r="D2976" t="n">
        <v>1419536</v>
      </c>
      <c r="E2976" t="inlineStr">
        <is>
          <t>SEC</t>
        </is>
      </c>
    </row>
    <row r="2977">
      <c r="A2977" s="5">
        <f>HYPERLINK("https://finance.yahoo.com/quote/BAK","BAK")</f>
        <v/>
      </c>
      <c r="B2977" t="inlineStr">
        <is>
          <t>BRASKEM SA</t>
        </is>
      </c>
      <c r="C2977" t="inlineStr">
        <is>
          <t>NYSE</t>
        </is>
      </c>
      <c r="D2977" t="n">
        <v>1071438</v>
      </c>
      <c r="E2977" t="inlineStr">
        <is>
          <t>SEC</t>
        </is>
      </c>
    </row>
    <row r="2978">
      <c r="A2978" s="5">
        <f>HYPERLINK("https://finance.yahoo.com/quote/OABI","OABI")</f>
        <v/>
      </c>
      <c r="B2978" t="inlineStr">
        <is>
          <t>OmniAb, Inc.</t>
        </is>
      </c>
      <c r="C2978" t="inlineStr">
        <is>
          <t>Nasdaq</t>
        </is>
      </c>
      <c r="D2978" t="n">
        <v>1846253</v>
      </c>
      <c r="E2978" t="inlineStr">
        <is>
          <t>SEC</t>
        </is>
      </c>
    </row>
    <row r="2979">
      <c r="A2979" s="5">
        <f>HYPERLINK("https://finance.yahoo.com/quote/ACNB","ACNB")</f>
        <v/>
      </c>
      <c r="B2979" t="inlineStr">
        <is>
          <t>ACNB CORP</t>
        </is>
      </c>
      <c r="C2979" t="inlineStr">
        <is>
          <t>Nasdaq</t>
        </is>
      </c>
      <c r="D2979" t="n">
        <v>715579</v>
      </c>
      <c r="E2979" t="inlineStr">
        <is>
          <t>SEC</t>
        </is>
      </c>
    </row>
    <row r="2980">
      <c r="A2980" s="5">
        <f>HYPERLINK("https://finance.yahoo.com/quote/LEGH","LEGH")</f>
        <v/>
      </c>
      <c r="B2980" t="inlineStr">
        <is>
          <t>Legacy Housing Corp</t>
        </is>
      </c>
      <c r="C2980" t="inlineStr">
        <is>
          <t>Nasdaq</t>
        </is>
      </c>
      <c r="D2980" t="n">
        <v>1436208</v>
      </c>
      <c r="E2980" t="inlineStr">
        <is>
          <t>SEC</t>
        </is>
      </c>
    </row>
    <row r="2981">
      <c r="A2981" s="5">
        <f>HYPERLINK("https://finance.yahoo.com/quote/ACHV","ACHV")</f>
        <v/>
      </c>
      <c r="B2981" t="inlineStr">
        <is>
          <t>ACHIEVE LIFE SCIENCES, INC.</t>
        </is>
      </c>
      <c r="C2981" t="inlineStr">
        <is>
          <t>Nasdaq</t>
        </is>
      </c>
      <c r="D2981" t="n">
        <v>949858</v>
      </c>
      <c r="E2981" t="inlineStr">
        <is>
          <t>SEC</t>
        </is>
      </c>
    </row>
    <row r="2982">
      <c r="A2982" s="5">
        <f>HYPERLINK("https://finance.yahoo.com/quote/MATV","MATV")</f>
        <v/>
      </c>
      <c r="B2982" t="inlineStr">
        <is>
          <t>Mativ Holdings, Inc.</t>
        </is>
      </c>
      <c r="C2982" t="inlineStr">
        <is>
          <t>NYSE</t>
        </is>
      </c>
      <c r="D2982" t="n">
        <v>1000623</v>
      </c>
      <c r="E2982" t="inlineStr">
        <is>
          <t>SEC</t>
        </is>
      </c>
    </row>
    <row r="2983">
      <c r="A2983" s="5">
        <f>HYPERLINK("https://finance.yahoo.com/quote/PRME","PRME")</f>
        <v/>
      </c>
      <c r="B2983" t="inlineStr">
        <is>
          <t>Prime Medicine, Inc.</t>
        </is>
      </c>
      <c r="C2983" t="inlineStr">
        <is>
          <t>Nasdaq</t>
        </is>
      </c>
      <c r="D2983" t="n">
        <v>1894562</v>
      </c>
      <c r="E2983" t="inlineStr">
        <is>
          <t>SEC</t>
        </is>
      </c>
    </row>
    <row r="2984">
      <c r="A2984" s="5">
        <f>HYPERLINK("https://finance.yahoo.com/quote/ELMT","ELMT")</f>
        <v/>
      </c>
      <c r="B2984" t="inlineStr">
        <is>
          <t>Elmet Group Co.</t>
        </is>
      </c>
      <c r="C2984" t="inlineStr">
        <is>
          <t>Nasdaq</t>
        </is>
      </c>
      <c r="D2984" t="n">
        <v>2101698</v>
      </c>
      <c r="E2984" t="inlineStr">
        <is>
          <t>SEC</t>
        </is>
      </c>
    </row>
    <row r="2985">
      <c r="A2985" s="5">
        <f>HYPERLINK("https://finance.yahoo.com/quote/GROY","GROY")</f>
        <v/>
      </c>
      <c r="B2985" t="inlineStr">
        <is>
          <t>Gold Royalty Corp.</t>
        </is>
      </c>
      <c r="C2985" t="inlineStr">
        <is>
          <t>NYSE</t>
        </is>
      </c>
      <c r="D2985" t="n">
        <v>1834026</v>
      </c>
      <c r="E2985" t="inlineStr">
        <is>
          <t>SEC</t>
        </is>
      </c>
    </row>
    <row r="2986">
      <c r="A2986" s="5">
        <f>HYPERLINK("https://finance.yahoo.com/quote/OIO","OIO")</f>
        <v/>
      </c>
      <c r="B2986" t="inlineStr">
        <is>
          <t>OIO Group</t>
        </is>
      </c>
      <c r="C2986" t="inlineStr">
        <is>
          <t>Nasdaq</t>
        </is>
      </c>
      <c r="D2986" t="n">
        <v>1957538</v>
      </c>
      <c r="E2986" t="inlineStr">
        <is>
          <t>SEC</t>
        </is>
      </c>
    </row>
    <row r="2987">
      <c r="A2987" s="5">
        <f>HYPERLINK("https://finance.yahoo.com/quote/NNE","NNE")</f>
        <v/>
      </c>
      <c r="B2987" t="inlineStr">
        <is>
          <t>Nano Nuclear Energy Inc.</t>
        </is>
      </c>
      <c r="C2987" t="inlineStr">
        <is>
          <t>Nasdaq</t>
        </is>
      </c>
      <c r="D2987" t="n">
        <v>1923891</v>
      </c>
      <c r="E2987" t="inlineStr">
        <is>
          <t>SEC</t>
        </is>
      </c>
    </row>
    <row r="2988">
      <c r="A2988" s="5">
        <f>HYPERLINK("https://finance.yahoo.com/quote/DNA","DNA")</f>
        <v/>
      </c>
      <c r="B2988" t="inlineStr">
        <is>
          <t>Ginkgo Bioworks Holdings, Inc.</t>
        </is>
      </c>
      <c r="C2988" t="inlineStr">
        <is>
          <t>NYSE</t>
        </is>
      </c>
      <c r="D2988" t="n">
        <v>1830214</v>
      </c>
      <c r="E2988" t="inlineStr">
        <is>
          <t>SEC</t>
        </is>
      </c>
    </row>
    <row r="2989">
      <c r="A2989" s="5">
        <f>HYPERLINK("https://finance.yahoo.com/quote/OXLC","OXLC")</f>
        <v/>
      </c>
      <c r="B2989" t="inlineStr">
        <is>
          <t>Oxford Lane Capital Corp.</t>
        </is>
      </c>
      <c r="C2989" t="inlineStr">
        <is>
          <t>Nasdaq</t>
        </is>
      </c>
      <c r="D2989" t="n">
        <v>1495222</v>
      </c>
      <c r="E2989" t="inlineStr">
        <is>
          <t>SEC</t>
        </is>
      </c>
    </row>
    <row r="2990">
      <c r="A2990" s="5">
        <f>HYPERLINK("https://finance.yahoo.com/quote/VLGEA","VLGEA")</f>
        <v/>
      </c>
      <c r="B2990" t="inlineStr">
        <is>
          <t>VILLAGE SUPER MARKET INC</t>
        </is>
      </c>
      <c r="C2990" t="inlineStr">
        <is>
          <t>Nasdaq</t>
        </is>
      </c>
      <c r="D2990" t="n">
        <v>103595</v>
      </c>
      <c r="E2990" t="inlineStr">
        <is>
          <t>SEC</t>
        </is>
      </c>
    </row>
    <row r="2991">
      <c r="A2991" s="5">
        <f>HYPERLINK("https://finance.yahoo.com/quote/TCBX","TCBX")</f>
        <v/>
      </c>
      <c r="B2991" t="inlineStr">
        <is>
          <t>Third Coast Bancshares, Inc.</t>
        </is>
      </c>
      <c r="C2991" t="inlineStr">
        <is>
          <t>NYSE</t>
        </is>
      </c>
      <c r="D2991" t="n">
        <v>1781730</v>
      </c>
      <c r="E2991" t="inlineStr">
        <is>
          <t>SEC</t>
        </is>
      </c>
    </row>
    <row r="2992">
      <c r="A2992" s="5">
        <f>HYPERLINK("https://finance.yahoo.com/quote/DDI","DDI")</f>
        <v/>
      </c>
      <c r="B2992" t="inlineStr">
        <is>
          <t>DoubleDown Interactive Co., Ltd.</t>
        </is>
      </c>
      <c r="C2992" t="inlineStr">
        <is>
          <t>Nasdaq</t>
        </is>
      </c>
      <c r="D2992" t="n">
        <v>1799567</v>
      </c>
      <c r="E2992" t="inlineStr">
        <is>
          <t>SEC</t>
        </is>
      </c>
    </row>
    <row r="2993">
      <c r="A2993" s="5">
        <f>HYPERLINK("https://finance.yahoo.com/quote/NVCT","NVCT")</f>
        <v/>
      </c>
      <c r="B2993" t="inlineStr">
        <is>
          <t>Nuvectis Pharma, Inc.</t>
        </is>
      </c>
      <c r="C2993" t="inlineStr">
        <is>
          <t>Nasdaq</t>
        </is>
      </c>
      <c r="D2993" t="n">
        <v>1875558</v>
      </c>
      <c r="E2993" t="inlineStr">
        <is>
          <t>SEC</t>
        </is>
      </c>
    </row>
    <row r="2994">
      <c r="A2994" s="5">
        <f>HYPERLINK("https://finance.yahoo.com/quote/SCZM","SCZM")</f>
        <v/>
      </c>
      <c r="B2994" t="inlineStr">
        <is>
          <t>Santacruz Silver Mining Ltd.</t>
        </is>
      </c>
      <c r="C2994" t="inlineStr">
        <is>
          <t>Nasdaq</t>
        </is>
      </c>
      <c r="D2994" t="n">
        <v>1548536</v>
      </c>
      <c r="E2994" t="inlineStr">
        <is>
          <t>SEC</t>
        </is>
      </c>
    </row>
    <row r="2995">
      <c r="A2995" s="5">
        <f>HYPERLINK("https://finance.yahoo.com/quote/VLRS","VLRS")</f>
        <v/>
      </c>
      <c r="B2995" t="inlineStr">
        <is>
          <t>Controladora Vuela Compania de Aviacion, S.A.B. de C.V.</t>
        </is>
      </c>
      <c r="C2995" t="inlineStr">
        <is>
          <t>NYSE</t>
        </is>
      </c>
      <c r="D2995" t="n">
        <v>1520504</v>
      </c>
      <c r="E2995" t="inlineStr">
        <is>
          <t>SEC</t>
        </is>
      </c>
    </row>
    <row r="2996">
      <c r="A2996" s="5">
        <f>HYPERLINK("https://finance.yahoo.com/quote/GRPN","GRPN")</f>
        <v/>
      </c>
      <c r="B2996" t="inlineStr">
        <is>
          <t>Groupon, Inc.</t>
        </is>
      </c>
      <c r="C2996" t="inlineStr">
        <is>
          <t>Nasdaq</t>
        </is>
      </c>
      <c r="D2996" t="n">
        <v>1490281</v>
      </c>
      <c r="E2996" t="inlineStr">
        <is>
          <t>SEC</t>
        </is>
      </c>
    </row>
    <row r="2997">
      <c r="A2997" s="5">
        <f>HYPERLINK("https://finance.yahoo.com/quote/MRRDF","MRRDF")</f>
        <v/>
      </c>
      <c r="B2997" t="inlineStr">
        <is>
          <t>Meridian Mining UK Societas</t>
        </is>
      </c>
      <c r="C2997" t="inlineStr">
        <is>
          <t>OTC</t>
        </is>
      </c>
      <c r="D2997" t="n">
        <v>1839886</v>
      </c>
      <c r="E2997" t="inlineStr">
        <is>
          <t>SEC</t>
        </is>
      </c>
    </row>
    <row r="2998">
      <c r="A2998" s="5">
        <f>HYPERLINK("https://finance.yahoo.com/quote/BCSF","BCSF")</f>
        <v/>
      </c>
      <c r="B2998" t="inlineStr">
        <is>
          <t>Bain Capital Specialty Finance, Inc.</t>
        </is>
      </c>
      <c r="C2998" t="inlineStr">
        <is>
          <t>NYSE</t>
        </is>
      </c>
      <c r="D2998" t="n">
        <v>1655050</v>
      </c>
      <c r="E2998" t="inlineStr">
        <is>
          <t>SEC</t>
        </is>
      </c>
    </row>
    <row r="2999">
      <c r="A2999" s="5">
        <f>HYPERLINK("https://finance.yahoo.com/quote/TBLD","TBLD")</f>
        <v/>
      </c>
      <c r="B2999" t="inlineStr">
        <is>
          <t>Thornburg Income Builder Opportunities Trust</t>
        </is>
      </c>
      <c r="C2999" t="inlineStr">
        <is>
          <t>Nasdaq</t>
        </is>
      </c>
      <c r="D2999" t="n">
        <v>1820378</v>
      </c>
      <c r="E2999" t="inlineStr">
        <is>
          <t>SEC</t>
        </is>
      </c>
    </row>
    <row r="3000">
      <c r="A3000" s="5">
        <f>HYPERLINK("https://finance.yahoo.com/quote/BTGO","BTGO")</f>
        <v/>
      </c>
      <c r="B3000" t="inlineStr">
        <is>
          <t>BITGO HOLDINGS, INC.</t>
        </is>
      </c>
      <c r="C3000" t="inlineStr">
        <is>
          <t>NYSE</t>
        </is>
      </c>
      <c r="D3000" t="n">
        <v>1740604</v>
      </c>
      <c r="E3000" t="inlineStr">
        <is>
          <t>SEC</t>
        </is>
      </c>
    </row>
    <row r="3001">
      <c r="A3001" s="5">
        <f>HYPERLINK("https://finance.yahoo.com/quote/HELE","HELE")</f>
        <v/>
      </c>
      <c r="B3001" t="inlineStr">
        <is>
          <t>HELEN OF TROY LTD</t>
        </is>
      </c>
      <c r="C3001" t="inlineStr">
        <is>
          <t>Nasdaq</t>
        </is>
      </c>
      <c r="D3001" t="n">
        <v>916789</v>
      </c>
      <c r="E3001" t="inlineStr">
        <is>
          <t>SEC</t>
        </is>
      </c>
    </row>
    <row r="3002">
      <c r="A3002" s="5">
        <f>HYPERLINK("https://finance.yahoo.com/quote/KPLT","KPLT")</f>
        <v/>
      </c>
      <c r="B3002" t="inlineStr">
        <is>
          <t>Katapult Holdings, Inc.</t>
        </is>
      </c>
      <c r="C3002" t="inlineStr">
        <is>
          <t>Nasdaq</t>
        </is>
      </c>
      <c r="D3002" t="n">
        <v>1785424</v>
      </c>
      <c r="E3002" t="inlineStr">
        <is>
          <t>SEC</t>
        </is>
      </c>
    </row>
    <row r="3003">
      <c r="A3003" s="5">
        <f>HYPERLINK("https://finance.yahoo.com/quote/AURA","AURA")</f>
        <v/>
      </c>
      <c r="B3003" t="inlineStr">
        <is>
          <t>Aura Biosciences, Inc.</t>
        </is>
      </c>
      <c r="C3003" t="inlineStr">
        <is>
          <t>Nasdaq</t>
        </is>
      </c>
      <c r="D3003" t="n">
        <v>1501796</v>
      </c>
      <c r="E3003" t="inlineStr">
        <is>
          <t>SEC</t>
        </is>
      </c>
    </row>
    <row r="3004">
      <c r="A3004" s="5">
        <f>HYPERLINK("https://finance.yahoo.com/quote/DMII","DMII")</f>
        <v/>
      </c>
      <c r="B3004" t="inlineStr">
        <is>
          <t>Drugs Made In America Acquisition II Corp.</t>
        </is>
      </c>
      <c r="C3004" t="inlineStr">
        <is>
          <t>Nasdaq</t>
        </is>
      </c>
      <c r="D3004" t="n">
        <v>2040475</v>
      </c>
      <c r="E3004" t="inlineStr">
        <is>
          <t>SEC</t>
        </is>
      </c>
    </row>
    <row r="3005">
      <c r="A3005" s="5">
        <f>HYPERLINK("https://finance.yahoo.com/quote/MOMO","MOMO")</f>
        <v/>
      </c>
      <c r="B3005" t="inlineStr">
        <is>
          <t>Hello Group Inc.</t>
        </is>
      </c>
      <c r="C3005" t="inlineStr">
        <is>
          <t>Nasdaq</t>
        </is>
      </c>
      <c r="D3005" t="n">
        <v>1610601</v>
      </c>
      <c r="E3005" t="inlineStr">
        <is>
          <t>SEC</t>
        </is>
      </c>
    </row>
    <row r="3006">
      <c r="A3006" s="5">
        <f>HYPERLINK("https://finance.yahoo.com/quote/WCCB","WCCB")</f>
        <v/>
      </c>
      <c r="B3006" t="inlineStr">
        <is>
          <t>West Coast Community Bancorp</t>
        </is>
      </c>
      <c r="C3006" t="inlineStr">
        <is>
          <t>Nasdaq</t>
        </is>
      </c>
      <c r="D3006" t="n">
        <v>2105965</v>
      </c>
      <c r="E3006" t="inlineStr">
        <is>
          <t>SEC</t>
        </is>
      </c>
    </row>
    <row r="3007">
      <c r="A3007" s="5">
        <f>HYPERLINK("https://finance.yahoo.com/quote/ITG","ITG")</f>
        <v/>
      </c>
      <c r="B3007" t="inlineStr">
        <is>
          <t>ITG, Inc./DE/</t>
        </is>
      </c>
      <c r="C3007" t="inlineStr">
        <is>
          <t>Nasdaq</t>
        </is>
      </c>
      <c r="D3007" t="n">
        <v>2110117</v>
      </c>
      <c r="E3007" t="inlineStr">
        <is>
          <t>SEC</t>
        </is>
      </c>
    </row>
    <row r="3008">
      <c r="A3008" s="5">
        <f>HYPERLINK("https://finance.yahoo.com/quote/ALPIB","ALPIB")</f>
        <v/>
      </c>
      <c r="B3008" t="inlineStr">
        <is>
          <t>ALPINE BANKS OF COLORADO</t>
        </is>
      </c>
      <c r="C3008" t="inlineStr">
        <is>
          <t>OTC</t>
        </is>
      </c>
      <c r="D3008" t="n">
        <v>872716</v>
      </c>
      <c r="E3008" t="inlineStr">
        <is>
          <t>SEC</t>
        </is>
      </c>
    </row>
    <row r="3009">
      <c r="A3009" s="5">
        <f>HYPERLINK("https://finance.yahoo.com/quote/PRTH","PRTH")</f>
        <v/>
      </c>
      <c r="B3009" t="inlineStr">
        <is>
          <t>Priority Technology Holdings, Inc.</t>
        </is>
      </c>
      <c r="C3009" t="inlineStr">
        <is>
          <t>Nasdaq</t>
        </is>
      </c>
      <c r="D3009" t="n">
        <v>1653558</v>
      </c>
      <c r="E3009" t="inlineStr">
        <is>
          <t>SEC</t>
        </is>
      </c>
    </row>
    <row r="3010">
      <c r="A3010" s="5">
        <f>HYPERLINK("https://finance.yahoo.com/quote/MUA","MUA")</f>
        <v/>
      </c>
      <c r="B3010" t="inlineStr">
        <is>
          <t>BLACKROCK MUNIASSETS FUND, INC.</t>
        </is>
      </c>
      <c r="C3010" t="inlineStr">
        <is>
          <t>NYSE</t>
        </is>
      </c>
      <c r="D3010" t="n">
        <v>901243</v>
      </c>
      <c r="E3010" t="inlineStr">
        <is>
          <t>SEC</t>
        </is>
      </c>
    </row>
    <row r="3011">
      <c r="A3011" s="5">
        <f>HYPERLINK("https://finance.yahoo.com/quote/QFIN","QFIN")</f>
        <v/>
      </c>
      <c r="B3011" t="inlineStr">
        <is>
          <t>Qfin Holdings, Inc.</t>
        </is>
      </c>
      <c r="C3011" t="inlineStr">
        <is>
          <t>Nasdaq</t>
        </is>
      </c>
      <c r="D3011" t="n">
        <v>1741530</v>
      </c>
      <c r="E3011" t="inlineStr">
        <is>
          <t>SEC</t>
        </is>
      </c>
    </row>
    <row r="3012">
      <c r="A3012" s="5">
        <f>HYPERLINK("https://finance.yahoo.com/quote/ABUS","ABUS")</f>
        <v/>
      </c>
      <c r="B3012" t="inlineStr">
        <is>
          <t>Arbutus Biopharma Corp</t>
        </is>
      </c>
      <c r="C3012" t="inlineStr">
        <is>
          <t>Nasdaq</t>
        </is>
      </c>
      <c r="D3012" t="n">
        <v>1447028</v>
      </c>
      <c r="E3012" t="inlineStr">
        <is>
          <t>SEC</t>
        </is>
      </c>
    </row>
    <row r="3013">
      <c r="A3013" s="5">
        <f>HYPERLINK("https://finance.yahoo.com/quote/RA","RA")</f>
        <v/>
      </c>
      <c r="B3013" t="inlineStr">
        <is>
          <t>Brookfield Real Assets Income Fund Inc.</t>
        </is>
      </c>
      <c r="C3013" t="inlineStr">
        <is>
          <t>NYSE</t>
        </is>
      </c>
      <c r="D3013" t="n">
        <v>1655099</v>
      </c>
      <c r="E3013" t="inlineStr">
        <is>
          <t>SEC</t>
        </is>
      </c>
    </row>
    <row r="3014">
      <c r="A3014" s="5">
        <f>HYPERLINK("https://finance.yahoo.com/quote/ENVX","ENVX")</f>
        <v/>
      </c>
      <c r="B3014" t="inlineStr">
        <is>
          <t>Enovix Corp</t>
        </is>
      </c>
      <c r="C3014" t="inlineStr">
        <is>
          <t>Nasdaq</t>
        </is>
      </c>
      <c r="D3014" t="n">
        <v>1828318</v>
      </c>
      <c r="E3014" t="inlineStr">
        <is>
          <t>SEC</t>
        </is>
      </c>
    </row>
    <row r="3015">
      <c r="A3015" s="5">
        <f>HYPERLINK("https://finance.yahoo.com/quote/DSGN","DSGN")</f>
        <v/>
      </c>
      <c r="B3015" t="inlineStr">
        <is>
          <t>Design Therapeutics, Inc.</t>
        </is>
      </c>
      <c r="C3015" t="inlineStr">
        <is>
          <t>Nasdaq</t>
        </is>
      </c>
      <c r="D3015" t="n">
        <v>1807120</v>
      </c>
      <c r="E3015" t="inlineStr">
        <is>
          <t>SEC</t>
        </is>
      </c>
    </row>
    <row r="3016">
      <c r="A3016" s="5">
        <f>HYPERLINK("https://finance.yahoo.com/quote/PACB","PACB")</f>
        <v/>
      </c>
      <c r="B3016" t="inlineStr">
        <is>
          <t>PACIFIC BIOSCIENCES OF CALIFORNIA, INC.</t>
        </is>
      </c>
      <c r="C3016" t="inlineStr">
        <is>
          <t>Nasdaq</t>
        </is>
      </c>
      <c r="D3016" t="n">
        <v>1299130</v>
      </c>
      <c r="E3016" t="inlineStr">
        <is>
          <t>SEC</t>
        </is>
      </c>
    </row>
    <row r="3017">
      <c r="A3017" s="5">
        <f>HYPERLINK("https://finance.yahoo.com/quote/CSIQ","CSIQ")</f>
        <v/>
      </c>
      <c r="B3017" t="inlineStr">
        <is>
          <t>Canadian Solar Inc.</t>
        </is>
      </c>
      <c r="C3017" t="inlineStr">
        <is>
          <t>Nasdaq</t>
        </is>
      </c>
      <c r="D3017" t="n">
        <v>1375877</v>
      </c>
      <c r="E3017" t="inlineStr">
        <is>
          <t>SEC</t>
        </is>
      </c>
    </row>
    <row r="3018">
      <c r="A3018" s="5">
        <f>HYPERLINK("https://finance.yahoo.com/quote/ANGX","ANGX")</f>
        <v/>
      </c>
      <c r="B3018" t="inlineStr">
        <is>
          <t>Angel Studios, Inc.</t>
        </is>
      </c>
      <c r="C3018" t="inlineStr">
        <is>
          <t>NYSE</t>
        </is>
      </c>
      <c r="D3018" t="n">
        <v>1865200</v>
      </c>
      <c r="E3018" t="inlineStr">
        <is>
          <t>SEC</t>
        </is>
      </c>
    </row>
    <row r="3019">
      <c r="A3019" s="5">
        <f>HYPERLINK("https://finance.yahoo.com/quote/BIT","BIT")</f>
        <v/>
      </c>
      <c r="B3019" t="inlineStr">
        <is>
          <t>BlackRock Multi-Sector Income Trust</t>
        </is>
      </c>
      <c r="C3019" t="inlineStr">
        <is>
          <t>NYSE</t>
        </is>
      </c>
      <c r="D3019" t="n">
        <v>1562818</v>
      </c>
      <c r="E3019" t="inlineStr">
        <is>
          <t>SEC</t>
        </is>
      </c>
    </row>
    <row r="3020">
      <c r="A3020" s="5">
        <f>HYPERLINK("https://finance.yahoo.com/quote/KIDS","KIDS")</f>
        <v/>
      </c>
      <c r="B3020" t="inlineStr">
        <is>
          <t>ORTHOPEDIATRICS CORP</t>
        </is>
      </c>
      <c r="C3020" t="inlineStr">
        <is>
          <t>Nasdaq</t>
        </is>
      </c>
      <c r="D3020" t="n">
        <v>1425450</v>
      </c>
      <c r="E3020" t="inlineStr">
        <is>
          <t>SEC</t>
        </is>
      </c>
    </row>
    <row r="3021">
      <c r="A3021" s="5">
        <f>HYPERLINK("https://finance.yahoo.com/quote/DLY","DLY")</f>
        <v/>
      </c>
      <c r="B3021" t="inlineStr">
        <is>
          <t>DoubleLine Yield Opportunities Fund</t>
        </is>
      </c>
      <c r="C3021" t="inlineStr">
        <is>
          <t>NYSE</t>
        </is>
      </c>
      <c r="D3021" t="n">
        <v>1788399</v>
      </c>
      <c r="E3021" t="inlineStr">
        <is>
          <t>SEC</t>
        </is>
      </c>
    </row>
    <row r="3022">
      <c r="A3022" s="5">
        <f>HYPERLINK("https://finance.yahoo.com/quote/AGCC","AGCC")</f>
        <v/>
      </c>
      <c r="B3022" t="inlineStr">
        <is>
          <t>Agencia Comercial Spirits Ltd.</t>
        </is>
      </c>
      <c r="C3022" t="inlineStr">
        <is>
          <t>Nasdaq</t>
        </is>
      </c>
      <c r="D3022" t="n">
        <v>2060016</v>
      </c>
      <c r="E3022" t="inlineStr">
        <is>
          <t>SEC</t>
        </is>
      </c>
    </row>
    <row r="3023">
      <c r="A3023" s="5">
        <f>HYPERLINK("https://finance.yahoo.com/quote/SLDB","SLDB")</f>
        <v/>
      </c>
      <c r="B3023" t="inlineStr">
        <is>
          <t>Solid Biosciences Inc.</t>
        </is>
      </c>
      <c r="C3023" t="inlineStr">
        <is>
          <t>Nasdaq</t>
        </is>
      </c>
      <c r="D3023" t="n">
        <v>1707502</v>
      </c>
      <c r="E3023" t="inlineStr">
        <is>
          <t>SEC</t>
        </is>
      </c>
    </row>
    <row r="3024">
      <c r="A3024" s="5">
        <f>HYPERLINK("https://finance.yahoo.com/quote/WTI","WTI")</f>
        <v/>
      </c>
      <c r="B3024" t="inlineStr">
        <is>
          <t>W&amp;T OFFSHORE INC</t>
        </is>
      </c>
      <c r="C3024" t="inlineStr">
        <is>
          <t>NYSE</t>
        </is>
      </c>
      <c r="D3024" t="n">
        <v>1288403</v>
      </c>
      <c r="E3024" t="inlineStr">
        <is>
          <t>SEC</t>
        </is>
      </c>
    </row>
    <row r="3025">
      <c r="A3025" s="5">
        <f>HYPERLINK("https://finance.yahoo.com/quote/RSVR","RSVR")</f>
        <v/>
      </c>
      <c r="B3025" t="inlineStr">
        <is>
          <t>Reservoir Media, Inc.</t>
        </is>
      </c>
      <c r="C3025" t="inlineStr">
        <is>
          <t>Nasdaq</t>
        </is>
      </c>
      <c r="D3025" t="n">
        <v>1824403</v>
      </c>
      <c r="E3025" t="inlineStr">
        <is>
          <t>SEC</t>
        </is>
      </c>
    </row>
    <row r="3026">
      <c r="A3026" s="5">
        <f>HYPERLINK("https://finance.yahoo.com/quote/PKOH","PKOH")</f>
        <v/>
      </c>
      <c r="B3026" t="inlineStr">
        <is>
          <t>PARK OHIO HOLDINGS CORP</t>
        </is>
      </c>
      <c r="C3026" t="inlineStr">
        <is>
          <t>Nasdaq</t>
        </is>
      </c>
      <c r="D3026" t="n">
        <v>76282</v>
      </c>
      <c r="E3026" t="inlineStr">
        <is>
          <t>SEC</t>
        </is>
      </c>
    </row>
    <row r="3027">
      <c r="A3027" s="5">
        <f>HYPERLINK("https://finance.yahoo.com/quote/PFLT","PFLT")</f>
        <v/>
      </c>
      <c r="B3027" t="inlineStr">
        <is>
          <t>PennantPark Floating Rate Capital Ltd.</t>
        </is>
      </c>
      <c r="C3027" t="inlineStr">
        <is>
          <t>NYSE</t>
        </is>
      </c>
      <c r="D3027" t="n">
        <v>1504619</v>
      </c>
      <c r="E3027" t="inlineStr">
        <is>
          <t>SEC</t>
        </is>
      </c>
    </row>
    <row r="3028">
      <c r="A3028" s="5">
        <f>HYPERLINK("https://finance.yahoo.com/quote/FOXF","FOXF")</f>
        <v/>
      </c>
      <c r="B3028" t="inlineStr">
        <is>
          <t>FOX FACTORY HOLDING CORP</t>
        </is>
      </c>
      <c r="C3028" t="inlineStr">
        <is>
          <t>Nasdaq</t>
        </is>
      </c>
      <c r="D3028" t="n">
        <v>1424929</v>
      </c>
      <c r="E3028" t="inlineStr">
        <is>
          <t>SEC</t>
        </is>
      </c>
    </row>
    <row r="3029">
      <c r="A3029" s="5">
        <f>HYPERLINK("https://finance.yahoo.com/quote/FFMGF","FFMGF")</f>
        <v/>
      </c>
      <c r="B3029" t="inlineStr">
        <is>
          <t>First Mining Gold Corp.</t>
        </is>
      </c>
      <c r="C3029" t="inlineStr">
        <is>
          <t>OTC</t>
        </is>
      </c>
      <c r="D3029" t="n">
        <v>1641229</v>
      </c>
      <c r="E3029" t="inlineStr">
        <is>
          <t>SEC</t>
        </is>
      </c>
    </row>
    <row r="3030">
      <c r="A3030" s="5">
        <f>HYPERLINK("https://finance.yahoo.com/quote/BW","BW")</f>
        <v/>
      </c>
      <c r="B3030" t="inlineStr">
        <is>
          <t>Babcock &amp; Wilcox Enterprises, Inc.</t>
        </is>
      </c>
      <c r="C3030" t="inlineStr">
        <is>
          <t>NYSE</t>
        </is>
      </c>
      <c r="D3030" t="n">
        <v>1630805</v>
      </c>
      <c r="E3030" t="inlineStr">
        <is>
          <t>SEC</t>
        </is>
      </c>
    </row>
    <row r="3031">
      <c r="A3031" s="5">
        <f>HYPERLINK("https://finance.yahoo.com/quote/MAX","MAX")</f>
        <v/>
      </c>
      <c r="B3031" t="inlineStr">
        <is>
          <t>MediaAlpha, Inc.</t>
        </is>
      </c>
      <c r="C3031" t="inlineStr">
        <is>
          <t>NYSE</t>
        </is>
      </c>
      <c r="D3031" t="n">
        <v>1818383</v>
      </c>
      <c r="E3031" t="inlineStr">
        <is>
          <t>SEC</t>
        </is>
      </c>
    </row>
    <row r="3032">
      <c r="A3032" s="5">
        <f>HYPERLINK("https://finance.yahoo.com/quote/NMFC","NMFC")</f>
        <v/>
      </c>
      <c r="B3032" t="inlineStr">
        <is>
          <t>New Mountain Finance Corp</t>
        </is>
      </c>
      <c r="C3032" t="inlineStr">
        <is>
          <t>Nasdaq</t>
        </is>
      </c>
      <c r="D3032" t="n">
        <v>1496099</v>
      </c>
      <c r="E3032" t="inlineStr">
        <is>
          <t>SEC</t>
        </is>
      </c>
    </row>
    <row r="3033">
      <c r="A3033" s="5">
        <f>HYPERLINK("https://finance.yahoo.com/quote/LWLG","LWLG")</f>
        <v/>
      </c>
      <c r="B3033" t="inlineStr">
        <is>
          <t>Lightwave Logic, Inc.</t>
        </is>
      </c>
      <c r="C3033" t="inlineStr">
        <is>
          <t>Nasdaq</t>
        </is>
      </c>
      <c r="D3033" t="n">
        <v>1325964</v>
      </c>
      <c r="E3033" t="inlineStr">
        <is>
          <t>SEC</t>
        </is>
      </c>
    </row>
    <row r="3034">
      <c r="A3034" s="5">
        <f>HYPERLINK("https://finance.yahoo.com/quote/SOPH","SOPH")</f>
        <v/>
      </c>
      <c r="B3034" t="inlineStr">
        <is>
          <t>SOPHiA GENETICS SA</t>
        </is>
      </c>
      <c r="C3034" t="inlineStr">
        <is>
          <t>Nasdaq</t>
        </is>
      </c>
      <c r="D3034" t="n">
        <v>1840706</v>
      </c>
      <c r="E3034" t="inlineStr">
        <is>
          <t>SEC</t>
        </is>
      </c>
    </row>
    <row r="3035">
      <c r="A3035" s="5">
        <f>HYPERLINK("https://finance.yahoo.com/quote/CCD","CCD")</f>
        <v/>
      </c>
      <c r="B3035" t="inlineStr">
        <is>
          <t>Calamos Dynamic Convertible &amp; Income Fund</t>
        </is>
      </c>
      <c r="C3035" t="inlineStr">
        <is>
          <t>Nasdaq</t>
        </is>
      </c>
      <c r="D3035" t="n">
        <v>1602584</v>
      </c>
      <c r="E3035" t="inlineStr">
        <is>
          <t>SEC</t>
        </is>
      </c>
    </row>
    <row r="3036">
      <c r="A3036" s="5">
        <f>HYPERLINK("https://finance.yahoo.com/quote/EVOH","EVOH")</f>
        <v/>
      </c>
      <c r="B3036" t="inlineStr">
        <is>
          <t>EvoAir Holdings Inc.</t>
        </is>
      </c>
      <c r="C3036" t="inlineStr">
        <is>
          <t>OTC</t>
        </is>
      </c>
      <c r="D3036" t="n">
        <v>1700844</v>
      </c>
      <c r="E3036" t="inlineStr">
        <is>
          <t>SEC</t>
        </is>
      </c>
    </row>
    <row r="3037">
      <c r="A3037" s="5">
        <f>HYPERLINK("https://finance.yahoo.com/quote/SOC","SOC")</f>
        <v/>
      </c>
      <c r="B3037" t="inlineStr">
        <is>
          <t>Sable Offshore Corp.</t>
        </is>
      </c>
      <c r="C3037" t="inlineStr">
        <is>
          <t>NYSE</t>
        </is>
      </c>
      <c r="D3037" t="n">
        <v>1831481</v>
      </c>
      <c r="E3037" t="inlineStr">
        <is>
          <t>SEC</t>
        </is>
      </c>
    </row>
    <row r="3038">
      <c r="A3038" s="5">
        <f>HYPERLINK("https://finance.yahoo.com/quote/EOSE","EOSE")</f>
        <v/>
      </c>
      <c r="B3038" t="inlineStr">
        <is>
          <t>Eos Energy Enterprises, Inc.</t>
        </is>
      </c>
      <c r="C3038" t="inlineStr">
        <is>
          <t>Nasdaq</t>
        </is>
      </c>
      <c r="D3038" t="n">
        <v>1805077</v>
      </c>
      <c r="E3038" t="inlineStr">
        <is>
          <t>SEC</t>
        </is>
      </c>
    </row>
    <row r="3039">
      <c r="A3039" s="5">
        <f>HYPERLINK("https://finance.yahoo.com/quote/ATTO","ATTO")</f>
        <v/>
      </c>
      <c r="B3039" t="inlineStr">
        <is>
          <t>Attovia Therapeutics, Inc.</t>
        </is>
      </c>
      <c r="C3039" t="inlineStr">
        <is>
          <t>Nasdaq</t>
        </is>
      </c>
      <c r="D3039" t="n">
        <v>2058707</v>
      </c>
      <c r="E3039" t="inlineStr">
        <is>
          <t>SEC</t>
        </is>
      </c>
    </row>
    <row r="3040">
      <c r="A3040" s="5">
        <f>HYPERLINK("https://finance.yahoo.com/quote/NFGC","NFGC")</f>
        <v/>
      </c>
      <c r="B3040" t="inlineStr">
        <is>
          <t>New Found Gold Corp.</t>
        </is>
      </c>
      <c r="C3040" t="inlineStr">
        <is>
          <t>NYSE</t>
        </is>
      </c>
      <c r="D3040" t="n">
        <v>1840616</v>
      </c>
      <c r="E3040" t="inlineStr">
        <is>
          <t>SEC</t>
        </is>
      </c>
    </row>
    <row r="3041">
      <c r="A3041" s="5">
        <f>HYPERLINK("https://finance.yahoo.com/quote/IBEX","IBEX")</f>
        <v/>
      </c>
      <c r="B3041" t="inlineStr">
        <is>
          <t>IBEX Ltd</t>
        </is>
      </c>
      <c r="C3041" t="inlineStr">
        <is>
          <t>Nasdaq</t>
        </is>
      </c>
      <c r="D3041" t="n">
        <v>1720420</v>
      </c>
      <c r="E3041" t="inlineStr">
        <is>
          <t>SEC</t>
        </is>
      </c>
    </row>
    <row r="3042">
      <c r="A3042" s="5">
        <f>HYPERLINK("https://finance.yahoo.com/quote/AMRQF","AMRQF")</f>
        <v/>
      </c>
      <c r="B3042" t="inlineStr">
        <is>
          <t>AMAROQ LTD.</t>
        </is>
      </c>
      <c r="C3042" t="inlineStr">
        <is>
          <t>OTC</t>
        </is>
      </c>
      <c r="D3042" t="n">
        <v>2076631</v>
      </c>
      <c r="E3042" t="inlineStr">
        <is>
          <t>SEC</t>
        </is>
      </c>
    </row>
    <row r="3043">
      <c r="A3043" s="5">
        <f>HYPERLINK("https://finance.yahoo.com/quote/KOPN","KOPN")</f>
        <v/>
      </c>
      <c r="B3043" t="inlineStr">
        <is>
          <t>KOPIN CORP</t>
        </is>
      </c>
      <c r="C3043" t="inlineStr">
        <is>
          <t>Nasdaq</t>
        </is>
      </c>
      <c r="D3043" t="n">
        <v>771266</v>
      </c>
      <c r="E3043" t="inlineStr">
        <is>
          <t>SEC</t>
        </is>
      </c>
    </row>
    <row r="3044">
      <c r="A3044" s="5">
        <f>HYPERLINK("https://finance.yahoo.com/quote/BWMX","BWMX")</f>
        <v/>
      </c>
      <c r="B3044" t="inlineStr">
        <is>
          <t>BETTERWARE DE MEXICO, S.A.P.I. DE C.V</t>
        </is>
      </c>
      <c r="C3044" t="inlineStr">
        <is>
          <t>NYSE</t>
        </is>
      </c>
      <c r="D3044" t="n">
        <v>1788257</v>
      </c>
      <c r="E3044" t="inlineStr">
        <is>
          <t>SEC</t>
        </is>
      </c>
    </row>
    <row r="3045">
      <c r="A3045" s="5">
        <f>HYPERLINK("https://finance.yahoo.com/quote/GYRE","GYRE")</f>
        <v/>
      </c>
      <c r="B3045" t="inlineStr">
        <is>
          <t>GYRE THERAPEUTICS, INC.</t>
        </is>
      </c>
      <c r="C3045" t="inlineStr">
        <is>
          <t>Nasdaq</t>
        </is>
      </c>
      <c r="D3045" t="n">
        <v>1124105</v>
      </c>
      <c r="E3045" t="inlineStr">
        <is>
          <t>SEC</t>
        </is>
      </c>
    </row>
    <row r="3046">
      <c r="A3046" s="5">
        <f>HYPERLINK("https://finance.yahoo.com/quote/WVE","WVE")</f>
        <v/>
      </c>
      <c r="B3046" t="inlineStr">
        <is>
          <t>Wave Life Sciences, Inc.</t>
        </is>
      </c>
      <c r="C3046" t="inlineStr">
        <is>
          <t>Nasdaq</t>
        </is>
      </c>
      <c r="D3046" t="n">
        <v>1631574</v>
      </c>
      <c r="E3046" t="inlineStr">
        <is>
          <t>SEC</t>
        </is>
      </c>
    </row>
    <row r="3047">
      <c r="A3047" s="5">
        <f>HYPERLINK("https://finance.yahoo.com/quote/LXRX","LXRX")</f>
        <v/>
      </c>
      <c r="B3047" t="inlineStr">
        <is>
          <t>LEXICON PHARMACEUTICALS, INC.</t>
        </is>
      </c>
      <c r="C3047" t="inlineStr">
        <is>
          <t>Nasdaq</t>
        </is>
      </c>
      <c r="D3047" t="n">
        <v>1062822</v>
      </c>
      <c r="E3047" t="inlineStr">
        <is>
          <t>SEC</t>
        </is>
      </c>
    </row>
    <row r="3048">
      <c r="A3048" s="5">
        <f>HYPERLINK("https://finance.yahoo.com/quote/MAMA","MAMA")</f>
        <v/>
      </c>
      <c r="B3048" t="inlineStr">
        <is>
          <t>Mama's Creations, Inc.</t>
        </is>
      </c>
      <c r="C3048" t="inlineStr">
        <is>
          <t>Nasdaq</t>
        </is>
      </c>
      <c r="D3048" t="n">
        <v>1520358</v>
      </c>
      <c r="E3048" t="inlineStr">
        <is>
          <t>SEC</t>
        </is>
      </c>
    </row>
    <row r="3049">
      <c r="A3049" s="5">
        <f>HYPERLINK("https://finance.yahoo.com/quote/SABR","SABR")</f>
        <v/>
      </c>
      <c r="B3049" t="inlineStr">
        <is>
          <t>Sabre Corp</t>
        </is>
      </c>
      <c r="C3049" t="inlineStr">
        <is>
          <t>Nasdaq</t>
        </is>
      </c>
      <c r="D3049" t="n">
        <v>1597033</v>
      </c>
      <c r="E3049" t="inlineStr">
        <is>
          <t>SEC</t>
        </is>
      </c>
    </row>
    <row r="3050">
      <c r="A3050" s="5">
        <f>HYPERLINK("https://finance.yahoo.com/quote/NTGR","NTGR")</f>
        <v/>
      </c>
      <c r="B3050" t="inlineStr">
        <is>
          <t>NETGEAR, INC.</t>
        </is>
      </c>
      <c r="C3050" t="inlineStr">
        <is>
          <t>Nasdaq</t>
        </is>
      </c>
      <c r="D3050" t="n">
        <v>1122904</v>
      </c>
      <c r="E3050" t="inlineStr">
        <is>
          <t>SEC</t>
        </is>
      </c>
    </row>
    <row r="3051">
      <c r="A3051" s="5">
        <f>HYPERLINK("https://finance.yahoo.com/quote/FPH","FPH")</f>
        <v/>
      </c>
      <c r="B3051" t="inlineStr">
        <is>
          <t>Five Point Holdings, LLC</t>
        </is>
      </c>
      <c r="C3051" t="inlineStr">
        <is>
          <t>NYSE</t>
        </is>
      </c>
      <c r="D3051" t="n">
        <v>1574197</v>
      </c>
      <c r="E3051" t="inlineStr">
        <is>
          <t>SEC</t>
        </is>
      </c>
    </row>
    <row r="3052">
      <c r="A3052" s="5">
        <f>HYPERLINK("https://finance.yahoo.com/quote/CADL","CADL")</f>
        <v/>
      </c>
      <c r="B3052" t="inlineStr">
        <is>
          <t>Candel Therapeutics, Inc.</t>
        </is>
      </c>
      <c r="C3052" t="inlineStr">
        <is>
          <t>Nasdaq</t>
        </is>
      </c>
      <c r="D3052" t="n">
        <v>1841387</v>
      </c>
      <c r="E3052" t="inlineStr">
        <is>
          <t>SEC</t>
        </is>
      </c>
    </row>
    <row r="3053">
      <c r="A3053" s="5">
        <f>HYPERLINK("https://finance.yahoo.com/quote/SWBI","SWBI")</f>
        <v/>
      </c>
      <c r="B3053" t="inlineStr">
        <is>
          <t>SMITH &amp; WESSON BRANDS, INC.</t>
        </is>
      </c>
      <c r="C3053" t="inlineStr">
        <is>
          <t>Nasdaq</t>
        </is>
      </c>
      <c r="D3053" t="n">
        <v>1092796</v>
      </c>
      <c r="E3053" t="inlineStr">
        <is>
          <t>SEC</t>
        </is>
      </c>
    </row>
    <row r="3054">
      <c r="A3054" s="5">
        <f>HYPERLINK("https://finance.yahoo.com/quote/CRMD","CRMD")</f>
        <v/>
      </c>
      <c r="B3054" t="inlineStr">
        <is>
          <t>CorMedix Inc.</t>
        </is>
      </c>
      <c r="C3054" t="inlineStr">
        <is>
          <t>Nasdaq</t>
        </is>
      </c>
      <c r="D3054" t="n">
        <v>1410098</v>
      </c>
      <c r="E3054" t="inlineStr">
        <is>
          <t>SEC</t>
        </is>
      </c>
    </row>
    <row r="3055">
      <c r="A3055" s="5">
        <f>HYPERLINK("https://finance.yahoo.com/quote/RZAI","RZAI")</f>
        <v/>
      </c>
      <c r="B3055" t="inlineStr">
        <is>
          <t>ROZE AI INC.</t>
        </is>
      </c>
      <c r="C3055" t="inlineStr">
        <is>
          <t>Nasdaq</t>
        </is>
      </c>
      <c r="D3055" t="n">
        <v>2075335</v>
      </c>
      <c r="E3055" t="inlineStr">
        <is>
          <t>SEC</t>
        </is>
      </c>
    </row>
    <row r="3056">
      <c r="A3056" s="5">
        <f>HYPERLINK("https://finance.yahoo.com/quote/HDL","HDL")</f>
        <v/>
      </c>
      <c r="B3056" t="inlineStr">
        <is>
          <t>SUPER HI INTERNATIONAL HOLDING LTD.</t>
        </is>
      </c>
      <c r="C3056" t="inlineStr">
        <is>
          <t>Nasdaq</t>
        </is>
      </c>
      <c r="D3056" t="n">
        <v>1995306</v>
      </c>
      <c r="E3056" t="inlineStr">
        <is>
          <t>SEC</t>
        </is>
      </c>
    </row>
    <row r="3057">
      <c r="A3057" s="5">
        <f>HYPERLINK("https://finance.yahoo.com/quote/NKX","NKX")</f>
        <v/>
      </c>
      <c r="B3057" t="inlineStr">
        <is>
          <t>NUVEEN CALIFORNIA AMT-FREE QUALITY MUNICIPAL INCOME FUND</t>
        </is>
      </c>
      <c r="C3057" t="inlineStr">
        <is>
          <t>NYSE</t>
        </is>
      </c>
      <c r="D3057" t="n">
        <v>1195738</v>
      </c>
      <c r="E3057" t="inlineStr">
        <is>
          <t>SEC</t>
        </is>
      </c>
    </row>
    <row r="3058">
      <c r="A3058" s="5">
        <f>HYPERLINK("https://finance.yahoo.com/quote/SLRC","SLRC")</f>
        <v/>
      </c>
      <c r="B3058" t="inlineStr">
        <is>
          <t>SLR Investment Corp.</t>
        </is>
      </c>
      <c r="C3058" t="inlineStr">
        <is>
          <t>Nasdaq</t>
        </is>
      </c>
      <c r="D3058" t="n">
        <v>1418076</v>
      </c>
      <c r="E3058" t="inlineStr">
        <is>
          <t>SEC</t>
        </is>
      </c>
    </row>
    <row r="3059">
      <c r="A3059" s="5">
        <f>HYPERLINK("https://finance.yahoo.com/quote/PFN","PFN")</f>
        <v/>
      </c>
      <c r="B3059" t="inlineStr">
        <is>
          <t>PIMCO Income Strategy Fund II</t>
        </is>
      </c>
      <c r="C3059" t="inlineStr">
        <is>
          <t>NYSE</t>
        </is>
      </c>
      <c r="D3059" t="n">
        <v>1296250</v>
      </c>
      <c r="E3059" t="inlineStr">
        <is>
          <t>SEC</t>
        </is>
      </c>
    </row>
    <row r="3060">
      <c r="A3060" s="5">
        <f>HYPERLINK("https://finance.yahoo.com/quote/KRNY","KRNY")</f>
        <v/>
      </c>
      <c r="B3060" t="inlineStr">
        <is>
          <t>Kearny Financial Corp.</t>
        </is>
      </c>
      <c r="C3060" t="inlineStr">
        <is>
          <t>Nasdaq</t>
        </is>
      </c>
      <c r="D3060" t="n">
        <v>1617242</v>
      </c>
      <c r="E3060" t="inlineStr">
        <is>
          <t>SEC</t>
        </is>
      </c>
    </row>
    <row r="3061">
      <c r="A3061" s="5">
        <f>HYPERLINK("https://finance.yahoo.com/quote/CLMB","CLMB")</f>
        <v/>
      </c>
      <c r="B3061" t="inlineStr">
        <is>
          <t>Climb Global Solutions, Inc.</t>
        </is>
      </c>
      <c r="C3061" t="inlineStr">
        <is>
          <t>Nasdaq</t>
        </is>
      </c>
      <c r="D3061" t="n">
        <v>945983</v>
      </c>
      <c r="E3061" t="inlineStr">
        <is>
          <t>SEC</t>
        </is>
      </c>
    </row>
    <row r="3062">
      <c r="A3062" s="5">
        <f>HYPERLINK("https://finance.yahoo.com/quote/PAXS","PAXS")</f>
        <v/>
      </c>
      <c r="B3062" t="inlineStr">
        <is>
          <t>PIMCO Access Income Fund</t>
        </is>
      </c>
      <c r="C3062" t="inlineStr">
        <is>
          <t>NYSE</t>
        </is>
      </c>
      <c r="D3062" t="n">
        <v>1886878</v>
      </c>
      <c r="E3062" t="inlineStr">
        <is>
          <t>SEC</t>
        </is>
      </c>
    </row>
    <row r="3063">
      <c r="A3063" s="5">
        <f>HYPERLINK("https://finance.yahoo.com/quote/FBIZ","FBIZ")</f>
        <v/>
      </c>
      <c r="B3063" t="inlineStr">
        <is>
          <t>FIRST BUSINESS FINANCIAL SERVICES, INC.</t>
        </is>
      </c>
      <c r="C3063" t="inlineStr">
        <is>
          <t>Nasdaq</t>
        </is>
      </c>
      <c r="D3063" t="n">
        <v>1521951</v>
      </c>
      <c r="E3063" t="inlineStr">
        <is>
          <t>SEC</t>
        </is>
      </c>
    </row>
    <row r="3064">
      <c r="A3064" s="5">
        <f>HYPERLINK("https://finance.yahoo.com/quote/TIPT","TIPT")</f>
        <v/>
      </c>
      <c r="B3064" t="inlineStr">
        <is>
          <t>TIPTREE INC.</t>
        </is>
      </c>
      <c r="C3064" t="inlineStr">
        <is>
          <t>Nasdaq</t>
        </is>
      </c>
      <c r="D3064" t="n">
        <v>1393726</v>
      </c>
      <c r="E3064" t="inlineStr">
        <is>
          <t>SEC</t>
        </is>
      </c>
    </row>
    <row r="3065">
      <c r="A3065" s="5">
        <f>HYPERLINK("https://finance.yahoo.com/quote/EVAC","EVAC")</f>
        <v/>
      </c>
      <c r="B3065" t="inlineStr">
        <is>
          <t>EQV Ventures Acquisition Corp. II</t>
        </is>
      </c>
      <c r="C3065" t="inlineStr">
        <is>
          <t>NYSE</t>
        </is>
      </c>
      <c r="D3065" t="n">
        <v>2042902</v>
      </c>
      <c r="E3065" t="inlineStr">
        <is>
          <t>SEC</t>
        </is>
      </c>
    </row>
    <row r="3066">
      <c r="A3066" s="5">
        <f>HYPERLINK("https://finance.yahoo.com/quote/HOV","HOV")</f>
        <v/>
      </c>
      <c r="B3066" t="inlineStr">
        <is>
          <t>HOVNANIAN ENTERPRISES INC</t>
        </is>
      </c>
      <c r="C3066" t="inlineStr">
        <is>
          <t>NYSE</t>
        </is>
      </c>
      <c r="D3066" t="n">
        <v>357294</v>
      </c>
      <c r="E3066" t="inlineStr">
        <is>
          <t>SEC</t>
        </is>
      </c>
    </row>
    <row r="3067">
      <c r="A3067" s="5">
        <f>HYPERLINK("https://finance.yahoo.com/quote/JBI","JBI")</f>
        <v/>
      </c>
      <c r="B3067" t="inlineStr">
        <is>
          <t>Janus International Group, Inc.</t>
        </is>
      </c>
      <c r="C3067" t="inlineStr">
        <is>
          <t>NYSE</t>
        </is>
      </c>
      <c r="D3067" t="n">
        <v>1839839</v>
      </c>
      <c r="E3067" t="inlineStr">
        <is>
          <t>SEC</t>
        </is>
      </c>
    </row>
    <row r="3068">
      <c r="A3068" s="5">
        <f>HYPERLINK("https://finance.yahoo.com/quote/BXC","BXC")</f>
        <v/>
      </c>
      <c r="B3068" t="inlineStr">
        <is>
          <t>BlueLinx Holdings Inc.</t>
        </is>
      </c>
      <c r="C3068" t="inlineStr">
        <is>
          <t>NYSE</t>
        </is>
      </c>
      <c r="D3068" t="n">
        <v>1301787</v>
      </c>
      <c r="E3068" t="inlineStr">
        <is>
          <t>SEC</t>
        </is>
      </c>
    </row>
    <row r="3069">
      <c r="A3069" s="5">
        <f>HYPERLINK("https://finance.yahoo.com/quote/HAPVY","HAPVY")</f>
        <v/>
      </c>
      <c r="B3069" t="inlineStr">
        <is>
          <t>Hapvida Participacoes e Investimentos S.A./ADR</t>
        </is>
      </c>
      <c r="C3069" t="inlineStr">
        <is>
          <t>OTC</t>
        </is>
      </c>
      <c r="D3069" t="n">
        <v>1869666</v>
      </c>
      <c r="E3069" t="inlineStr">
        <is>
          <t>SEC</t>
        </is>
      </c>
    </row>
    <row r="3070">
      <c r="A3070" s="5">
        <f>HYPERLINK("https://finance.yahoo.com/quote/GOTU","GOTU")</f>
        <v/>
      </c>
      <c r="B3070" t="inlineStr">
        <is>
          <t>Gaotu Techedu Inc.</t>
        </is>
      </c>
      <c r="C3070" t="inlineStr">
        <is>
          <t>NYSE</t>
        </is>
      </c>
      <c r="D3070" t="n">
        <v>1768259</v>
      </c>
      <c r="E3070" t="inlineStr">
        <is>
          <t>SEC</t>
        </is>
      </c>
    </row>
    <row r="3071">
      <c r="A3071" s="5">
        <f>HYPERLINK("https://finance.yahoo.com/quote/IIIV","IIIV")</f>
        <v/>
      </c>
      <c r="B3071" t="inlineStr">
        <is>
          <t>i3 Verticals, Inc.</t>
        </is>
      </c>
      <c r="C3071" t="inlineStr">
        <is>
          <t>Nasdaq</t>
        </is>
      </c>
      <c r="D3071" t="n">
        <v>1728688</v>
      </c>
      <c r="E3071" t="inlineStr">
        <is>
          <t>SEC</t>
        </is>
      </c>
    </row>
    <row r="3072">
      <c r="A3072" s="5">
        <f>HYPERLINK("https://finance.yahoo.com/quote/GCBC","GCBC")</f>
        <v/>
      </c>
      <c r="B3072" t="inlineStr">
        <is>
          <t>GREENE COUNTY BANCORP INC</t>
        </is>
      </c>
      <c r="C3072" t="inlineStr">
        <is>
          <t>Nasdaq</t>
        </is>
      </c>
      <c r="D3072" t="n">
        <v>1070524</v>
      </c>
      <c r="E3072" t="inlineStr">
        <is>
          <t>SEC</t>
        </is>
      </c>
    </row>
    <row r="3073">
      <c r="A3073" s="5">
        <f>HYPERLINK("https://finance.yahoo.com/quote/MATW","MATW")</f>
        <v/>
      </c>
      <c r="B3073" t="inlineStr">
        <is>
          <t>MATTHEWS INTERNATIONAL CORP</t>
        </is>
      </c>
      <c r="C3073" t="inlineStr">
        <is>
          <t>Nasdaq</t>
        </is>
      </c>
      <c r="D3073" t="n">
        <v>63296</v>
      </c>
      <c r="E3073" t="inlineStr">
        <is>
          <t>SEC</t>
        </is>
      </c>
    </row>
    <row r="3074">
      <c r="A3074" s="5">
        <f>HYPERLINK("https://finance.yahoo.com/quote/VEL","VEL")</f>
        <v/>
      </c>
      <c r="B3074" t="inlineStr">
        <is>
          <t>Velocity Financial, Inc.</t>
        </is>
      </c>
      <c r="C3074" t="inlineStr">
        <is>
          <t>NYSE</t>
        </is>
      </c>
      <c r="D3074" t="n">
        <v>1692376</v>
      </c>
      <c r="E3074" t="inlineStr">
        <is>
          <t>SEC</t>
        </is>
      </c>
    </row>
    <row r="3075">
      <c r="A3075" s="5">
        <f>HYPERLINK("https://finance.yahoo.com/quote/DBVT","DBVT")</f>
        <v/>
      </c>
      <c r="B3075" t="inlineStr">
        <is>
          <t>DBV Technologies S.A.</t>
        </is>
      </c>
      <c r="C3075" t="inlineStr">
        <is>
          <t>Nasdaq</t>
        </is>
      </c>
      <c r="D3075" t="n">
        <v>1613780</v>
      </c>
      <c r="E3075" t="inlineStr">
        <is>
          <t>SEC</t>
        </is>
      </c>
    </row>
    <row r="3076">
      <c r="A3076" s="5">
        <f>HYPERLINK("https://finance.yahoo.com/quote/PSNY","PSNY")</f>
        <v/>
      </c>
      <c r="B3076" t="inlineStr">
        <is>
          <t>Polestar Automotive Holding UK PLC</t>
        </is>
      </c>
      <c r="C3076" t="inlineStr">
        <is>
          <t>Nasdaq</t>
        </is>
      </c>
      <c r="D3076" t="n">
        <v>1884082</v>
      </c>
      <c r="E3076" t="inlineStr">
        <is>
          <t>SEC</t>
        </is>
      </c>
    </row>
    <row r="3077">
      <c r="A3077" s="5">
        <f>HYPERLINK("https://finance.yahoo.com/quote/IVR","IVR")</f>
        <v/>
      </c>
      <c r="B3077" t="inlineStr">
        <is>
          <t>Invesco Mortgage Capital Inc.</t>
        </is>
      </c>
      <c r="C3077" t="inlineStr">
        <is>
          <t>NYSE</t>
        </is>
      </c>
      <c r="D3077" t="n">
        <v>1437071</v>
      </c>
      <c r="E3077" t="inlineStr">
        <is>
          <t>SEC</t>
        </is>
      </c>
    </row>
    <row r="3078">
      <c r="A3078" s="5">
        <f>HYPERLINK("https://finance.yahoo.com/quote/KE","KE")</f>
        <v/>
      </c>
      <c r="B3078" t="inlineStr">
        <is>
          <t>Kimball Electronics, Inc.</t>
        </is>
      </c>
      <c r="C3078" t="inlineStr">
        <is>
          <t>Nasdaq</t>
        </is>
      </c>
      <c r="D3078" t="n">
        <v>1606757</v>
      </c>
      <c r="E3078" t="inlineStr">
        <is>
          <t>SEC</t>
        </is>
      </c>
    </row>
    <row r="3079">
      <c r="A3079" s="5">
        <f>HYPERLINK("https://finance.yahoo.com/quote/SSYS","SSYS")</f>
        <v/>
      </c>
      <c r="B3079" t="inlineStr">
        <is>
          <t>STRATASYS LTD.</t>
        </is>
      </c>
      <c r="C3079" t="inlineStr">
        <is>
          <t>Nasdaq</t>
        </is>
      </c>
      <c r="D3079" t="n">
        <v>1517396</v>
      </c>
      <c r="E3079" t="inlineStr">
        <is>
          <t>SEC</t>
        </is>
      </c>
    </row>
    <row r="3080">
      <c r="A3080" s="5">
        <f>HYPERLINK("https://finance.yahoo.com/quote/FDMT","FDMT")</f>
        <v/>
      </c>
      <c r="B3080" t="inlineStr">
        <is>
          <t>4D Molecular Therapeutics, Inc.</t>
        </is>
      </c>
      <c r="C3080" t="inlineStr">
        <is>
          <t>Nasdaq</t>
        </is>
      </c>
      <c r="D3080" t="n">
        <v>1650648</v>
      </c>
      <c r="E3080" t="inlineStr">
        <is>
          <t>SEC</t>
        </is>
      </c>
    </row>
    <row r="3081">
      <c r="A3081" s="5">
        <f>HYPERLINK("https://finance.yahoo.com/quote/BCSS","BCSS")</f>
        <v/>
      </c>
      <c r="B3081" t="inlineStr">
        <is>
          <t>Bain Capital GSS Investment Corp.</t>
        </is>
      </c>
      <c r="C3081" t="inlineStr">
        <is>
          <t>NYSE</t>
        </is>
      </c>
      <c r="D3081" t="n">
        <v>2064355</v>
      </c>
      <c r="E3081" t="inlineStr">
        <is>
          <t>SEC</t>
        </is>
      </c>
    </row>
    <row r="3082">
      <c r="A3082" s="5">
        <f>HYPERLINK("https://finance.yahoo.com/quote/WEAV","WEAV")</f>
        <v/>
      </c>
      <c r="B3082" t="inlineStr">
        <is>
          <t>Weave Communications, Inc.</t>
        </is>
      </c>
      <c r="C3082" t="inlineStr">
        <is>
          <t>NYSE</t>
        </is>
      </c>
      <c r="D3082" t="n">
        <v>1609151</v>
      </c>
      <c r="E3082" t="inlineStr">
        <is>
          <t>SEC</t>
        </is>
      </c>
    </row>
    <row r="3083">
      <c r="A3083" s="5">
        <f>HYPERLINK("https://finance.yahoo.com/quote/RZLV","RZLV")</f>
        <v/>
      </c>
      <c r="B3083" t="inlineStr">
        <is>
          <t>REZOLVE AI PLC</t>
        </is>
      </c>
      <c r="C3083" t="inlineStr">
        <is>
          <t>Nasdaq</t>
        </is>
      </c>
      <c r="D3083" t="n">
        <v>1920294</v>
      </c>
      <c r="E3083" t="inlineStr">
        <is>
          <t>SEC</t>
        </is>
      </c>
    </row>
    <row r="3084">
      <c r="A3084" s="5">
        <f>HYPERLINK("https://finance.yahoo.com/quote/WDI","WDI")</f>
        <v/>
      </c>
      <c r="B3084" t="inlineStr">
        <is>
          <t>Western Asset Diversified Income Fund (WDI)</t>
        </is>
      </c>
      <c r="C3084" t="inlineStr">
        <is>
          <t>NYSE</t>
        </is>
      </c>
      <c r="D3084" t="n">
        <v>1819559</v>
      </c>
      <c r="E3084" t="inlineStr">
        <is>
          <t>SEC</t>
        </is>
      </c>
    </row>
    <row r="3085">
      <c r="A3085" s="5">
        <f>HYPERLINK("https://finance.yahoo.com/quote/SATL","SATL")</f>
        <v/>
      </c>
      <c r="B3085" t="inlineStr">
        <is>
          <t>Satellogic Inc.</t>
        </is>
      </c>
      <c r="C3085" t="inlineStr">
        <is>
          <t>Nasdaq</t>
        </is>
      </c>
      <c r="D3085" t="n">
        <v>1874315</v>
      </c>
      <c r="E3085" t="inlineStr">
        <is>
          <t>SEC</t>
        </is>
      </c>
    </row>
    <row r="3086">
      <c r="A3086" s="5">
        <f>HYPERLINK("https://finance.yahoo.com/quote/CRD-A","CRD-A")</f>
        <v/>
      </c>
      <c r="B3086" t="inlineStr">
        <is>
          <t>CRAWFORD &amp; CO</t>
        </is>
      </c>
      <c r="C3086" t="inlineStr">
        <is>
          <t>NYSE</t>
        </is>
      </c>
      <c r="D3086" t="n">
        <v>25475</v>
      </c>
      <c r="E3086" t="inlineStr">
        <is>
          <t>SEC</t>
        </is>
      </c>
    </row>
    <row r="3087">
      <c r="A3087" s="5">
        <f>HYPERLINK("https://finance.yahoo.com/quote/CEPF","CEPF")</f>
        <v/>
      </c>
      <c r="B3087" t="inlineStr">
        <is>
          <t>Cantor Equity Partners IV, Inc.</t>
        </is>
      </c>
      <c r="C3087" t="inlineStr">
        <is>
          <t>Nasdaq</t>
        </is>
      </c>
      <c r="D3087" t="n">
        <v>2034267</v>
      </c>
      <c r="E3087" t="inlineStr">
        <is>
          <t>SEC</t>
        </is>
      </c>
    </row>
    <row r="3088">
      <c r="A3088" s="5">
        <f>HYPERLINK("https://finance.yahoo.com/quote/PZZA","PZZA")</f>
        <v/>
      </c>
      <c r="B3088" t="inlineStr">
        <is>
          <t>PAPA JOHNS INTERNATIONAL INC</t>
        </is>
      </c>
      <c r="C3088" t="inlineStr">
        <is>
          <t>Nasdaq</t>
        </is>
      </c>
      <c r="D3088" t="n">
        <v>901491</v>
      </c>
      <c r="E3088" t="inlineStr">
        <is>
          <t>SEC</t>
        </is>
      </c>
    </row>
    <row r="3089">
      <c r="A3089" s="5">
        <f>HYPERLINK("https://finance.yahoo.com/quote/ZVRA","ZVRA")</f>
        <v/>
      </c>
      <c r="B3089" t="inlineStr">
        <is>
          <t>ZEVRA THERAPEUTICS, INC.</t>
        </is>
      </c>
      <c r="C3089" t="inlineStr">
        <is>
          <t>Nasdaq</t>
        </is>
      </c>
      <c r="D3089" t="n">
        <v>1434647</v>
      </c>
      <c r="E3089" t="inlineStr">
        <is>
          <t>SEC</t>
        </is>
      </c>
    </row>
    <row r="3090">
      <c r="A3090" s="5">
        <f>HYPERLINK("https://finance.yahoo.com/quote/KELYA","KELYA")</f>
        <v/>
      </c>
      <c r="B3090" t="inlineStr">
        <is>
          <t>KELLY SERVICES INC</t>
        </is>
      </c>
      <c r="C3090" t="inlineStr">
        <is>
          <t>Nasdaq</t>
        </is>
      </c>
      <c r="D3090" t="n">
        <v>55135</v>
      </c>
      <c r="E3090" t="inlineStr">
        <is>
          <t>SEC</t>
        </is>
      </c>
    </row>
    <row r="3091">
      <c r="A3091" s="5">
        <f>HYPERLINK("https://finance.yahoo.com/quote/AHRT","AHRT")</f>
        <v/>
      </c>
      <c r="B3091" t="inlineStr">
        <is>
          <t>AH Realty Trust, Inc.</t>
        </is>
      </c>
      <c r="C3091" t="inlineStr">
        <is>
          <t>NYSE</t>
        </is>
      </c>
      <c r="D3091" t="n">
        <v>1569187</v>
      </c>
      <c r="E3091" t="inlineStr">
        <is>
          <t>SEC</t>
        </is>
      </c>
    </row>
    <row r="3092">
      <c r="A3092" s="5">
        <f>HYPERLINK("https://finance.yahoo.com/quote/CLYM","CLYM")</f>
        <v/>
      </c>
      <c r="B3092" t="inlineStr">
        <is>
          <t>Climb Bio, Inc.</t>
        </is>
      </c>
      <c r="C3092" t="inlineStr">
        <is>
          <t>Nasdaq</t>
        </is>
      </c>
      <c r="D3092" t="n">
        <v>1768446</v>
      </c>
      <c r="E3092" t="inlineStr">
        <is>
          <t>SEC</t>
        </is>
      </c>
    </row>
    <row r="3093">
      <c r="A3093" s="5">
        <f>HYPERLINK("https://finance.yahoo.com/quote/CIVB","CIVB")</f>
        <v/>
      </c>
      <c r="B3093" t="inlineStr">
        <is>
          <t>CIVISTA BANCSHARES, INC.</t>
        </is>
      </c>
      <c r="C3093" t="inlineStr">
        <is>
          <t>Nasdaq</t>
        </is>
      </c>
      <c r="D3093" t="n">
        <v>944745</v>
      </c>
      <c r="E3093" t="inlineStr">
        <is>
          <t>SEC</t>
        </is>
      </c>
    </row>
    <row r="3094">
      <c r="A3094" s="5">
        <f>HYPERLINK("https://finance.yahoo.com/quote/NML","NML")</f>
        <v/>
      </c>
      <c r="B3094" t="inlineStr">
        <is>
          <t>Neuberger Energy Infrastructure &amp; Income Fund Inc.</t>
        </is>
      </c>
      <c r="C3094" t="inlineStr">
        <is>
          <t>NYSE</t>
        </is>
      </c>
      <c r="D3094" t="n">
        <v>1562051</v>
      </c>
      <c r="E3094" t="inlineStr">
        <is>
          <t>SEC</t>
        </is>
      </c>
    </row>
    <row r="3095">
      <c r="A3095" s="5">
        <f>HYPERLINK("https://finance.yahoo.com/quote/UNTY","UNTY")</f>
        <v/>
      </c>
      <c r="B3095" t="inlineStr">
        <is>
          <t>UNITY BANCORP INC /NJ/</t>
        </is>
      </c>
      <c r="C3095" t="inlineStr">
        <is>
          <t>Nasdaq</t>
        </is>
      </c>
      <c r="D3095" t="n">
        <v>920427</v>
      </c>
      <c r="E3095" t="inlineStr">
        <is>
          <t>SEC</t>
        </is>
      </c>
    </row>
    <row r="3096">
      <c r="A3096" s="5">
        <f>HYPERLINK("https://finance.yahoo.com/quote/GMRS","GMRS")</f>
        <v/>
      </c>
      <c r="B3096" t="inlineStr">
        <is>
          <t>GMR Solutions Inc.</t>
        </is>
      </c>
      <c r="C3096" t="inlineStr">
        <is>
          <t>NYSE</t>
        </is>
      </c>
      <c r="D3096" t="n">
        <v>1898718</v>
      </c>
      <c r="E3096" t="inlineStr">
        <is>
          <t>SEC</t>
        </is>
      </c>
    </row>
    <row r="3097">
      <c r="A3097" s="5">
        <f>HYPERLINK("https://finance.yahoo.com/quote/BRUN","BRUN")</f>
        <v/>
      </c>
      <c r="B3097" t="inlineStr">
        <is>
          <t>Boost Run Inc.</t>
        </is>
      </c>
      <c r="C3097" t="inlineStr">
        <is>
          <t>Nasdaq</t>
        </is>
      </c>
      <c r="D3097" t="n">
        <v>2090646</v>
      </c>
      <c r="E3097" t="inlineStr">
        <is>
          <t>SEC</t>
        </is>
      </c>
    </row>
    <row r="3098">
      <c r="A3098" s="5">
        <f>HYPERLINK("https://finance.yahoo.com/quote/MLR","MLR")</f>
        <v/>
      </c>
      <c r="B3098" t="inlineStr">
        <is>
          <t>MILLER INDUSTRIES INC /TN/</t>
        </is>
      </c>
      <c r="C3098" t="inlineStr">
        <is>
          <t>NYSE</t>
        </is>
      </c>
      <c r="D3098" t="n">
        <v>924822</v>
      </c>
      <c r="E3098" t="inlineStr">
        <is>
          <t>SEC</t>
        </is>
      </c>
    </row>
    <row r="3099">
      <c r="A3099" s="5">
        <f>HYPERLINK("https://finance.yahoo.com/quote/GOOD","GOOD")</f>
        <v/>
      </c>
      <c r="B3099" t="inlineStr">
        <is>
          <t>GLADSTONE COMMERCIAL CORP</t>
        </is>
      </c>
      <c r="C3099" t="inlineStr">
        <is>
          <t>Nasdaq</t>
        </is>
      </c>
      <c r="D3099" t="n">
        <v>1234006</v>
      </c>
      <c r="E3099" t="inlineStr">
        <is>
          <t>SEC</t>
        </is>
      </c>
    </row>
    <row r="3100">
      <c r="A3100" s="5">
        <f>HYPERLINK("https://finance.yahoo.com/quote/SFST","SFST")</f>
        <v/>
      </c>
      <c r="B3100" t="inlineStr">
        <is>
          <t>SOUTHERN FIRST BANCSHARES INC</t>
        </is>
      </c>
      <c r="C3100" t="inlineStr">
        <is>
          <t>Nasdaq</t>
        </is>
      </c>
      <c r="D3100" t="n">
        <v>1090009</v>
      </c>
      <c r="E3100" t="inlineStr">
        <is>
          <t>SEC</t>
        </is>
      </c>
    </row>
    <row r="3101">
      <c r="A3101" s="5">
        <f>HYPERLINK("https://finance.yahoo.com/quote/ABR","ABR")</f>
        <v/>
      </c>
      <c r="B3101" t="inlineStr">
        <is>
          <t>ARBOR REALTY TRUST INC</t>
        </is>
      </c>
      <c r="C3101" t="inlineStr">
        <is>
          <t>NYSE</t>
        </is>
      </c>
      <c r="D3101" t="n">
        <v>1253986</v>
      </c>
      <c r="E3101" t="inlineStr">
        <is>
          <t>SEC</t>
        </is>
      </c>
    </row>
    <row r="3102">
      <c r="A3102" s="5">
        <f>HYPERLINK("https://finance.yahoo.com/quote/CARS","CARS")</f>
        <v/>
      </c>
      <c r="B3102" t="inlineStr">
        <is>
          <t>Cars.com Inc.</t>
        </is>
      </c>
      <c r="C3102" t="inlineStr">
        <is>
          <t>NYSE</t>
        </is>
      </c>
      <c r="D3102" t="n">
        <v>1683606</v>
      </c>
      <c r="E3102" t="inlineStr">
        <is>
          <t>SEC</t>
        </is>
      </c>
    </row>
    <row r="3103">
      <c r="A3103" s="5">
        <f>HYPERLINK("https://finance.yahoo.com/quote/SHEN","SHEN")</f>
        <v/>
      </c>
      <c r="B3103" t="inlineStr">
        <is>
          <t>SHENANDOAH TELECOMMUNICATIONS CO/VA/</t>
        </is>
      </c>
      <c r="C3103" t="inlineStr">
        <is>
          <t>Nasdaq</t>
        </is>
      </c>
      <c r="D3103" t="n">
        <v>354963</v>
      </c>
      <c r="E3103" t="inlineStr">
        <is>
          <t>SEC</t>
        </is>
      </c>
    </row>
    <row r="3104">
      <c r="A3104" s="5">
        <f>HYPERLINK("https://finance.yahoo.com/quote/CSV","CSV")</f>
        <v/>
      </c>
      <c r="B3104" t="inlineStr">
        <is>
          <t>CARRIAGE SERVICES INC</t>
        </is>
      </c>
      <c r="C3104" t="inlineStr">
        <is>
          <t>NYSE</t>
        </is>
      </c>
      <c r="D3104" t="n">
        <v>1016281</v>
      </c>
      <c r="E3104" t="inlineStr">
        <is>
          <t>SEC</t>
        </is>
      </c>
    </row>
    <row r="3105">
      <c r="A3105" s="5">
        <f>HYPERLINK("https://finance.yahoo.com/quote/GILT","GILT")</f>
        <v/>
      </c>
      <c r="B3105" t="inlineStr">
        <is>
          <t>GILAT SATELLITE NETWORKS LTD</t>
        </is>
      </c>
      <c r="C3105" t="inlineStr">
        <is>
          <t>Nasdaq</t>
        </is>
      </c>
      <c r="D3105" t="n">
        <v>897322</v>
      </c>
      <c r="E3105" t="inlineStr">
        <is>
          <t>SEC</t>
        </is>
      </c>
    </row>
    <row r="3106">
      <c r="A3106" s="5">
        <f>HYPERLINK("https://finance.yahoo.com/quote/REAX","REAX")</f>
        <v/>
      </c>
      <c r="B3106" t="inlineStr">
        <is>
          <t>Real REMAX Group Inc.</t>
        </is>
      </c>
      <c r="C3106" t="inlineStr">
        <is>
          <t>Nasdaq</t>
        </is>
      </c>
      <c r="D3106" t="n">
        <v>2136387</v>
      </c>
      <c r="E3106" t="inlineStr">
        <is>
          <t>SEC</t>
        </is>
      </c>
    </row>
    <row r="3107">
      <c r="A3107" s="5">
        <f>HYPERLINK("https://finance.yahoo.com/quote/BWB","BWB")</f>
        <v/>
      </c>
      <c r="B3107" t="inlineStr">
        <is>
          <t>Bridgewater Bancshares Inc</t>
        </is>
      </c>
      <c r="C3107" t="inlineStr">
        <is>
          <t>Nasdaq</t>
        </is>
      </c>
      <c r="D3107" t="n">
        <v>1341317</v>
      </c>
      <c r="E3107" t="inlineStr">
        <is>
          <t>SEC</t>
        </is>
      </c>
    </row>
    <row r="3108">
      <c r="A3108" s="5">
        <f>HYPERLINK("https://finance.yahoo.com/quote/CXII","CXII")</f>
        <v/>
      </c>
      <c r="B3108" t="inlineStr">
        <is>
          <t>Churchill Capital Corp XII</t>
        </is>
      </c>
      <c r="C3108" t="inlineStr">
        <is>
          <t>Nasdaq</t>
        </is>
      </c>
      <c r="D3108" t="n">
        <v>2114227</v>
      </c>
      <c r="E3108" t="inlineStr">
        <is>
          <t>SEC</t>
        </is>
      </c>
    </row>
    <row r="3109">
      <c r="A3109" s="5">
        <f>HYPERLINK("https://finance.yahoo.com/quote/BOT","BOT")</f>
        <v/>
      </c>
      <c r="B3109" t="inlineStr">
        <is>
          <t>RoboStrategy, Inc.</t>
        </is>
      </c>
      <c r="C3109" t="inlineStr">
        <is>
          <t>Nasdaq</t>
        </is>
      </c>
      <c r="D3109" t="n">
        <v>2081119</v>
      </c>
      <c r="E3109" t="inlineStr">
        <is>
          <t>SEC</t>
        </is>
      </c>
    </row>
    <row r="3110">
      <c r="A3110" s="5">
        <f>HYPERLINK("https://finance.yahoo.com/quote/EVC","EVC")</f>
        <v/>
      </c>
      <c r="B3110" t="inlineStr">
        <is>
          <t>ENTRAVISION COMMUNICATIONS CORP</t>
        </is>
      </c>
      <c r="C3110" t="inlineStr">
        <is>
          <t>NYSE</t>
        </is>
      </c>
      <c r="D3110" t="n">
        <v>1109116</v>
      </c>
      <c r="E3110" t="inlineStr">
        <is>
          <t>SEC</t>
        </is>
      </c>
    </row>
    <row r="3111">
      <c r="A3111" s="5">
        <f>HYPERLINK("https://finance.yahoo.com/quote/EVEX","EVEX")</f>
        <v/>
      </c>
      <c r="B3111" t="inlineStr">
        <is>
          <t>Eve Holding, Inc.</t>
        </is>
      </c>
      <c r="C3111" t="inlineStr">
        <is>
          <t>NYSE</t>
        </is>
      </c>
      <c r="D3111" t="n">
        <v>1823652</v>
      </c>
      <c r="E3111" t="inlineStr">
        <is>
          <t>SEC</t>
        </is>
      </c>
    </row>
    <row r="3112">
      <c r="A3112" s="5">
        <f>HYPERLINK("https://finance.yahoo.com/quote/PCT","PCT")</f>
        <v/>
      </c>
      <c r="B3112" t="inlineStr">
        <is>
          <t>PureCycle Technologies, Inc.</t>
        </is>
      </c>
      <c r="C3112" t="inlineStr">
        <is>
          <t>Nasdaq</t>
        </is>
      </c>
      <c r="D3112" t="n">
        <v>1830033</v>
      </c>
      <c r="E3112" t="inlineStr">
        <is>
          <t>SEC</t>
        </is>
      </c>
    </row>
    <row r="3113">
      <c r="A3113" s="5">
        <f>HYPERLINK("https://finance.yahoo.com/quote/CCXI","CCXI")</f>
        <v/>
      </c>
      <c r="B3113" t="inlineStr">
        <is>
          <t>Churchill Capital Corp XI</t>
        </is>
      </c>
      <c r="C3113" t="inlineStr">
        <is>
          <t>Nasdaq</t>
        </is>
      </c>
      <c r="D3113" t="n">
        <v>2074973</v>
      </c>
      <c r="E3113" t="inlineStr">
        <is>
          <t>SEC</t>
        </is>
      </c>
    </row>
    <row r="3114">
      <c r="A3114" s="5">
        <f>HYPERLINK("https://finance.yahoo.com/quote/AVR","AVR")</f>
        <v/>
      </c>
      <c r="B3114" t="inlineStr">
        <is>
          <t>Anteris Technologies Global Corp.</t>
        </is>
      </c>
      <c r="C3114" t="inlineStr">
        <is>
          <t>Nasdaq</t>
        </is>
      </c>
      <c r="D3114" t="n">
        <v>2011514</v>
      </c>
      <c r="E3114" t="inlineStr">
        <is>
          <t>SEC</t>
        </is>
      </c>
    </row>
    <row r="3115">
      <c r="A3115" s="5">
        <f>HYPERLINK("https://finance.yahoo.com/quote/EBF","EBF")</f>
        <v/>
      </c>
      <c r="B3115" t="inlineStr">
        <is>
          <t>ENNIS, INC.</t>
        </is>
      </c>
      <c r="C3115" t="inlineStr">
        <is>
          <t>NYSE</t>
        </is>
      </c>
      <c r="D3115" t="n">
        <v>33002</v>
      </c>
      <c r="E3115" t="inlineStr">
        <is>
          <t>SEC</t>
        </is>
      </c>
    </row>
    <row r="3116">
      <c r="A3116" s="5">
        <f>HYPERLINK("https://finance.yahoo.com/quote/HPP","HPP")</f>
        <v/>
      </c>
      <c r="B3116" t="inlineStr">
        <is>
          <t>Hudson Pacific Properties, Inc.</t>
        </is>
      </c>
      <c r="C3116" t="inlineStr">
        <is>
          <t>NYSE</t>
        </is>
      </c>
      <c r="D3116" t="n">
        <v>1482512</v>
      </c>
      <c r="E3116" t="inlineStr">
        <is>
          <t>SEC</t>
        </is>
      </c>
    </row>
    <row r="3117">
      <c r="A3117" s="5">
        <f>HYPERLINK("https://finance.yahoo.com/quote/IRWD","IRWD")</f>
        <v/>
      </c>
      <c r="B3117" t="inlineStr">
        <is>
          <t>IRONWOOD PHARMACEUTICALS INC</t>
        </is>
      </c>
      <c r="C3117" t="inlineStr">
        <is>
          <t>Nasdaq</t>
        </is>
      </c>
      <c r="D3117" t="n">
        <v>1446847</v>
      </c>
      <c r="E3117" t="inlineStr">
        <is>
          <t>SEC</t>
        </is>
      </c>
    </row>
    <row r="3118">
      <c r="A3118" s="5">
        <f>HYPERLINK("https://finance.yahoo.com/quote/LMB","LMB")</f>
        <v/>
      </c>
      <c r="B3118" t="inlineStr">
        <is>
          <t>Limbach Holdings, Inc.</t>
        </is>
      </c>
      <c r="C3118" t="inlineStr">
        <is>
          <t>Nasdaq</t>
        </is>
      </c>
      <c r="D3118" t="n">
        <v>1606163</v>
      </c>
      <c r="E3118" t="inlineStr">
        <is>
          <t>SEC</t>
        </is>
      </c>
    </row>
    <row r="3119">
      <c r="A3119" s="5">
        <f>HYPERLINK("https://finance.yahoo.com/quote/NNDM","NNDM")</f>
        <v/>
      </c>
      <c r="B3119" t="inlineStr">
        <is>
          <t>Nano Dimension Ltd.</t>
        </is>
      </c>
      <c r="C3119" t="inlineStr">
        <is>
          <t>Nasdaq</t>
        </is>
      </c>
      <c r="D3119" t="n">
        <v>1643303</v>
      </c>
      <c r="E3119" t="inlineStr">
        <is>
          <t>SEC</t>
        </is>
      </c>
    </row>
    <row r="3120">
      <c r="A3120" s="5">
        <f>HYPERLINK("https://finance.yahoo.com/quote/MDXG","MDXG")</f>
        <v/>
      </c>
      <c r="B3120" t="inlineStr">
        <is>
          <t>MIMEDX GROUP, INC.</t>
        </is>
      </c>
      <c r="C3120" t="inlineStr">
        <is>
          <t>Nasdaq</t>
        </is>
      </c>
      <c r="D3120" t="n">
        <v>1376339</v>
      </c>
      <c r="E3120" t="inlineStr">
        <is>
          <t>SEC</t>
        </is>
      </c>
    </row>
    <row r="3121">
      <c r="A3121" s="5">
        <f>HYPERLINK("https://finance.yahoo.com/quote/PBYI","PBYI")</f>
        <v/>
      </c>
      <c r="B3121" t="inlineStr">
        <is>
          <t>PUMA BIOTECHNOLOGY, INC.</t>
        </is>
      </c>
      <c r="C3121" t="inlineStr">
        <is>
          <t>Nasdaq</t>
        </is>
      </c>
      <c r="D3121" t="n">
        <v>1401667</v>
      </c>
      <c r="E3121" t="inlineStr">
        <is>
          <t>SEC</t>
        </is>
      </c>
    </row>
    <row r="3122">
      <c r="A3122" s="5">
        <f>HYPERLINK("https://finance.yahoo.com/quote/SWRD","SWRD")</f>
        <v/>
      </c>
      <c r="B3122" t="inlineStr">
        <is>
          <t>Stewards, Inc.</t>
        </is>
      </c>
      <c r="C3122" t="inlineStr">
        <is>
          <t>Nasdaq</t>
        </is>
      </c>
      <c r="D3122" t="n">
        <v>1795851</v>
      </c>
      <c r="E3122" t="inlineStr">
        <is>
          <t>SEC</t>
        </is>
      </c>
    </row>
    <row r="3123">
      <c r="A3123" s="5">
        <f>HYPERLINK("https://finance.yahoo.com/quote/LUCK","LUCK")</f>
        <v/>
      </c>
      <c r="B3123" t="inlineStr">
        <is>
          <t>Lucky Strike Entertainment Corp</t>
        </is>
      </c>
      <c r="C3123" t="inlineStr">
        <is>
          <t>NYSE</t>
        </is>
      </c>
      <c r="D3123" t="n">
        <v>1840572</v>
      </c>
      <c r="E3123" t="inlineStr">
        <is>
          <t>SEC</t>
        </is>
      </c>
    </row>
    <row r="3124">
      <c r="A3124" s="5">
        <f>HYPERLINK("https://finance.yahoo.com/quote/ETRA","ETRA")</f>
        <v/>
      </c>
      <c r="B3124" t="inlineStr">
        <is>
          <t>Electra Therapeutics, Inc.</t>
        </is>
      </c>
      <c r="C3124" t="inlineStr">
        <is>
          <t>Nasdaq</t>
        </is>
      </c>
      <c r="D3124" t="n">
        <v>2088082</v>
      </c>
      <c r="E3124" t="inlineStr">
        <is>
          <t>SEC</t>
        </is>
      </c>
    </row>
    <row r="3125">
      <c r="A3125" s="5">
        <f>HYPERLINK("https://finance.yahoo.com/quote/AII","AII")</f>
        <v/>
      </c>
      <c r="B3125" t="inlineStr">
        <is>
          <t>American Integrity Insurance Group, Inc.</t>
        </is>
      </c>
      <c r="C3125" t="inlineStr">
        <is>
          <t>NYSE</t>
        </is>
      </c>
      <c r="D3125" t="n">
        <v>2007587</v>
      </c>
      <c r="E3125" t="inlineStr">
        <is>
          <t>SEC</t>
        </is>
      </c>
    </row>
    <row r="3126">
      <c r="A3126" s="5">
        <f>HYPERLINK("https://finance.yahoo.com/quote/ABTC","ABTC")</f>
        <v/>
      </c>
      <c r="B3126" t="inlineStr">
        <is>
          <t>American Bitcoin Corp.</t>
        </is>
      </c>
      <c r="C3126" t="inlineStr">
        <is>
          <t>Nasdaq</t>
        </is>
      </c>
      <c r="D3126" t="n">
        <v>1755953</v>
      </c>
      <c r="E3126" t="inlineStr">
        <is>
          <t>SEC</t>
        </is>
      </c>
    </row>
    <row r="3127">
      <c r="A3127" s="5">
        <f>HYPERLINK("https://finance.yahoo.com/quote/GORO","GORO")</f>
        <v/>
      </c>
      <c r="B3127" t="inlineStr">
        <is>
          <t>Goldgroup Mining Inc.</t>
        </is>
      </c>
      <c r="C3127" t="inlineStr">
        <is>
          <t>NYSE</t>
        </is>
      </c>
      <c r="D3127" t="n">
        <v>1515964</v>
      </c>
      <c r="E3127" t="inlineStr">
        <is>
          <t>SEC</t>
        </is>
      </c>
    </row>
    <row r="3128">
      <c r="A3128" s="5">
        <f>HYPERLINK("https://finance.yahoo.com/quote/XMAX","XMAX")</f>
        <v/>
      </c>
      <c r="B3128" t="inlineStr">
        <is>
          <t>XMax Inc.</t>
        </is>
      </c>
      <c r="C3128" t="inlineStr">
        <is>
          <t>Nasdaq</t>
        </is>
      </c>
      <c r="D3128" t="n">
        <v>1473334</v>
      </c>
      <c r="E3128" t="inlineStr">
        <is>
          <t>SEC</t>
        </is>
      </c>
    </row>
    <row r="3129">
      <c r="A3129" s="5">
        <f>HYPERLINK("https://finance.yahoo.com/quote/PROK","PROK")</f>
        <v/>
      </c>
      <c r="B3129" t="inlineStr">
        <is>
          <t>PROKIDNEY CORP.</t>
        </is>
      </c>
      <c r="C3129" t="inlineStr">
        <is>
          <t>Nasdaq</t>
        </is>
      </c>
      <c r="D3129" t="n">
        <v>1850270</v>
      </c>
      <c r="E3129" t="inlineStr">
        <is>
          <t>SEC</t>
        </is>
      </c>
    </row>
    <row r="3130">
      <c r="A3130" s="5">
        <f>HYPERLINK("https://finance.yahoo.com/quote/FLGT","FLGT")</f>
        <v/>
      </c>
      <c r="B3130" t="inlineStr">
        <is>
          <t>Fulgent Genetics, Inc.</t>
        </is>
      </c>
      <c r="C3130" t="inlineStr">
        <is>
          <t>Nasdaq</t>
        </is>
      </c>
      <c r="D3130" t="n">
        <v>1674930</v>
      </c>
      <c r="E3130" t="inlineStr">
        <is>
          <t>SEC</t>
        </is>
      </c>
    </row>
    <row r="3131">
      <c r="A3131" s="5">
        <f>HYPERLINK("https://finance.yahoo.com/quote/ACRS","ACRS")</f>
        <v/>
      </c>
      <c r="B3131" t="inlineStr">
        <is>
          <t>Aclaris Therapeutics, Inc.</t>
        </is>
      </c>
      <c r="C3131" t="inlineStr">
        <is>
          <t>Nasdaq</t>
        </is>
      </c>
      <c r="D3131" t="n">
        <v>1557746</v>
      </c>
      <c r="E3131" t="inlineStr">
        <is>
          <t>SEC</t>
        </is>
      </c>
    </row>
    <row r="3132">
      <c r="A3132" s="5">
        <f>HYPERLINK("https://finance.yahoo.com/quote/PKE","PKE")</f>
        <v/>
      </c>
      <c r="B3132" t="inlineStr">
        <is>
          <t>PARK AEROSPACE CORP</t>
        </is>
      </c>
      <c r="C3132" t="inlineStr">
        <is>
          <t>NYSE</t>
        </is>
      </c>
      <c r="D3132" t="n">
        <v>76267</v>
      </c>
      <c r="E3132" t="inlineStr">
        <is>
          <t>SEC</t>
        </is>
      </c>
    </row>
    <row r="3133">
      <c r="A3133" s="5">
        <f>HYPERLINK("https://finance.yahoo.com/quote/BSVN","BSVN")</f>
        <v/>
      </c>
      <c r="B3133" t="inlineStr">
        <is>
          <t>Bank7 Corp.</t>
        </is>
      </c>
      <c r="C3133" t="inlineStr">
        <is>
          <t>Nasdaq</t>
        </is>
      </c>
      <c r="D3133" t="n">
        <v>1746129</v>
      </c>
      <c r="E3133" t="inlineStr">
        <is>
          <t>SEC</t>
        </is>
      </c>
    </row>
    <row r="3134">
      <c r="A3134" s="5">
        <f>HYPERLINK("https://finance.yahoo.com/quote/TROX","TROX")</f>
        <v/>
      </c>
      <c r="B3134" t="inlineStr">
        <is>
          <t>Tronox Holdings plc</t>
        </is>
      </c>
      <c r="C3134" t="inlineStr">
        <is>
          <t>NYSE</t>
        </is>
      </c>
      <c r="D3134" t="n">
        <v>1530804</v>
      </c>
      <c r="E3134" t="inlineStr">
        <is>
          <t>SEC</t>
        </is>
      </c>
    </row>
    <row r="3135">
      <c r="A3135" s="5">
        <f>HYPERLINK("https://finance.yahoo.com/quote/MYGN","MYGN")</f>
        <v/>
      </c>
      <c r="B3135" t="inlineStr">
        <is>
          <t>MYRIAD GENETICS INC</t>
        </is>
      </c>
      <c r="C3135" t="inlineStr">
        <is>
          <t>Nasdaq</t>
        </is>
      </c>
      <c r="D3135" t="n">
        <v>899923</v>
      </c>
      <c r="E3135" t="inlineStr">
        <is>
          <t>SEC</t>
        </is>
      </c>
    </row>
    <row r="3136">
      <c r="A3136" s="5">
        <f>HYPERLINK("https://finance.yahoo.com/quote/DSU","DSU")</f>
        <v/>
      </c>
      <c r="B3136" t="inlineStr">
        <is>
          <t>BLACKROCK DEBT STRATEGIES FUND, INC.</t>
        </is>
      </c>
      <c r="C3136" t="inlineStr">
        <is>
          <t>NYSE</t>
        </is>
      </c>
      <c r="D3136" t="n">
        <v>1051003</v>
      </c>
      <c r="E3136" t="inlineStr">
        <is>
          <t>SEC</t>
        </is>
      </c>
    </row>
    <row r="3137">
      <c r="A3137" s="5">
        <f>HYPERLINK("https://finance.yahoo.com/quote/NDMO","NDMO")</f>
        <v/>
      </c>
      <c r="B3137" t="inlineStr">
        <is>
          <t>Nuveen Dynamic Municipal Opportunities Fund</t>
        </is>
      </c>
      <c r="C3137" t="inlineStr">
        <is>
          <t>NYSE</t>
        </is>
      </c>
      <c r="D3137" t="n">
        <v>1793129</v>
      </c>
      <c r="E3137" t="inlineStr">
        <is>
          <t>SEC</t>
        </is>
      </c>
    </row>
    <row r="3138">
      <c r="A3138" s="5">
        <f>HYPERLINK("https://finance.yahoo.com/quote/OLMA","OLMA")</f>
        <v/>
      </c>
      <c r="B3138" t="inlineStr">
        <is>
          <t>Olema Pharmaceuticals, Inc.</t>
        </is>
      </c>
      <c r="C3138" t="inlineStr">
        <is>
          <t>Nasdaq</t>
        </is>
      </c>
      <c r="D3138" t="n">
        <v>1750284</v>
      </c>
      <c r="E3138" t="inlineStr">
        <is>
          <t>SEC</t>
        </is>
      </c>
    </row>
    <row r="3139">
      <c r="A3139" s="5">
        <f>HYPERLINK("https://finance.yahoo.com/quote/FDCT","FDCT")</f>
        <v/>
      </c>
      <c r="B3139" t="inlineStr">
        <is>
          <t>FDCTECH, INC.</t>
        </is>
      </c>
      <c r="C3139" t="inlineStr">
        <is>
          <t>OTC</t>
        </is>
      </c>
      <c r="D3139" t="n">
        <v>1722731</v>
      </c>
      <c r="E3139" t="inlineStr">
        <is>
          <t>SEC</t>
        </is>
      </c>
    </row>
    <row r="3140">
      <c r="A3140" s="5">
        <f>HYPERLINK("https://finance.yahoo.com/quote/EVH","EVH")</f>
        <v/>
      </c>
      <c r="B3140" t="inlineStr">
        <is>
          <t>Evolent Health, Inc.</t>
        </is>
      </c>
      <c r="C3140" t="inlineStr">
        <is>
          <t>NYSE</t>
        </is>
      </c>
      <c r="D3140" t="n">
        <v>1628908</v>
      </c>
      <c r="E3140" t="inlineStr">
        <is>
          <t>SEC</t>
        </is>
      </c>
    </row>
    <row r="3141">
      <c r="A3141" s="5">
        <f>HYPERLINK("https://finance.yahoo.com/quote/STTK","STTK")</f>
        <v/>
      </c>
      <c r="B3141" t="inlineStr">
        <is>
          <t>Shattuck Labs, Inc.</t>
        </is>
      </c>
      <c r="C3141" t="inlineStr">
        <is>
          <t>Nasdaq</t>
        </is>
      </c>
      <c r="D3141" t="n">
        <v>1680367</v>
      </c>
      <c r="E3141" t="inlineStr">
        <is>
          <t>SEC</t>
        </is>
      </c>
    </row>
    <row r="3142">
      <c r="A3142" s="5">
        <f>HYPERLINK("https://finance.yahoo.com/quote/TITN","TITN")</f>
        <v/>
      </c>
      <c r="B3142" t="inlineStr">
        <is>
          <t>Titan Machinery Inc.</t>
        </is>
      </c>
      <c r="C3142" t="inlineStr">
        <is>
          <t>Nasdaq</t>
        </is>
      </c>
      <c r="D3142" t="n">
        <v>1409171</v>
      </c>
      <c r="E3142" t="inlineStr">
        <is>
          <t>SEC</t>
        </is>
      </c>
    </row>
    <row r="3143">
      <c r="A3143" s="5">
        <f>HYPERLINK("https://finance.yahoo.com/quote/IGR","IGR")</f>
        <v/>
      </c>
      <c r="B3143" t="inlineStr">
        <is>
          <t>CBRE GLOBAL REAL ESTATE INCOME FUND</t>
        </is>
      </c>
      <c r="C3143" t="inlineStr">
        <is>
          <t>NYSE</t>
        </is>
      </c>
      <c r="D3143" t="n">
        <v>1268884</v>
      </c>
      <c r="E3143" t="inlineStr">
        <is>
          <t>SEC</t>
        </is>
      </c>
    </row>
    <row r="3144">
      <c r="A3144" s="5">
        <f>HYPERLINK("https://finance.yahoo.com/quote/SD","SD")</f>
        <v/>
      </c>
      <c r="B3144" t="inlineStr">
        <is>
          <t>SANDRIDGE ENERGY INC</t>
        </is>
      </c>
      <c r="C3144" t="inlineStr">
        <is>
          <t>NYSE</t>
        </is>
      </c>
      <c r="D3144" t="n">
        <v>1349436</v>
      </c>
      <c r="E3144" t="inlineStr">
        <is>
          <t>SEC</t>
        </is>
      </c>
    </row>
    <row r="3145">
      <c r="A3145" s="5">
        <f>HYPERLINK("https://finance.yahoo.com/quote/OOMA","OOMA")</f>
        <v/>
      </c>
      <c r="B3145" t="inlineStr">
        <is>
          <t>OOMA INC</t>
        </is>
      </c>
      <c r="C3145" t="inlineStr">
        <is>
          <t>NYSE</t>
        </is>
      </c>
      <c r="D3145" t="n">
        <v>1327688</v>
      </c>
      <c r="E3145" t="inlineStr">
        <is>
          <t>SEC</t>
        </is>
      </c>
    </row>
    <row r="3146">
      <c r="A3146" s="5">
        <f>HYPERLINK("https://finance.yahoo.com/quote/SBC","SBC")</f>
        <v/>
      </c>
      <c r="B3146" t="inlineStr">
        <is>
          <t>SBC Medical Group Holdings Inc</t>
        </is>
      </c>
      <c r="C3146" t="inlineStr">
        <is>
          <t>Nasdaq</t>
        </is>
      </c>
      <c r="D3146" t="n">
        <v>1930313</v>
      </c>
      <c r="E3146" t="inlineStr">
        <is>
          <t>SEC</t>
        </is>
      </c>
    </row>
    <row r="3147">
      <c r="A3147" s="5">
        <f>HYPERLINK("https://finance.yahoo.com/quote/EVO","EVO")</f>
        <v/>
      </c>
      <c r="B3147" t="inlineStr">
        <is>
          <t>Evotec SE</t>
        </is>
      </c>
      <c r="C3147" t="inlineStr">
        <is>
          <t>Nasdaq</t>
        </is>
      </c>
      <c r="D3147" t="n">
        <v>1412558</v>
      </c>
      <c r="E3147" t="inlineStr">
        <is>
          <t>SEC</t>
        </is>
      </c>
    </row>
    <row r="3148">
      <c r="A3148" s="5">
        <f>HYPERLINK("https://finance.yahoo.com/quote/HIVE","HIVE")</f>
        <v/>
      </c>
      <c r="B3148" t="inlineStr">
        <is>
          <t>HIVE Digital Technologies Ltd.</t>
        </is>
      </c>
      <c r="C3148" t="inlineStr">
        <is>
          <t>Nasdaq</t>
        </is>
      </c>
      <c r="D3148" t="n">
        <v>1720424</v>
      </c>
      <c r="E3148" t="inlineStr">
        <is>
          <t>SEC</t>
        </is>
      </c>
    </row>
    <row r="3149">
      <c r="A3149" s="5">
        <f>HYPERLINK("https://finance.yahoo.com/quote/BSRR","BSRR")</f>
        <v/>
      </c>
      <c r="B3149" t="inlineStr">
        <is>
          <t>SIERRA BANCORP</t>
        </is>
      </c>
      <c r="C3149" t="inlineStr">
        <is>
          <t>Nasdaq</t>
        </is>
      </c>
      <c r="D3149" t="n">
        <v>1130144</v>
      </c>
      <c r="E3149" t="inlineStr">
        <is>
          <t>SEC</t>
        </is>
      </c>
    </row>
    <row r="3150">
      <c r="A3150" s="5">
        <f>HYPERLINK("https://finance.yahoo.com/quote/IIIN","IIIN")</f>
        <v/>
      </c>
      <c r="B3150" t="inlineStr">
        <is>
          <t>INSTEEL INDUSTRIES INC</t>
        </is>
      </c>
      <c r="C3150" t="inlineStr">
        <is>
          <t>NYSE</t>
        </is>
      </c>
      <c r="D3150" t="n">
        <v>764401</v>
      </c>
      <c r="E3150" t="inlineStr">
        <is>
          <t>SEC</t>
        </is>
      </c>
    </row>
    <row r="3151">
      <c r="A3151" s="5">
        <f>HYPERLINK("https://finance.yahoo.com/quote/CHWM","CHWM")</f>
        <v/>
      </c>
      <c r="B3151" t="inlineStr">
        <is>
          <t>Chilwa Minerals Ltd</t>
        </is>
      </c>
      <c r="C3151" t="inlineStr">
        <is>
          <t>Nasdaq</t>
        </is>
      </c>
      <c r="D3151" t="n">
        <v>2113605</v>
      </c>
      <c r="E3151" t="inlineStr">
        <is>
          <t>SEC</t>
        </is>
      </c>
    </row>
    <row r="3152">
      <c r="A3152" s="5">
        <f>HYPERLINK("https://finance.yahoo.com/quote/BWFG","BWFG")</f>
        <v/>
      </c>
      <c r="B3152" t="inlineStr">
        <is>
          <t>Bankwell Financial Group, Inc.</t>
        </is>
      </c>
      <c r="C3152" t="inlineStr">
        <is>
          <t>Nasdaq</t>
        </is>
      </c>
      <c r="D3152" t="n">
        <v>1505732</v>
      </c>
      <c r="E3152" t="inlineStr">
        <is>
          <t>SEC</t>
        </is>
      </c>
    </row>
    <row r="3153">
      <c r="A3153" s="5">
        <f>HYPERLINK("https://finance.yahoo.com/quote/NVRI","NVRI")</f>
        <v/>
      </c>
      <c r="B3153" t="inlineStr">
        <is>
          <t>Enviri Corp</t>
        </is>
      </c>
      <c r="C3153" t="inlineStr">
        <is>
          <t>NYSE</t>
        </is>
      </c>
      <c r="D3153" t="n">
        <v>2104052</v>
      </c>
      <c r="E3153" t="inlineStr">
        <is>
          <t>SEC</t>
        </is>
      </c>
    </row>
    <row r="3154">
      <c r="A3154" s="5">
        <f>HYPERLINK("https://finance.yahoo.com/quote/HKD","HKD")</f>
        <v/>
      </c>
      <c r="B3154" t="inlineStr">
        <is>
          <t>AMTD Digital Inc.</t>
        </is>
      </c>
      <c r="C3154" t="inlineStr">
        <is>
          <t>NYSE</t>
        </is>
      </c>
      <c r="D3154" t="n">
        <v>1809691</v>
      </c>
      <c r="E3154" t="inlineStr">
        <is>
          <t>SEC</t>
        </is>
      </c>
    </row>
    <row r="3155">
      <c r="A3155" s="5">
        <f>HYPERLINK("https://finance.yahoo.com/quote/FVR","FVR")</f>
        <v/>
      </c>
      <c r="B3155" t="inlineStr">
        <is>
          <t>FrontView REIT, Inc.</t>
        </is>
      </c>
      <c r="C3155" t="inlineStr">
        <is>
          <t>NYSE</t>
        </is>
      </c>
      <c r="D3155" t="n">
        <v>1988494</v>
      </c>
      <c r="E3155" t="inlineStr">
        <is>
          <t>SEC</t>
        </is>
      </c>
    </row>
    <row r="3156">
      <c r="A3156" s="5">
        <f>HYPERLINK("https://finance.yahoo.com/quote/TCMD","TCMD")</f>
        <v/>
      </c>
      <c r="B3156" t="inlineStr">
        <is>
          <t>TACTILE SYSTEMS TECHNOLOGY INC</t>
        </is>
      </c>
      <c r="C3156" t="inlineStr">
        <is>
          <t>Nasdaq</t>
        </is>
      </c>
      <c r="D3156" t="n">
        <v>1027838</v>
      </c>
      <c r="E3156" t="inlineStr">
        <is>
          <t>SEC</t>
        </is>
      </c>
    </row>
    <row r="3157">
      <c r="A3157" s="5">
        <f>HYPERLINK("https://finance.yahoo.com/quote/ITIC","ITIC")</f>
        <v/>
      </c>
      <c r="B3157" t="inlineStr">
        <is>
          <t>INVESTORS TITLE CO</t>
        </is>
      </c>
      <c r="C3157" t="inlineStr">
        <is>
          <t>Nasdaq</t>
        </is>
      </c>
      <c r="D3157" t="n">
        <v>720858</v>
      </c>
      <c r="E3157" t="inlineStr">
        <is>
          <t>SEC</t>
        </is>
      </c>
    </row>
    <row r="3158">
      <c r="A3158" s="5">
        <f>HYPERLINK("https://finance.yahoo.com/quote/NRIM","NRIM")</f>
        <v/>
      </c>
      <c r="B3158" t="inlineStr">
        <is>
          <t>NORTHRIM BANCORP INC</t>
        </is>
      </c>
      <c r="C3158" t="inlineStr">
        <is>
          <t>Nasdaq</t>
        </is>
      </c>
      <c r="D3158" t="n">
        <v>1163370</v>
      </c>
      <c r="E3158" t="inlineStr">
        <is>
          <t>SEC</t>
        </is>
      </c>
    </row>
    <row r="3159">
      <c r="A3159" s="5">
        <f>HYPERLINK("https://finance.yahoo.com/quote/GAU","GAU")</f>
        <v/>
      </c>
      <c r="B3159" t="inlineStr">
        <is>
          <t>Galiano Gold Inc.</t>
        </is>
      </c>
      <c r="C3159" t="inlineStr">
        <is>
          <t>NYSE</t>
        </is>
      </c>
      <c r="D3159" t="n">
        <v>1377757</v>
      </c>
      <c r="E3159" t="inlineStr">
        <is>
          <t>SEC</t>
        </is>
      </c>
    </row>
    <row r="3160">
      <c r="A3160" s="5">
        <f>HYPERLINK("https://finance.yahoo.com/quote/MTC","MTC")</f>
        <v/>
      </c>
      <c r="B3160" t="inlineStr">
        <is>
          <t>MMTEC, INC.</t>
        </is>
      </c>
      <c r="C3160" t="inlineStr">
        <is>
          <t>Nasdaq</t>
        </is>
      </c>
      <c r="D3160" t="n">
        <v>1742518</v>
      </c>
      <c r="E3160" t="inlineStr">
        <is>
          <t>SEC</t>
        </is>
      </c>
    </row>
    <row r="3161">
      <c r="A3161" s="5">
        <f>HYPERLINK("https://finance.yahoo.com/quote/ETJ","ETJ")</f>
        <v/>
      </c>
      <c r="B3161" t="inlineStr">
        <is>
          <t>Eaton Vance Risk-Managed Diversified Equity Income Fund</t>
        </is>
      </c>
      <c r="C3161" t="inlineStr">
        <is>
          <t>NYSE</t>
        </is>
      </c>
      <c r="D3161" t="n">
        <v>1395325</v>
      </c>
      <c r="E3161" t="inlineStr">
        <is>
          <t>SEC</t>
        </is>
      </c>
    </row>
    <row r="3162">
      <c r="A3162" s="5">
        <f>HYPERLINK("https://finance.yahoo.com/quote/HYLN","HYLN")</f>
        <v/>
      </c>
      <c r="B3162" t="inlineStr">
        <is>
          <t>Hyliion Holdings Corp.</t>
        </is>
      </c>
      <c r="C3162" t="inlineStr">
        <is>
          <t>NYSE</t>
        </is>
      </c>
      <c r="D3162" t="n">
        <v>1759631</v>
      </c>
      <c r="E3162" t="inlineStr">
        <is>
          <t>SEC</t>
        </is>
      </c>
    </row>
    <row r="3163">
      <c r="A3163" s="5">
        <f>HYPERLINK("https://finance.yahoo.com/quote/REEMF","REEMF")</f>
        <v/>
      </c>
      <c r="B3163" t="inlineStr">
        <is>
          <t>RARE ELEMENT RESOURCES LTD</t>
        </is>
      </c>
      <c r="C3163" t="inlineStr">
        <is>
          <t>OTC</t>
        </is>
      </c>
      <c r="D3163" t="n">
        <v>1419806</v>
      </c>
      <c r="E3163" t="inlineStr">
        <is>
          <t>SEC</t>
        </is>
      </c>
    </row>
    <row r="3164">
      <c r="A3164" s="5">
        <f>HYPERLINK("https://finance.yahoo.com/quote/AEXA","AEXA")</f>
        <v/>
      </c>
      <c r="B3164" t="inlineStr">
        <is>
          <t>American Exceptionalism Acquisition Corp. A</t>
        </is>
      </c>
      <c r="C3164" t="inlineStr">
        <is>
          <t>NYSE</t>
        </is>
      </c>
      <c r="D3164" t="n">
        <v>2079173</v>
      </c>
      <c r="E3164" t="inlineStr">
        <is>
          <t>SEC</t>
        </is>
      </c>
    </row>
    <row r="3165">
      <c r="A3165" s="5">
        <f>HYPERLINK("https://finance.yahoo.com/quote/WNC","WNC")</f>
        <v/>
      </c>
      <c r="B3165" t="inlineStr">
        <is>
          <t>WABASH NATIONAL Corp</t>
        </is>
      </c>
      <c r="C3165" t="inlineStr">
        <is>
          <t>NYSE</t>
        </is>
      </c>
      <c r="D3165" t="n">
        <v>879526</v>
      </c>
      <c r="E3165" t="inlineStr">
        <is>
          <t>SEC</t>
        </is>
      </c>
    </row>
    <row r="3166">
      <c r="A3166" s="5">
        <f>HYPERLINK("https://finance.yahoo.com/quote/NPB","NPB")</f>
        <v/>
      </c>
      <c r="B3166" t="inlineStr">
        <is>
          <t>NORTHPOINTE BANCSHARES INC</t>
        </is>
      </c>
      <c r="C3166" t="inlineStr">
        <is>
          <t>NYSE</t>
        </is>
      </c>
      <c r="D3166" t="n">
        <v>1336706</v>
      </c>
      <c r="E3166" t="inlineStr">
        <is>
          <t>SEC</t>
        </is>
      </c>
    </row>
    <row r="3167">
      <c r="A3167" s="5">
        <f>HYPERLINK("https://finance.yahoo.com/quote/BLZE","BLZE")</f>
        <v/>
      </c>
      <c r="B3167" t="inlineStr">
        <is>
          <t>Backblaze, Inc.</t>
        </is>
      </c>
      <c r="C3167" t="inlineStr">
        <is>
          <t>Nasdaq</t>
        </is>
      </c>
      <c r="D3167" t="n">
        <v>1462056</v>
      </c>
      <c r="E3167" t="inlineStr">
        <is>
          <t>SEC</t>
        </is>
      </c>
    </row>
    <row r="3168">
      <c r="A3168" s="5">
        <f>HYPERLINK("https://finance.yahoo.com/quote/FAX","FAX")</f>
        <v/>
      </c>
      <c r="B3168" t="inlineStr">
        <is>
          <t>ABRDN ASIA-PACIFIC INCOME FUND, INC.</t>
        </is>
      </c>
      <c r="C3168" t="inlineStr">
        <is>
          <t>NYSE</t>
        </is>
      </c>
      <c r="D3168" t="n">
        <v>790500</v>
      </c>
      <c r="E3168" t="inlineStr">
        <is>
          <t>SEC</t>
        </is>
      </c>
    </row>
    <row r="3169">
      <c r="A3169" s="5">
        <f>HYPERLINK("https://finance.yahoo.com/quote/YB","YB")</f>
        <v/>
      </c>
      <c r="B3169" t="inlineStr">
        <is>
          <t>Yuanbao Inc.</t>
        </is>
      </c>
      <c r="C3169" t="inlineStr">
        <is>
          <t>Nasdaq</t>
        </is>
      </c>
      <c r="D3169" t="n">
        <v>1995520</v>
      </c>
      <c r="E3169" t="inlineStr">
        <is>
          <t>SEC</t>
        </is>
      </c>
    </row>
    <row r="3170">
      <c r="A3170" s="5">
        <f>HYPERLINK("https://finance.yahoo.com/quote/FWRD","FWRD")</f>
        <v/>
      </c>
      <c r="B3170" t="inlineStr">
        <is>
          <t>FORWARD AIR CORP</t>
        </is>
      </c>
      <c r="C3170" t="inlineStr">
        <is>
          <t>Nasdaq</t>
        </is>
      </c>
      <c r="D3170" t="n">
        <v>912728</v>
      </c>
      <c r="E3170" t="inlineStr">
        <is>
          <t>SEC</t>
        </is>
      </c>
    </row>
    <row r="3171">
      <c r="A3171" s="5">
        <f>HYPERLINK("https://finance.yahoo.com/quote/ACIC","ACIC")</f>
        <v/>
      </c>
      <c r="B3171" t="inlineStr">
        <is>
          <t>AMERICAN COASTAL INSURANCE Corp</t>
        </is>
      </c>
      <c r="C3171" t="inlineStr">
        <is>
          <t>Nasdaq</t>
        </is>
      </c>
      <c r="D3171" t="n">
        <v>1401521</v>
      </c>
      <c r="E3171" t="inlineStr">
        <is>
          <t>SEC</t>
        </is>
      </c>
    </row>
    <row r="3172">
      <c r="A3172" s="5">
        <f>HYPERLINK("https://finance.yahoo.com/quote/HNRG","HNRG")</f>
        <v/>
      </c>
      <c r="B3172" t="inlineStr">
        <is>
          <t>HALLADOR ENERGY CO</t>
        </is>
      </c>
      <c r="C3172" t="inlineStr">
        <is>
          <t>Nasdaq</t>
        </is>
      </c>
      <c r="D3172" t="n">
        <v>788965</v>
      </c>
      <c r="E3172" t="inlineStr">
        <is>
          <t>SEC</t>
        </is>
      </c>
    </row>
    <row r="3173">
      <c r="A3173" s="5">
        <f>HYPERLINK("https://finance.yahoo.com/quote/ADTN","ADTN")</f>
        <v/>
      </c>
      <c r="B3173" t="inlineStr">
        <is>
          <t>ADTRAN Holdings, Inc.</t>
        </is>
      </c>
      <c r="C3173" t="inlineStr">
        <is>
          <t>Nasdaq</t>
        </is>
      </c>
      <c r="D3173" t="n">
        <v>926282</v>
      </c>
      <c r="E3173" t="inlineStr">
        <is>
          <t>SEC</t>
        </is>
      </c>
    </row>
    <row r="3174">
      <c r="A3174" s="5">
        <f>HYPERLINK("https://finance.yahoo.com/quote/TWN","TWN")</f>
        <v/>
      </c>
      <c r="B3174" t="inlineStr">
        <is>
          <t>TAIWAN FUND INC</t>
        </is>
      </c>
      <c r="C3174" t="inlineStr">
        <is>
          <t>NYSE</t>
        </is>
      </c>
      <c r="D3174" t="n">
        <v>804123</v>
      </c>
      <c r="E3174" t="inlineStr">
        <is>
          <t>SEC</t>
        </is>
      </c>
    </row>
    <row r="3175">
      <c r="A3175" s="5">
        <f>HYPERLINK("https://finance.yahoo.com/quote/MSIF","MSIF")</f>
        <v/>
      </c>
      <c r="B3175" t="inlineStr">
        <is>
          <t>MSC INCOME FUND, INC.</t>
        </is>
      </c>
      <c r="C3175" t="inlineStr">
        <is>
          <t>NYSE</t>
        </is>
      </c>
      <c r="D3175" t="n">
        <v>1535778</v>
      </c>
      <c r="E3175" t="inlineStr">
        <is>
          <t>SEC</t>
        </is>
      </c>
    </row>
    <row r="3176">
      <c r="A3176" s="5">
        <f>HYPERLINK("https://finance.yahoo.com/quote/PWRL","PWRL")</f>
        <v/>
      </c>
      <c r="B3176" t="inlineStr">
        <is>
          <t>Powerlaw Corp.</t>
        </is>
      </c>
      <c r="C3176" t="inlineStr">
        <is>
          <t>Nasdaq</t>
        </is>
      </c>
      <c r="D3176" t="n">
        <v>2052053</v>
      </c>
      <c r="E3176" t="inlineStr">
        <is>
          <t>SEC</t>
        </is>
      </c>
    </row>
    <row r="3177">
      <c r="A3177" s="5">
        <f>HYPERLINK("https://finance.yahoo.com/quote/UHT","UHT")</f>
        <v/>
      </c>
      <c r="B3177" t="inlineStr">
        <is>
          <t>UNIVERSAL HEALTH REALTY INCOME TRUST</t>
        </is>
      </c>
      <c r="C3177" t="inlineStr">
        <is>
          <t>NYSE</t>
        </is>
      </c>
      <c r="D3177" t="n">
        <v>798783</v>
      </c>
      <c r="E3177" t="inlineStr">
        <is>
          <t>SEC</t>
        </is>
      </c>
    </row>
    <row r="3178">
      <c r="A3178" s="5">
        <f>HYPERLINK("https://finance.yahoo.com/quote/ISOU","ISOU")</f>
        <v/>
      </c>
      <c r="B3178" t="inlineStr">
        <is>
          <t>IsoEnergy Ltd.</t>
        </is>
      </c>
      <c r="C3178" t="inlineStr">
        <is>
          <t>NYSE</t>
        </is>
      </c>
      <c r="D3178" t="n">
        <v>1997377</v>
      </c>
      <c r="E3178" t="inlineStr">
        <is>
          <t>SEC</t>
        </is>
      </c>
    </row>
    <row r="3179">
      <c r="A3179" s="5">
        <f>HYPERLINK("https://finance.yahoo.com/quote/FWDI","FWDI")</f>
        <v/>
      </c>
      <c r="B3179" t="inlineStr">
        <is>
          <t>Forward Industries, Inc.</t>
        </is>
      </c>
      <c r="C3179" t="inlineStr">
        <is>
          <t>Nasdaq</t>
        </is>
      </c>
      <c r="D3179" t="n">
        <v>38264</v>
      </c>
      <c r="E3179" t="inlineStr">
        <is>
          <t>SEC</t>
        </is>
      </c>
    </row>
    <row r="3180">
      <c r="A3180" s="5">
        <f>HYPERLINK("https://finance.yahoo.com/quote/ANGO","ANGO")</f>
        <v/>
      </c>
      <c r="B3180" t="inlineStr">
        <is>
          <t>ANGIODYNAMICS INC</t>
        </is>
      </c>
      <c r="C3180" t="inlineStr">
        <is>
          <t>Nasdaq</t>
        </is>
      </c>
      <c r="D3180" t="n">
        <v>1275187</v>
      </c>
      <c r="E3180" t="inlineStr">
        <is>
          <t>SEC</t>
        </is>
      </c>
    </row>
    <row r="3181">
      <c r="A3181" s="5">
        <f>HYPERLINK("https://finance.yahoo.com/quote/ACP","ACP")</f>
        <v/>
      </c>
      <c r="B3181" t="inlineStr">
        <is>
          <t>abrdn Income Credit Strategies Fund</t>
        </is>
      </c>
      <c r="C3181" t="inlineStr">
        <is>
          <t>NYSE</t>
        </is>
      </c>
      <c r="D3181" t="n">
        <v>1503290</v>
      </c>
      <c r="E3181" t="inlineStr">
        <is>
          <t>SEC</t>
        </is>
      </c>
    </row>
    <row r="3182">
      <c r="A3182" s="5">
        <f>HYPERLINK("https://finance.yahoo.com/quote/LPTH","LPTH")</f>
        <v/>
      </c>
      <c r="B3182" t="inlineStr">
        <is>
          <t>LIGHTPATH TECHNOLOGIES INC</t>
        </is>
      </c>
      <c r="C3182" t="inlineStr">
        <is>
          <t>Nasdaq</t>
        </is>
      </c>
      <c r="D3182" t="n">
        <v>889971</v>
      </c>
      <c r="E3182" t="inlineStr">
        <is>
          <t>SEC</t>
        </is>
      </c>
    </row>
    <row r="3183">
      <c r="A3183" s="5">
        <f>HYPERLINK("https://finance.yahoo.com/quote/BLDP","BLDP")</f>
        <v/>
      </c>
      <c r="B3183" t="inlineStr">
        <is>
          <t>Ballard Power Systems Inc.</t>
        </is>
      </c>
      <c r="C3183" t="inlineStr">
        <is>
          <t>Nasdaq</t>
        </is>
      </c>
      <c r="D3183" t="n">
        <v>1453015</v>
      </c>
      <c r="E3183" t="inlineStr">
        <is>
          <t>SEC</t>
        </is>
      </c>
    </row>
    <row r="3184">
      <c r="A3184" s="5">
        <f>HYPERLINK("https://finance.yahoo.com/quote/IIM","IIM")</f>
        <v/>
      </c>
      <c r="B3184" t="inlineStr">
        <is>
          <t>Invesco Value Municipal Income Trust</t>
        </is>
      </c>
      <c r="C3184" t="inlineStr">
        <is>
          <t>NYSE</t>
        </is>
      </c>
      <c r="D3184" t="n">
        <v>885601</v>
      </c>
      <c r="E3184" t="inlineStr">
        <is>
          <t>SEC</t>
        </is>
      </c>
    </row>
    <row r="3185">
      <c r="A3185" s="5">
        <f>HYPERLINK("https://finance.yahoo.com/quote/NCDL","NCDL")</f>
        <v/>
      </c>
      <c r="B3185" t="inlineStr">
        <is>
          <t>Nuveen Churchill Direct Lending Corp.</t>
        </is>
      </c>
      <c r="C3185" t="inlineStr">
        <is>
          <t>NYSE</t>
        </is>
      </c>
      <c r="D3185" t="n">
        <v>1737924</v>
      </c>
      <c r="E3185" t="inlineStr">
        <is>
          <t>SEC</t>
        </is>
      </c>
    </row>
    <row r="3186">
      <c r="A3186" s="5">
        <f>HYPERLINK("https://finance.yahoo.com/quote/NMCO","NMCO")</f>
        <v/>
      </c>
      <c r="B3186" t="inlineStr">
        <is>
          <t>Nuveen Municipal Credit Opportunities Fund</t>
        </is>
      </c>
      <c r="C3186" t="inlineStr">
        <is>
          <t>NYSE</t>
        </is>
      </c>
      <c r="D3186" t="n">
        <v>1774342</v>
      </c>
      <c r="E3186" t="inlineStr">
        <is>
          <t>SEC</t>
        </is>
      </c>
    </row>
    <row r="3187">
      <c r="A3187" s="5">
        <f>HYPERLINK("https://finance.yahoo.com/quote/HY","HY")</f>
        <v/>
      </c>
      <c r="B3187" t="inlineStr">
        <is>
          <t>HYSTER-YALE, INC.</t>
        </is>
      </c>
      <c r="C3187" t="inlineStr">
        <is>
          <t>NYSE</t>
        </is>
      </c>
      <c r="D3187" t="n">
        <v>1173514</v>
      </c>
      <c r="E3187" t="inlineStr">
        <is>
          <t>SEC</t>
        </is>
      </c>
    </row>
    <row r="3188">
      <c r="A3188" s="5">
        <f>HYPERLINK("https://finance.yahoo.com/quote/OIS","OIS")</f>
        <v/>
      </c>
      <c r="B3188" t="inlineStr">
        <is>
          <t>OIL STATES INTERNATIONAL, INC</t>
        </is>
      </c>
      <c r="C3188" t="inlineStr">
        <is>
          <t>NYSE</t>
        </is>
      </c>
      <c r="D3188" t="n">
        <v>1121484</v>
      </c>
      <c r="E3188" t="inlineStr">
        <is>
          <t>SEC</t>
        </is>
      </c>
    </row>
    <row r="3189">
      <c r="A3189" s="5">
        <f>HYPERLINK("https://finance.yahoo.com/quote/PANL","PANL")</f>
        <v/>
      </c>
      <c r="B3189" t="inlineStr">
        <is>
          <t>Pangaea Logistics Solutions Ltd.</t>
        </is>
      </c>
      <c r="C3189" t="inlineStr">
        <is>
          <t>Nasdaq</t>
        </is>
      </c>
      <c r="D3189" t="n">
        <v>1606909</v>
      </c>
      <c r="E3189" t="inlineStr">
        <is>
          <t>SEC</t>
        </is>
      </c>
    </row>
    <row r="3190">
      <c r="A3190" s="5">
        <f>HYPERLINK("https://finance.yahoo.com/quote/WTBA","WTBA")</f>
        <v/>
      </c>
      <c r="B3190" t="inlineStr">
        <is>
          <t>WEST BANCORPORATION INC</t>
        </is>
      </c>
      <c r="C3190" t="inlineStr">
        <is>
          <t>Nasdaq</t>
        </is>
      </c>
      <c r="D3190" t="n">
        <v>1166928</v>
      </c>
      <c r="E3190" t="inlineStr">
        <is>
          <t>SEC</t>
        </is>
      </c>
    </row>
    <row r="3191">
      <c r="A3191" s="5">
        <f>HYPERLINK("https://finance.yahoo.com/quote/ONT","ONT")</f>
        <v/>
      </c>
      <c r="B3191" t="inlineStr">
        <is>
          <t>Onterris, Inc.</t>
        </is>
      </c>
      <c r="C3191" t="inlineStr">
        <is>
          <t>NYSE</t>
        </is>
      </c>
      <c r="D3191" t="n">
        <v>1643615</v>
      </c>
      <c r="E3191" t="inlineStr">
        <is>
          <t>SEC</t>
        </is>
      </c>
    </row>
    <row r="3192">
      <c r="A3192" s="5">
        <f>HYPERLINK("https://finance.yahoo.com/quote/YORW","YORW")</f>
        <v/>
      </c>
      <c r="B3192" t="inlineStr">
        <is>
          <t>YORK WATER CO</t>
        </is>
      </c>
      <c r="C3192" t="inlineStr">
        <is>
          <t>Nasdaq</t>
        </is>
      </c>
      <c r="D3192" t="n">
        <v>108985</v>
      </c>
      <c r="E3192" t="inlineStr">
        <is>
          <t>SEC</t>
        </is>
      </c>
    </row>
    <row r="3193">
      <c r="A3193" s="5">
        <f>HYPERLINK("https://finance.yahoo.com/quote/HNST","HNST")</f>
        <v/>
      </c>
      <c r="B3193" t="inlineStr">
        <is>
          <t>Honest Company, Inc.</t>
        </is>
      </c>
      <c r="C3193" t="inlineStr">
        <is>
          <t>Nasdaq</t>
        </is>
      </c>
      <c r="D3193" t="n">
        <v>1530979</v>
      </c>
      <c r="E3193" t="inlineStr">
        <is>
          <t>SEC</t>
        </is>
      </c>
    </row>
    <row r="3194">
      <c r="A3194" s="5">
        <f>HYPERLINK("https://finance.yahoo.com/quote/DRUG","DRUG")</f>
        <v/>
      </c>
      <c r="B3194" t="inlineStr">
        <is>
          <t>BRIGHT MINDS BIOSCIENCES INC.</t>
        </is>
      </c>
      <c r="C3194" t="inlineStr">
        <is>
          <t>Nasdaq</t>
        </is>
      </c>
      <c r="D3194" t="n">
        <v>1827401</v>
      </c>
      <c r="E3194" t="inlineStr">
        <is>
          <t>SEC</t>
        </is>
      </c>
    </row>
    <row r="3195">
      <c r="A3195" s="5">
        <f>HYPERLINK("https://finance.yahoo.com/quote/THSGF","THSGF")</f>
        <v/>
      </c>
      <c r="B3195" t="inlineStr">
        <is>
          <t>THESIS GOLD INC.</t>
        </is>
      </c>
      <c r="C3195" t="inlineStr">
        <is>
          <t>OTC</t>
        </is>
      </c>
      <c r="D3195" t="n">
        <v>1832803</v>
      </c>
      <c r="E3195" t="inlineStr">
        <is>
          <t>SEC</t>
        </is>
      </c>
    </row>
    <row r="3196">
      <c r="A3196" s="5">
        <f>HYPERLINK("https://finance.yahoo.com/quote/COFS","COFS")</f>
        <v/>
      </c>
      <c r="B3196" t="inlineStr">
        <is>
          <t>CHOICEONE FINANCIAL SERVICES INC</t>
        </is>
      </c>
      <c r="C3196" t="inlineStr">
        <is>
          <t>Nasdaq</t>
        </is>
      </c>
      <c r="D3196" t="n">
        <v>803164</v>
      </c>
      <c r="E3196" t="inlineStr">
        <is>
          <t>SEC</t>
        </is>
      </c>
    </row>
    <row r="3197">
      <c r="A3197" s="5">
        <f>HYPERLINK("https://finance.yahoo.com/quote/FBRT","FBRT")</f>
        <v/>
      </c>
      <c r="B3197" t="inlineStr">
        <is>
          <t>Franklin BSP Realty Trust, Inc.</t>
        </is>
      </c>
      <c r="C3197" t="inlineStr">
        <is>
          <t>NYSE</t>
        </is>
      </c>
      <c r="D3197" t="n">
        <v>1562528</v>
      </c>
      <c r="E3197" t="inlineStr">
        <is>
          <t>SEC</t>
        </is>
      </c>
    </row>
    <row r="3198">
      <c r="A3198" s="5">
        <f>HYPERLINK("https://finance.yahoo.com/quote/CTMX","CTMX")</f>
        <v/>
      </c>
      <c r="B3198" t="inlineStr">
        <is>
          <t>CytomX Therapeutics, Inc.</t>
        </is>
      </c>
      <c r="C3198" t="inlineStr">
        <is>
          <t>Nasdaq</t>
        </is>
      </c>
      <c r="D3198" t="n">
        <v>1501989</v>
      </c>
      <c r="E3198" t="inlineStr">
        <is>
          <t>SEC</t>
        </is>
      </c>
    </row>
    <row r="3199">
      <c r="A3199" s="5">
        <f>HYPERLINK("https://finance.yahoo.com/quote/ETD","ETD")</f>
        <v/>
      </c>
      <c r="B3199" t="inlineStr">
        <is>
          <t>ETHAN ALLEN INTERIORS INC</t>
        </is>
      </c>
      <c r="C3199" t="inlineStr">
        <is>
          <t>NYSE</t>
        </is>
      </c>
      <c r="D3199" t="n">
        <v>896156</v>
      </c>
      <c r="E3199" t="inlineStr">
        <is>
          <t>SEC</t>
        </is>
      </c>
    </row>
    <row r="3200">
      <c r="A3200" s="5">
        <f>HYPERLINK("https://finance.yahoo.com/quote/OBT","OBT")</f>
        <v/>
      </c>
      <c r="B3200" t="inlineStr">
        <is>
          <t>Orange County Bancorp, Inc. /DE/</t>
        </is>
      </c>
      <c r="C3200" t="inlineStr">
        <is>
          <t>Nasdaq</t>
        </is>
      </c>
      <c r="D3200" t="n">
        <v>1754226</v>
      </c>
      <c r="E3200" t="inlineStr">
        <is>
          <t>SEC</t>
        </is>
      </c>
    </row>
    <row r="3201">
      <c r="A3201" s="5">
        <f>HYPERLINK("https://finance.yahoo.com/quote/MMU","MMU")</f>
        <v/>
      </c>
      <c r="B3201" t="inlineStr">
        <is>
          <t>WESTERN ASSET MANAGED MUNICIPALS FUND INC.</t>
        </is>
      </c>
      <c r="C3201" t="inlineStr">
        <is>
          <t>NYSE</t>
        </is>
      </c>
      <c r="D3201" t="n">
        <v>886043</v>
      </c>
      <c r="E3201" t="inlineStr">
        <is>
          <t>SEC</t>
        </is>
      </c>
    </row>
    <row r="3202">
      <c r="A3202" s="5">
        <f>HYPERLINK("https://finance.yahoo.com/quote/DDD","DDD")</f>
        <v/>
      </c>
      <c r="B3202" t="inlineStr">
        <is>
          <t>3D SYSTEMS CORP</t>
        </is>
      </c>
      <c r="C3202" t="inlineStr">
        <is>
          <t>NYSE</t>
        </is>
      </c>
      <c r="D3202" t="n">
        <v>910638</v>
      </c>
      <c r="E3202" t="inlineStr">
        <is>
          <t>SEC</t>
        </is>
      </c>
    </row>
    <row r="3203">
      <c r="A3203" s="5">
        <f>HYPERLINK("https://finance.yahoo.com/quote/HUYA","HUYA")</f>
        <v/>
      </c>
      <c r="B3203" t="inlineStr">
        <is>
          <t>HUYA Inc.</t>
        </is>
      </c>
      <c r="C3203" t="inlineStr">
        <is>
          <t>NYSE</t>
        </is>
      </c>
      <c r="D3203" t="n">
        <v>1728190</v>
      </c>
      <c r="E3203" t="inlineStr">
        <is>
          <t>SEC</t>
        </is>
      </c>
    </row>
    <row r="3204">
      <c r="A3204" s="5">
        <f>HYPERLINK("https://finance.yahoo.com/quote/BDN","BDN")</f>
        <v/>
      </c>
      <c r="B3204" t="inlineStr">
        <is>
          <t>BRANDYWINE REALTY TRUST</t>
        </is>
      </c>
      <c r="C3204" t="inlineStr">
        <is>
          <t>NYSE</t>
        </is>
      </c>
      <c r="D3204" t="n">
        <v>790816</v>
      </c>
      <c r="E3204" t="inlineStr">
        <is>
          <t>SEC</t>
        </is>
      </c>
    </row>
    <row r="3205">
      <c r="A3205" s="5">
        <f>HYPERLINK("https://finance.yahoo.com/quote/AQST","AQST")</f>
        <v/>
      </c>
      <c r="B3205" t="inlineStr">
        <is>
          <t>Aquestive Therapeutics, Inc.</t>
        </is>
      </c>
      <c r="C3205" t="inlineStr">
        <is>
          <t>Nasdaq</t>
        </is>
      </c>
      <c r="D3205" t="n">
        <v>1398733</v>
      </c>
      <c r="E3205" t="inlineStr">
        <is>
          <t>SEC</t>
        </is>
      </c>
    </row>
    <row r="3206">
      <c r="A3206" s="5">
        <f>HYPERLINK("https://finance.yahoo.com/quote/THW","THW")</f>
        <v/>
      </c>
      <c r="B3206" t="inlineStr">
        <is>
          <t>abrdn World Healthcare Fund</t>
        </is>
      </c>
      <c r="C3206" t="inlineStr">
        <is>
          <t>NYSE</t>
        </is>
      </c>
      <c r="D3206" t="n">
        <v>1635977</v>
      </c>
      <c r="E3206" t="inlineStr">
        <is>
          <t>SEC</t>
        </is>
      </c>
    </row>
    <row r="3207">
      <c r="A3207" s="5">
        <f>HYPERLINK("https://finance.yahoo.com/quote/CSHR","CSHR")</f>
        <v/>
      </c>
      <c r="B3207" t="inlineStr">
        <is>
          <t>CoinShares PLC</t>
        </is>
      </c>
      <c r="C3207" t="inlineStr">
        <is>
          <t>Nasdaq</t>
        </is>
      </c>
      <c r="D3207" t="n">
        <v>2087587</v>
      </c>
      <c r="E3207" t="inlineStr">
        <is>
          <t>SEC</t>
        </is>
      </c>
    </row>
    <row r="3208">
      <c r="A3208" s="5">
        <f>HYPERLINK("https://finance.yahoo.com/quote/NEXN","NEXN")</f>
        <v/>
      </c>
      <c r="B3208" t="inlineStr">
        <is>
          <t>Nexxen International Ltd.</t>
        </is>
      </c>
      <c r="C3208" t="inlineStr">
        <is>
          <t>Nasdaq</t>
        </is>
      </c>
      <c r="D3208" t="n">
        <v>1849396</v>
      </c>
      <c r="E3208" t="inlineStr">
        <is>
          <t>SEC</t>
        </is>
      </c>
    </row>
    <row r="3209">
      <c r="A3209" s="5">
        <f>HYPERLINK("https://finance.yahoo.com/quote/EACO","EACO")</f>
        <v/>
      </c>
      <c r="B3209" t="inlineStr">
        <is>
          <t>EACO CORP</t>
        </is>
      </c>
      <c r="C3209" t="inlineStr">
        <is>
          <t>OTC</t>
        </is>
      </c>
      <c r="D3209" t="n">
        <v>784539</v>
      </c>
      <c r="E3209" t="inlineStr">
        <is>
          <t>SEC</t>
        </is>
      </c>
    </row>
    <row r="3210">
      <c r="A3210" s="5">
        <f>HYPERLINK("https://finance.yahoo.com/quote/VALN","VALN")</f>
        <v/>
      </c>
      <c r="B3210" t="inlineStr">
        <is>
          <t>Valneva SE</t>
        </is>
      </c>
      <c r="C3210" t="inlineStr">
        <is>
          <t>Nasdaq</t>
        </is>
      </c>
      <c r="D3210" t="n">
        <v>1836564</v>
      </c>
      <c r="E3210" t="inlineStr">
        <is>
          <t>SEC</t>
        </is>
      </c>
    </row>
    <row r="3211">
      <c r="A3211" s="5">
        <f>HYPERLINK("https://finance.yahoo.com/quote/ASTL","ASTL")</f>
        <v/>
      </c>
      <c r="B3211" t="inlineStr">
        <is>
          <t>Algoma Steel Group Inc.</t>
        </is>
      </c>
      <c r="C3211" t="inlineStr">
        <is>
          <t>Nasdaq</t>
        </is>
      </c>
      <c r="D3211" t="n">
        <v>1860805</v>
      </c>
      <c r="E3211" t="inlineStr">
        <is>
          <t>SEC</t>
        </is>
      </c>
    </row>
    <row r="3212">
      <c r="A3212" s="5">
        <f>HYPERLINK("https://finance.yahoo.com/quote/NWAX","NWAX")</f>
        <v/>
      </c>
      <c r="B3212" t="inlineStr">
        <is>
          <t>New America Acquisition I Corp.</t>
        </is>
      </c>
      <c r="C3212" t="inlineStr">
        <is>
          <t>NYSE</t>
        </is>
      </c>
      <c r="D3212" t="n">
        <v>2074878</v>
      </c>
      <c r="E3212" t="inlineStr">
        <is>
          <t>SEC</t>
        </is>
      </c>
    </row>
    <row r="3213">
      <c r="A3213" s="5">
        <f>HYPERLINK("https://finance.yahoo.com/quote/DCTH","DCTH")</f>
        <v/>
      </c>
      <c r="B3213" t="inlineStr">
        <is>
          <t>DELCATH SYSTEMS, INC.</t>
        </is>
      </c>
      <c r="C3213" t="inlineStr">
        <is>
          <t>Nasdaq</t>
        </is>
      </c>
      <c r="D3213" t="n">
        <v>872912</v>
      </c>
      <c r="E3213" t="inlineStr">
        <is>
          <t>SEC</t>
        </is>
      </c>
    </row>
    <row r="3214">
      <c r="A3214" s="5">
        <f>HYPERLINK("https://finance.yahoo.com/quote/ENTX","ENTX")</f>
        <v/>
      </c>
      <c r="B3214" t="inlineStr">
        <is>
          <t>Entera Bio Ltd.</t>
        </is>
      </c>
      <c r="C3214" t="inlineStr">
        <is>
          <t>Nasdaq</t>
        </is>
      </c>
      <c r="D3214" t="n">
        <v>1638097</v>
      </c>
      <c r="E3214" t="inlineStr">
        <is>
          <t>SEC</t>
        </is>
      </c>
    </row>
    <row r="3215">
      <c r="A3215" s="5">
        <f>HYPERLINK("https://finance.yahoo.com/quote/IGD","IGD")</f>
        <v/>
      </c>
      <c r="B3215" t="inlineStr">
        <is>
          <t>Voya GLOBAL EQUITY DIVIDEND &amp; PREMIUM OPPORTUNITY FUND</t>
        </is>
      </c>
      <c r="C3215" t="inlineStr">
        <is>
          <t>NYSE</t>
        </is>
      </c>
      <c r="D3215" t="n">
        <v>1285890</v>
      </c>
      <c r="E3215" t="inlineStr">
        <is>
          <t>SEC</t>
        </is>
      </c>
    </row>
    <row r="3216">
      <c r="A3216" s="5">
        <f>HYPERLINK("https://finance.yahoo.com/quote/SGHT","SGHT")</f>
        <v/>
      </c>
      <c r="B3216" t="inlineStr">
        <is>
          <t>Sight Sciences, Inc.</t>
        </is>
      </c>
      <c r="C3216" t="inlineStr">
        <is>
          <t>Nasdaq</t>
        </is>
      </c>
      <c r="D3216" t="n">
        <v>1531177</v>
      </c>
      <c r="E3216" t="inlineStr">
        <is>
          <t>SEC</t>
        </is>
      </c>
    </row>
    <row r="3217">
      <c r="A3217" s="5">
        <f>HYPERLINK("https://finance.yahoo.com/quote/FMAO","FMAO")</f>
        <v/>
      </c>
      <c r="B3217" t="inlineStr">
        <is>
          <t>FARMERS &amp; MERCHANTS BANCORP INC</t>
        </is>
      </c>
      <c r="C3217" t="inlineStr">
        <is>
          <t>Nasdaq</t>
        </is>
      </c>
      <c r="D3217" t="n">
        <v>792966</v>
      </c>
      <c r="E3217" t="inlineStr">
        <is>
          <t>SEC</t>
        </is>
      </c>
    </row>
    <row r="3218">
      <c r="A3218" s="5">
        <f>HYPERLINK("https://finance.yahoo.com/quote/PDLB","PDLB")</f>
        <v/>
      </c>
      <c r="B3218" t="inlineStr">
        <is>
          <t>Ponce Financial Group, Inc.</t>
        </is>
      </c>
      <c r="C3218" t="inlineStr">
        <is>
          <t>Nasdaq</t>
        </is>
      </c>
      <c r="D3218" t="n">
        <v>1874071</v>
      </c>
      <c r="E3218" t="inlineStr">
        <is>
          <t>SEC</t>
        </is>
      </c>
    </row>
    <row r="3219">
      <c r="A3219" s="5">
        <f>HYPERLINK("https://finance.yahoo.com/quote/OCS","OCS")</f>
        <v/>
      </c>
      <c r="B3219" t="inlineStr">
        <is>
          <t>Oculis Holding AG</t>
        </is>
      </c>
      <c r="C3219" t="inlineStr">
        <is>
          <t>Nasdaq</t>
        </is>
      </c>
      <c r="D3219" t="n">
        <v>1953530</v>
      </c>
      <c r="E3219" t="inlineStr">
        <is>
          <t>SEC</t>
        </is>
      </c>
    </row>
    <row r="3220">
      <c r="A3220" s="5">
        <f>HYPERLINK("https://finance.yahoo.com/quote/SPPP","SPPP")</f>
        <v/>
      </c>
      <c r="B3220" t="inlineStr">
        <is>
          <t>SPROTT PHYSICAL PLATINUM &amp; PALLADIUM TRUST</t>
        </is>
      </c>
      <c r="C3220" t="inlineStr">
        <is>
          <t>NYSE</t>
        </is>
      </c>
      <c r="D3220" t="n">
        <v>1539190</v>
      </c>
      <c r="E3220" t="inlineStr">
        <is>
          <t>SEC</t>
        </is>
      </c>
    </row>
    <row r="3221">
      <c r="A3221" s="5">
        <f>HYPERLINK("https://finance.yahoo.com/quote/MTLS","MTLS")</f>
        <v/>
      </c>
      <c r="B3221" t="inlineStr">
        <is>
          <t>MATERIALISE NV</t>
        </is>
      </c>
      <c r="C3221" t="inlineStr">
        <is>
          <t>Nasdaq</t>
        </is>
      </c>
      <c r="D3221" t="n">
        <v>1091223</v>
      </c>
      <c r="E3221" t="inlineStr">
        <is>
          <t>SEC</t>
        </is>
      </c>
    </row>
    <row r="3222">
      <c r="A3222" s="5">
        <f>HYPERLINK("https://finance.yahoo.com/quote/CZNC","CZNC")</f>
        <v/>
      </c>
      <c r="B3222" t="inlineStr">
        <is>
          <t>CITIZENS &amp; NORTHERN CORP</t>
        </is>
      </c>
      <c r="C3222" t="inlineStr">
        <is>
          <t>Nasdaq</t>
        </is>
      </c>
      <c r="D3222" t="n">
        <v>810958</v>
      </c>
      <c r="E3222" t="inlineStr">
        <is>
          <t>SEC</t>
        </is>
      </c>
    </row>
    <row r="3223">
      <c r="A3223" s="5">
        <f>HYPERLINK("https://finance.yahoo.com/quote/AAC","AAC")</f>
        <v/>
      </c>
      <c r="B3223" t="inlineStr">
        <is>
          <t>Ares Acquisition Corp III</t>
        </is>
      </c>
      <c r="C3223" t="inlineStr">
        <is>
          <t>NYSE</t>
        </is>
      </c>
      <c r="D3223" t="n">
        <v>2128115</v>
      </c>
      <c r="E3223" t="inlineStr">
        <is>
          <t>SEC</t>
        </is>
      </c>
    </row>
    <row r="3224">
      <c r="A3224" s="5">
        <f>HYPERLINK("https://finance.yahoo.com/quote/GLRE","GLRE")</f>
        <v/>
      </c>
      <c r="B3224" t="inlineStr">
        <is>
          <t>GREENLIGHT CAPITAL RE, LTD.</t>
        </is>
      </c>
      <c r="C3224" t="inlineStr">
        <is>
          <t>Nasdaq</t>
        </is>
      </c>
      <c r="D3224" t="n">
        <v>1385613</v>
      </c>
      <c r="E3224" t="inlineStr">
        <is>
          <t>SEC</t>
        </is>
      </c>
    </row>
    <row r="3225">
      <c r="A3225" s="5">
        <f>HYPERLINK("https://finance.yahoo.com/quote/ARRY","ARRY")</f>
        <v/>
      </c>
      <c r="B3225" t="inlineStr">
        <is>
          <t>Array Technologies, Inc.</t>
        </is>
      </c>
      <c r="C3225" t="inlineStr">
        <is>
          <t>Nasdaq</t>
        </is>
      </c>
      <c r="D3225" t="n">
        <v>1820721</v>
      </c>
      <c r="E3225" t="inlineStr">
        <is>
          <t>SEC</t>
        </is>
      </c>
    </row>
    <row r="3226">
      <c r="A3226" s="5">
        <f>HYPERLINK("https://finance.yahoo.com/quote/PBAM","PBAM")</f>
        <v/>
      </c>
      <c r="B3226" t="inlineStr">
        <is>
          <t>Private Bancorp of America, Inc.</t>
        </is>
      </c>
      <c r="C3226" t="inlineStr">
        <is>
          <t>Nasdaq</t>
        </is>
      </c>
      <c r="D3226" t="n">
        <v>1705284</v>
      </c>
      <c r="E3226" t="inlineStr">
        <is>
          <t>SEC</t>
        </is>
      </c>
    </row>
    <row r="3227">
      <c r="A3227" s="5">
        <f>HYPERLINK("https://finance.yahoo.com/quote/ETO","ETO")</f>
        <v/>
      </c>
      <c r="B3227" t="inlineStr">
        <is>
          <t>Eaton Vance Tax-Advantaged Global Dividend Opportunities Fund</t>
        </is>
      </c>
      <c r="C3227" t="inlineStr">
        <is>
          <t>NYSE</t>
        </is>
      </c>
      <c r="D3227" t="n">
        <v>1281926</v>
      </c>
      <c r="E3227" t="inlineStr">
        <is>
          <t>SEC</t>
        </is>
      </c>
    </row>
    <row r="3228">
      <c r="A3228" s="5">
        <f>HYPERLINK("https://finance.yahoo.com/quote/MLAA","MLAA")</f>
        <v/>
      </c>
      <c r="B3228" t="inlineStr">
        <is>
          <t>Mountain Lake Acquisition Corp. II</t>
        </is>
      </c>
      <c r="C3228" t="inlineStr">
        <is>
          <t>Nasdaq</t>
        </is>
      </c>
      <c r="D3228" t="n">
        <v>2094265</v>
      </c>
      <c r="E3228" t="inlineStr">
        <is>
          <t>SEC</t>
        </is>
      </c>
    </row>
    <row r="3229">
      <c r="A3229" s="5">
        <f>HYPERLINK("https://finance.yahoo.com/quote/VGM","VGM")</f>
        <v/>
      </c>
      <c r="B3229" t="inlineStr">
        <is>
          <t>Invesco Trust for Investment Grade Municipals</t>
        </is>
      </c>
      <c r="C3229" t="inlineStr">
        <is>
          <t>NYSE</t>
        </is>
      </c>
      <c r="D3229" t="n">
        <v>880892</v>
      </c>
      <c r="E3229" t="inlineStr">
        <is>
          <t>SEC</t>
        </is>
      </c>
    </row>
    <row r="3230">
      <c r="A3230" s="5">
        <f>HYPERLINK("https://finance.yahoo.com/quote/DPG","DPG")</f>
        <v/>
      </c>
      <c r="B3230" t="inlineStr">
        <is>
          <t>Duff &amp; Phelps Utility &amp; Infrastructure Fund Inc.</t>
        </is>
      </c>
      <c r="C3230" t="inlineStr">
        <is>
          <t>NYSE</t>
        </is>
      </c>
      <c r="D3230" t="n">
        <v>1515671</v>
      </c>
      <c r="E3230" t="inlineStr">
        <is>
          <t>SEC</t>
        </is>
      </c>
    </row>
    <row r="3231">
      <c r="A3231" s="5">
        <f>HYPERLINK("https://finance.yahoo.com/quote/OLP","OLP")</f>
        <v/>
      </c>
      <c r="B3231" t="inlineStr">
        <is>
          <t>ONE LIBERTY PROPERTIES INC</t>
        </is>
      </c>
      <c r="C3231" t="inlineStr">
        <is>
          <t>NYSE</t>
        </is>
      </c>
      <c r="D3231" t="n">
        <v>712770</v>
      </c>
      <c r="E3231" t="inlineStr">
        <is>
          <t>SEC</t>
        </is>
      </c>
    </row>
    <row r="3232">
      <c r="A3232" s="5">
        <f>HYPERLINK("https://finance.yahoo.com/quote/DNUT","DNUT")</f>
        <v/>
      </c>
      <c r="B3232" t="inlineStr">
        <is>
          <t>Krispy Kreme, Inc.</t>
        </is>
      </c>
      <c r="C3232" t="inlineStr">
        <is>
          <t>Nasdaq</t>
        </is>
      </c>
      <c r="D3232" t="n">
        <v>1857154</v>
      </c>
      <c r="E3232" t="inlineStr">
        <is>
          <t>SEC</t>
        </is>
      </c>
    </row>
    <row r="3233">
      <c r="A3233" s="5">
        <f>HYPERLINK("https://finance.yahoo.com/quote/QUAD","QUAD")</f>
        <v/>
      </c>
      <c r="B3233" t="inlineStr">
        <is>
          <t>Quad/Graphics, Inc.</t>
        </is>
      </c>
      <c r="C3233" t="inlineStr">
        <is>
          <t>NYSE</t>
        </is>
      </c>
      <c r="D3233" t="n">
        <v>1481792</v>
      </c>
      <c r="E3233" t="inlineStr">
        <is>
          <t>SEC</t>
        </is>
      </c>
    </row>
    <row r="3234">
      <c r="A3234" s="5">
        <f>HYPERLINK("https://finance.yahoo.com/quote/WEYS","WEYS")</f>
        <v/>
      </c>
      <c r="B3234" t="inlineStr">
        <is>
          <t>WEYCO GROUP INC</t>
        </is>
      </c>
      <c r="C3234" t="inlineStr">
        <is>
          <t>Nasdaq</t>
        </is>
      </c>
      <c r="D3234" t="n">
        <v>106532</v>
      </c>
      <c r="E3234" t="inlineStr">
        <is>
          <t>SEC</t>
        </is>
      </c>
    </row>
    <row r="3235">
      <c r="A3235" s="5">
        <f>HYPERLINK("https://finance.yahoo.com/quote/AMSF","AMSF")</f>
        <v/>
      </c>
      <c r="B3235" t="inlineStr">
        <is>
          <t>AMERISAFE INC</t>
        </is>
      </c>
      <c r="C3235" t="inlineStr">
        <is>
          <t>Nasdaq</t>
        </is>
      </c>
      <c r="D3235" t="n">
        <v>1018979</v>
      </c>
      <c r="E3235" t="inlineStr">
        <is>
          <t>SEC</t>
        </is>
      </c>
    </row>
    <row r="3236">
      <c r="A3236" s="5">
        <f>HYPERLINK("https://finance.yahoo.com/quote/CTGO","CTGO")</f>
        <v/>
      </c>
      <c r="B3236" t="inlineStr">
        <is>
          <t>Contango Silver &amp; Gold Inc.</t>
        </is>
      </c>
      <c r="C3236" t="inlineStr">
        <is>
          <t>NYSE</t>
        </is>
      </c>
      <c r="D3236" t="n">
        <v>1502377</v>
      </c>
      <c r="E3236" t="inlineStr">
        <is>
          <t>SEC</t>
        </is>
      </c>
    </row>
    <row r="3237">
      <c r="A3237" s="5">
        <f>HYPERLINK("https://finance.yahoo.com/quote/HBCP","HBCP")</f>
        <v/>
      </c>
      <c r="B3237" t="inlineStr">
        <is>
          <t>HOME BANCORP, INC.</t>
        </is>
      </c>
      <c r="C3237" t="inlineStr">
        <is>
          <t>Nasdaq</t>
        </is>
      </c>
      <c r="D3237" t="n">
        <v>1436425</v>
      </c>
      <c r="E3237" t="inlineStr">
        <is>
          <t>SEC</t>
        </is>
      </c>
    </row>
    <row r="3238">
      <c r="A3238" s="5">
        <f>HYPERLINK("https://finance.yahoo.com/quote/XRPN","XRPN")</f>
        <v/>
      </c>
      <c r="B3238" t="inlineStr">
        <is>
          <t>Evernorth Holdings Inc.</t>
        </is>
      </c>
      <c r="C3238" t="inlineStr">
        <is>
          <t>Nasdaq</t>
        </is>
      </c>
      <c r="D3238" t="n">
        <v>2092592</v>
      </c>
      <c r="E3238" t="inlineStr">
        <is>
          <t>SEC</t>
        </is>
      </c>
    </row>
    <row r="3239">
      <c r="A3239" s="5">
        <f>HYPERLINK("https://finance.yahoo.com/quote/ALOY","ALOY")</f>
        <v/>
      </c>
      <c r="B3239" t="inlineStr">
        <is>
          <t>REALLOYS INC.</t>
        </is>
      </c>
      <c r="C3239" t="inlineStr">
        <is>
          <t>Nasdaq</t>
        </is>
      </c>
      <c r="D3239" t="n">
        <v>1567900</v>
      </c>
      <c r="E3239" t="inlineStr">
        <is>
          <t>SEC</t>
        </is>
      </c>
    </row>
    <row r="3240">
      <c r="A3240" s="5">
        <f>HYPERLINK("https://finance.yahoo.com/quote/KRSP","KRSP")</f>
        <v/>
      </c>
      <c r="B3240" t="inlineStr">
        <is>
          <t>Rice Acquisition Corp 3</t>
        </is>
      </c>
      <c r="C3240" t="inlineStr">
        <is>
          <t>NYSE</t>
        </is>
      </c>
      <c r="D3240" t="n">
        <v>2074872</v>
      </c>
      <c r="E3240" t="inlineStr">
        <is>
          <t>SEC</t>
        </is>
      </c>
    </row>
    <row r="3241">
      <c r="A3241" s="5">
        <f>HYPERLINK("https://finance.yahoo.com/quote/BGY","BGY")</f>
        <v/>
      </c>
      <c r="B3241" t="inlineStr">
        <is>
          <t>BlackRock Enhanced International Dividend Trust</t>
        </is>
      </c>
      <c r="C3241" t="inlineStr">
        <is>
          <t>NYSE</t>
        </is>
      </c>
      <c r="D3241" t="n">
        <v>1393299</v>
      </c>
      <c r="E3241" t="inlineStr">
        <is>
          <t>SEC</t>
        </is>
      </c>
    </row>
    <row r="3242">
      <c r="A3242" s="5">
        <f>HYPERLINK("https://finance.yahoo.com/quote/NRC","NRC")</f>
        <v/>
      </c>
      <c r="B3242" t="inlineStr">
        <is>
          <t>NRC HEALTH</t>
        </is>
      </c>
      <c r="C3242" t="inlineStr">
        <is>
          <t>Nasdaq</t>
        </is>
      </c>
      <c r="D3242" t="n">
        <v>70487</v>
      </c>
      <c r="E3242" t="inlineStr">
        <is>
          <t>SEC</t>
        </is>
      </c>
    </row>
    <row r="3243">
      <c r="A3243" s="5">
        <f>HYPERLINK("https://finance.yahoo.com/quote/TRTX","TRTX")</f>
        <v/>
      </c>
      <c r="B3243" t="inlineStr">
        <is>
          <t>TPG RE Finance Trust, Inc.</t>
        </is>
      </c>
      <c r="C3243" t="inlineStr">
        <is>
          <t>NYSE</t>
        </is>
      </c>
      <c r="D3243" t="n">
        <v>1630472</v>
      </c>
      <c r="E3243" t="inlineStr">
        <is>
          <t>SEC</t>
        </is>
      </c>
    </row>
    <row r="3244">
      <c r="A3244" s="5">
        <f>HYPERLINK("https://finance.yahoo.com/quote/BRTM","BRTM")</f>
        <v/>
      </c>
      <c r="B3244" t="inlineStr">
        <is>
          <t>B&amp;R Technology Merger Corp.</t>
        </is>
      </c>
      <c r="C3244" t="inlineStr">
        <is>
          <t>Nasdaq</t>
        </is>
      </c>
      <c r="D3244" t="n">
        <v>2131350</v>
      </c>
      <c r="E3244" t="inlineStr">
        <is>
          <t>SEC</t>
        </is>
      </c>
    </row>
    <row r="3245">
      <c r="A3245" s="5">
        <f>HYPERLINK("https://finance.yahoo.com/quote/CMDB","CMDB")</f>
        <v/>
      </c>
      <c r="B3245" t="inlineStr">
        <is>
          <t>Costamare Bulkers Holdings Ltd</t>
        </is>
      </c>
      <c r="C3245" t="inlineStr">
        <is>
          <t>NYSE</t>
        </is>
      </c>
      <c r="D3245" t="n">
        <v>2033535</v>
      </c>
      <c r="E3245" t="inlineStr">
        <is>
          <t>SEC</t>
        </is>
      </c>
    </row>
    <row r="3246">
      <c r="A3246" s="5">
        <f>HYPERLINK("https://finance.yahoo.com/quote/MCFT","MCFT")</f>
        <v/>
      </c>
      <c r="B3246" t="inlineStr">
        <is>
          <t>MasterCraft Boat Holdings, Inc.</t>
        </is>
      </c>
      <c r="C3246" t="inlineStr">
        <is>
          <t>Nasdaq</t>
        </is>
      </c>
      <c r="D3246" t="n">
        <v>1638290</v>
      </c>
      <c r="E3246" t="inlineStr">
        <is>
          <t>SEC</t>
        </is>
      </c>
    </row>
    <row r="3247">
      <c r="A3247" s="5">
        <f>HYPERLINK("https://finance.yahoo.com/quote/RCEL","RCEL")</f>
        <v/>
      </c>
      <c r="B3247" t="inlineStr">
        <is>
          <t>AVITA Medical, Inc.</t>
        </is>
      </c>
      <c r="C3247" t="inlineStr">
        <is>
          <t>Nasdaq</t>
        </is>
      </c>
      <c r="D3247" t="n">
        <v>1762303</v>
      </c>
      <c r="E3247" t="inlineStr">
        <is>
          <t>SEC</t>
        </is>
      </c>
    </row>
    <row r="3248">
      <c r="A3248" s="5">
        <f>HYPERLINK("https://finance.yahoo.com/quote/GSKRF","GSKRF")</f>
        <v/>
      </c>
      <c r="B3248" t="inlineStr">
        <is>
          <t>FIRST NORDIC METALS CORP.</t>
        </is>
      </c>
      <c r="C3248" t="inlineStr">
        <is>
          <t>OTC</t>
        </is>
      </c>
      <c r="D3248" t="n">
        <v>1944955</v>
      </c>
      <c r="E3248" t="inlineStr">
        <is>
          <t>SEC</t>
        </is>
      </c>
    </row>
    <row r="3249">
      <c r="A3249" s="5">
        <f>HYPERLINK("https://finance.yahoo.com/quote/GTN","GTN")</f>
        <v/>
      </c>
      <c r="B3249" t="inlineStr">
        <is>
          <t>GRAY MEDIA, INC</t>
        </is>
      </c>
      <c r="C3249" t="inlineStr">
        <is>
          <t>NYSE</t>
        </is>
      </c>
      <c r="D3249" t="n">
        <v>43196</v>
      </c>
      <c r="E3249" t="inlineStr">
        <is>
          <t>SEC</t>
        </is>
      </c>
    </row>
    <row r="3250">
      <c r="A3250" s="5">
        <f>HYPERLINK("https://finance.yahoo.com/quote/CRAN","CRAN")</f>
        <v/>
      </c>
      <c r="B3250" t="inlineStr">
        <is>
          <t>Crane Harbor Acquisition Corp. II</t>
        </is>
      </c>
      <c r="C3250" t="inlineStr">
        <is>
          <t>Nasdaq</t>
        </is>
      </c>
      <c r="D3250" t="n">
        <v>2081358</v>
      </c>
      <c r="E3250" t="inlineStr">
        <is>
          <t>SEC</t>
        </is>
      </c>
    </row>
    <row r="3251">
      <c r="A3251" s="5">
        <f>HYPERLINK("https://finance.yahoo.com/quote/BBCP","BBCP")</f>
        <v/>
      </c>
      <c r="B3251" t="inlineStr">
        <is>
          <t>Concrete Pumping Holdings, Inc.</t>
        </is>
      </c>
      <c r="C3251" t="inlineStr">
        <is>
          <t>Nasdaq</t>
        </is>
      </c>
      <c r="D3251" t="n">
        <v>1703956</v>
      </c>
      <c r="E3251" t="inlineStr">
        <is>
          <t>SEC</t>
        </is>
      </c>
    </row>
    <row r="3252">
      <c r="A3252" s="5">
        <f>HYPERLINK("https://finance.yahoo.com/quote/METC","METC")</f>
        <v/>
      </c>
      <c r="B3252" t="inlineStr">
        <is>
          <t>Ramaco Resources, Inc.</t>
        </is>
      </c>
      <c r="C3252" t="inlineStr">
        <is>
          <t>Nasdaq</t>
        </is>
      </c>
      <c r="D3252" t="n">
        <v>1687187</v>
      </c>
      <c r="E3252" t="inlineStr">
        <is>
          <t>SEC</t>
        </is>
      </c>
    </row>
    <row r="3253">
      <c r="A3253" s="5">
        <f>HYPERLINK("https://finance.yahoo.com/quote/CBIO","CBIO")</f>
        <v/>
      </c>
      <c r="B3253" t="inlineStr">
        <is>
          <t>CRESCENT BIOPHARMA, INC.</t>
        </is>
      </c>
      <c r="C3253" t="inlineStr">
        <is>
          <t>Nasdaq</t>
        </is>
      </c>
      <c r="D3253" t="n">
        <v>1253689</v>
      </c>
      <c r="E3253" t="inlineStr">
        <is>
          <t>SEC</t>
        </is>
      </c>
    </row>
    <row r="3254">
      <c r="A3254" s="5">
        <f>HYPERLINK("https://finance.yahoo.com/quote/BLSM","BLSM")</f>
        <v/>
      </c>
      <c r="B3254" t="inlineStr">
        <is>
          <t>BlossomHill Therapeutics, Inc.</t>
        </is>
      </c>
      <c r="C3254" t="inlineStr">
        <is>
          <t>Nasdaq</t>
        </is>
      </c>
      <c r="D3254" t="n">
        <v>1839970</v>
      </c>
      <c r="E3254" t="inlineStr">
        <is>
          <t>SEC</t>
        </is>
      </c>
    </row>
    <row r="3255">
      <c r="A3255" s="5">
        <f>HYPERLINK("https://finance.yahoo.com/quote/MASS","MASS")</f>
        <v/>
      </c>
      <c r="B3255" t="inlineStr">
        <is>
          <t>908 Devices Inc.</t>
        </is>
      </c>
      <c r="C3255" t="inlineStr">
        <is>
          <t>Nasdaq</t>
        </is>
      </c>
      <c r="D3255" t="n">
        <v>1555279</v>
      </c>
      <c r="E3255" t="inlineStr">
        <is>
          <t>SEC</t>
        </is>
      </c>
    </row>
    <row r="3256">
      <c r="A3256" s="5">
        <f>HYPERLINK("https://finance.yahoo.com/quote/CERS","CERS")</f>
        <v/>
      </c>
      <c r="B3256" t="inlineStr">
        <is>
          <t>CERUS CORP</t>
        </is>
      </c>
      <c r="C3256" t="inlineStr">
        <is>
          <t>Nasdaq</t>
        </is>
      </c>
      <c r="D3256" t="n">
        <v>1020214</v>
      </c>
      <c r="E3256" t="inlineStr">
        <is>
          <t>SEC</t>
        </is>
      </c>
    </row>
    <row r="3257">
      <c r="A3257" s="5">
        <f>HYPERLINK("https://finance.yahoo.com/quote/MNPR","MNPR")</f>
        <v/>
      </c>
      <c r="B3257" t="inlineStr">
        <is>
          <t>Monopar Therapeutics</t>
        </is>
      </c>
      <c r="C3257" t="inlineStr">
        <is>
          <t>Nasdaq</t>
        </is>
      </c>
      <c r="D3257" t="n">
        <v>1645469</v>
      </c>
      <c r="E3257" t="inlineStr">
        <is>
          <t>SEC</t>
        </is>
      </c>
    </row>
    <row r="3258">
      <c r="A3258" s="5">
        <f>HYPERLINK("https://finance.yahoo.com/quote/VRRM","VRRM")</f>
        <v/>
      </c>
      <c r="B3258" t="inlineStr">
        <is>
          <t>VERRA MOBILITY Corp</t>
        </is>
      </c>
      <c r="C3258" t="inlineStr">
        <is>
          <t>Nasdaq</t>
        </is>
      </c>
      <c r="D3258" t="n">
        <v>1682745</v>
      </c>
      <c r="E3258" t="inlineStr">
        <is>
          <t>SEC</t>
        </is>
      </c>
    </row>
    <row r="3259">
      <c r="A3259" s="5">
        <f>HYPERLINK("https://finance.yahoo.com/quote/FTHY","FTHY")</f>
        <v/>
      </c>
      <c r="B3259" t="inlineStr">
        <is>
          <t>FIRST TRUST HIGH YIELD OPPORTUNITIES 2027 TERM FUND</t>
        </is>
      </c>
      <c r="C3259" t="inlineStr">
        <is>
          <t>NYSE</t>
        </is>
      </c>
      <c r="D3259" t="n">
        <v>1810523</v>
      </c>
      <c r="E3259" t="inlineStr">
        <is>
          <t>SEC</t>
        </is>
      </c>
    </row>
    <row r="3260">
      <c r="A3260" s="5">
        <f>HYPERLINK("https://finance.yahoo.com/quote/BGR","BGR")</f>
        <v/>
      </c>
      <c r="B3260" t="inlineStr">
        <is>
          <t>BlackRock Energy &amp; Resources Trust</t>
        </is>
      </c>
      <c r="C3260" t="inlineStr">
        <is>
          <t>NYSE</t>
        </is>
      </c>
      <c r="D3260" t="n">
        <v>1306550</v>
      </c>
      <c r="E3260" t="inlineStr">
        <is>
          <t>SEC</t>
        </is>
      </c>
    </row>
    <row r="3261">
      <c r="A3261" s="5">
        <f>HYPERLINK("https://finance.yahoo.com/quote/GTEN","GTEN")</f>
        <v/>
      </c>
      <c r="B3261" t="inlineStr">
        <is>
          <t>Gores Holdings X, Inc. / CI</t>
        </is>
      </c>
      <c r="C3261" t="inlineStr">
        <is>
          <t>Nasdaq</t>
        </is>
      </c>
      <c r="D3261" t="n">
        <v>1986817</v>
      </c>
      <c r="E3261" t="inlineStr">
        <is>
          <t>SEC</t>
        </is>
      </c>
    </row>
    <row r="3262">
      <c r="A3262" s="5">
        <f>HYPERLINK("https://finance.yahoo.com/quote/BNED","BNED")</f>
        <v/>
      </c>
      <c r="B3262" t="inlineStr">
        <is>
          <t>Barnes &amp; Noble Education, Inc.</t>
        </is>
      </c>
      <c r="C3262" t="inlineStr">
        <is>
          <t>NYSE</t>
        </is>
      </c>
      <c r="D3262" t="n">
        <v>1634117</v>
      </c>
      <c r="E3262" t="inlineStr">
        <is>
          <t>SEC</t>
        </is>
      </c>
    </row>
    <row r="3263">
      <c r="A3263" s="5">
        <f>HYPERLINK("https://finance.yahoo.com/quote/PHAT","PHAT")</f>
        <v/>
      </c>
      <c r="B3263" t="inlineStr">
        <is>
          <t>Phathom Pharmaceuticals, Inc.</t>
        </is>
      </c>
      <c r="C3263" t="inlineStr">
        <is>
          <t>Nasdaq</t>
        </is>
      </c>
      <c r="D3263" t="n">
        <v>1783183</v>
      </c>
      <c r="E3263" t="inlineStr">
        <is>
          <t>SEC</t>
        </is>
      </c>
    </row>
    <row r="3264">
      <c r="A3264" s="5">
        <f>HYPERLINK("https://finance.yahoo.com/quote/JOUT","JOUT")</f>
        <v/>
      </c>
      <c r="B3264" t="inlineStr">
        <is>
          <t>JOHNSON OUTDOORS INC</t>
        </is>
      </c>
      <c r="C3264" t="inlineStr">
        <is>
          <t>Nasdaq</t>
        </is>
      </c>
      <c r="D3264" t="n">
        <v>788329</v>
      </c>
      <c r="E3264" t="inlineStr">
        <is>
          <t>SEC</t>
        </is>
      </c>
    </row>
    <row r="3265">
      <c r="A3265" s="5">
        <f>HYPERLINK("https://finance.yahoo.com/quote/ESEA","ESEA")</f>
        <v/>
      </c>
      <c r="B3265" t="inlineStr">
        <is>
          <t>EUROSEAS LTD.</t>
        </is>
      </c>
      <c r="C3265" t="inlineStr">
        <is>
          <t>Nasdaq</t>
        </is>
      </c>
      <c r="D3265" t="n">
        <v>1341170</v>
      </c>
      <c r="E3265" t="inlineStr">
        <is>
          <t>SEC</t>
        </is>
      </c>
    </row>
    <row r="3266">
      <c r="A3266" s="5">
        <f>HYPERLINK("https://finance.yahoo.com/quote/ILPT","ILPT")</f>
        <v/>
      </c>
      <c r="B3266" t="inlineStr">
        <is>
          <t>Industrial Logistics Properties Trust</t>
        </is>
      </c>
      <c r="C3266" t="inlineStr">
        <is>
          <t>Nasdaq</t>
        </is>
      </c>
      <c r="D3266" t="n">
        <v>1717307</v>
      </c>
      <c r="E3266" t="inlineStr">
        <is>
          <t>SEC</t>
        </is>
      </c>
    </row>
    <row r="3267">
      <c r="A3267" s="5">
        <f>HYPERLINK("https://finance.yahoo.com/quote/NOAH","NOAH")</f>
        <v/>
      </c>
      <c r="B3267" t="inlineStr">
        <is>
          <t>NOAH HOLDINGS LTD</t>
        </is>
      </c>
      <c r="C3267" t="inlineStr">
        <is>
          <t>NYSE</t>
        </is>
      </c>
      <c r="D3267" t="n">
        <v>1499543</v>
      </c>
      <c r="E3267" t="inlineStr">
        <is>
          <t>SEC</t>
        </is>
      </c>
    </row>
    <row r="3268">
      <c r="A3268" s="5">
        <f>HYPERLINK("https://finance.yahoo.com/quote/UAMY","UAMY")</f>
        <v/>
      </c>
      <c r="B3268" t="inlineStr">
        <is>
          <t>UNITED STATES ANTIMONY CORP</t>
        </is>
      </c>
      <c r="C3268" t="inlineStr">
        <is>
          <t>NYSE</t>
        </is>
      </c>
      <c r="D3268" t="n">
        <v>101538</v>
      </c>
      <c r="E3268" t="inlineStr">
        <is>
          <t>SEC</t>
        </is>
      </c>
    </row>
    <row r="3269">
      <c r="A3269" s="5">
        <f>HYPERLINK("https://finance.yahoo.com/quote/NGNE","NGNE")</f>
        <v/>
      </c>
      <c r="B3269" t="inlineStr">
        <is>
          <t>Neurogene Inc.</t>
        </is>
      </c>
      <c r="C3269" t="inlineStr">
        <is>
          <t>Nasdaq</t>
        </is>
      </c>
      <c r="D3269" t="n">
        <v>1404644</v>
      </c>
      <c r="E3269" t="inlineStr">
        <is>
          <t>SEC</t>
        </is>
      </c>
    </row>
    <row r="3270">
      <c r="A3270" s="5">
        <f>HYPERLINK("https://finance.yahoo.com/quote/ARVN","ARVN")</f>
        <v/>
      </c>
      <c r="B3270" t="inlineStr">
        <is>
          <t>ARVINAS, INC.</t>
        </is>
      </c>
      <c r="C3270" t="inlineStr">
        <is>
          <t>Nasdaq</t>
        </is>
      </c>
      <c r="D3270" t="n">
        <v>1655759</v>
      </c>
      <c r="E3270" t="inlineStr">
        <is>
          <t>SEC</t>
        </is>
      </c>
    </row>
    <row r="3271">
      <c r="A3271" s="5">
        <f>HYPERLINK("https://finance.yahoo.com/quote/APXT","APXT")</f>
        <v/>
      </c>
      <c r="B3271" t="inlineStr">
        <is>
          <t>Apex Treasury Corp</t>
        </is>
      </c>
      <c r="C3271" t="inlineStr">
        <is>
          <t>Nasdaq</t>
        </is>
      </c>
      <c r="D3271" t="n">
        <v>2079253</v>
      </c>
      <c r="E3271" t="inlineStr">
        <is>
          <t>SEC</t>
        </is>
      </c>
    </row>
    <row r="3272">
      <c r="A3272" s="5">
        <f>HYPERLINK("https://finance.yahoo.com/quote/ASPN","ASPN")</f>
        <v/>
      </c>
      <c r="B3272" t="inlineStr">
        <is>
          <t>ASPEN AEROGELS INC</t>
        </is>
      </c>
      <c r="C3272" t="inlineStr">
        <is>
          <t>NYSE</t>
        </is>
      </c>
      <c r="D3272" t="n">
        <v>1145986</v>
      </c>
      <c r="E3272" t="inlineStr">
        <is>
          <t>SEC</t>
        </is>
      </c>
    </row>
    <row r="3273">
      <c r="A3273" s="5">
        <f>HYPERLINK("https://finance.yahoo.com/quote/LXFR","LXFR")</f>
        <v/>
      </c>
      <c r="B3273" t="inlineStr">
        <is>
          <t>LUXFER HOLDINGS PLC</t>
        </is>
      </c>
      <c r="C3273" t="inlineStr">
        <is>
          <t>NYSE</t>
        </is>
      </c>
      <c r="D3273" t="n">
        <v>1096056</v>
      </c>
      <c r="E3273" t="inlineStr">
        <is>
          <t>SEC</t>
        </is>
      </c>
    </row>
    <row r="3274">
      <c r="A3274" s="5">
        <f>HYPERLINK("https://finance.yahoo.com/quote/DMAC","DMAC")</f>
        <v/>
      </c>
      <c r="B3274" t="inlineStr">
        <is>
          <t>DiaMedica Therapeutics Inc.</t>
        </is>
      </c>
      <c r="C3274" t="inlineStr">
        <is>
          <t>Nasdaq</t>
        </is>
      </c>
      <c r="D3274" t="n">
        <v>1401040</v>
      </c>
      <c r="E3274" t="inlineStr">
        <is>
          <t>SEC</t>
        </is>
      </c>
    </row>
    <row r="3275">
      <c r="A3275" s="5">
        <f>HYPERLINK("https://finance.yahoo.com/quote/GRVY","GRVY")</f>
        <v/>
      </c>
      <c r="B3275" t="inlineStr">
        <is>
          <t>GRAVITY Co., Ltd.</t>
        </is>
      </c>
      <c r="C3275" t="inlineStr">
        <is>
          <t>Nasdaq</t>
        </is>
      </c>
      <c r="D3275" t="n">
        <v>1313310</v>
      </c>
      <c r="E3275" t="inlineStr">
        <is>
          <t>SEC</t>
        </is>
      </c>
    </row>
    <row r="3276">
      <c r="A3276" s="5">
        <f>HYPERLINK("https://finance.yahoo.com/quote/NRGV","NRGV")</f>
        <v/>
      </c>
      <c r="B3276" t="inlineStr">
        <is>
          <t>Energy Vault Holdings, Inc.</t>
        </is>
      </c>
      <c r="C3276" t="inlineStr">
        <is>
          <t>NYSE</t>
        </is>
      </c>
      <c r="D3276" t="n">
        <v>1828536</v>
      </c>
      <c r="E3276" t="inlineStr">
        <is>
          <t>SEC</t>
        </is>
      </c>
    </row>
    <row r="3277">
      <c r="A3277" s="5">
        <f>HYPERLINK("https://finance.yahoo.com/quote/GCGR","GCGR")</f>
        <v/>
      </c>
      <c r="B3277" t="inlineStr">
        <is>
          <t>General Catalyst Global Resilience Merger Corp.</t>
        </is>
      </c>
      <c r="C3277" t="inlineStr">
        <is>
          <t>Nasdaq</t>
        </is>
      </c>
      <c r="D3277" t="n">
        <v>2108962</v>
      </c>
      <c r="E3277" t="inlineStr">
        <is>
          <t>SEC</t>
        </is>
      </c>
    </row>
    <row r="3278">
      <c r="A3278" s="5">
        <f>HYPERLINK("https://finance.yahoo.com/quote/SSII","SSII")</f>
        <v/>
      </c>
      <c r="B3278" t="inlineStr">
        <is>
          <t>SS Innovations International, Inc.</t>
        </is>
      </c>
      <c r="C3278" t="inlineStr">
        <is>
          <t>Nasdaq</t>
        </is>
      </c>
      <c r="D3278" t="n">
        <v>1676163</v>
      </c>
      <c r="E3278" t="inlineStr">
        <is>
          <t>SEC</t>
        </is>
      </c>
    </row>
    <row r="3279">
      <c r="A3279" s="5">
        <f>HYPERLINK("https://finance.yahoo.com/quote/OPFI","OPFI")</f>
        <v/>
      </c>
      <c r="B3279" t="inlineStr">
        <is>
          <t>OppFi Inc.</t>
        </is>
      </c>
      <c r="C3279" t="inlineStr">
        <is>
          <t>NYSE</t>
        </is>
      </c>
      <c r="D3279" t="n">
        <v>1818502</v>
      </c>
      <c r="E3279" t="inlineStr">
        <is>
          <t>SEC</t>
        </is>
      </c>
    </row>
    <row r="3280">
      <c r="A3280" s="5">
        <f>HYPERLINK("https://finance.yahoo.com/quote/GUT","GUT")</f>
        <v/>
      </c>
      <c r="B3280" t="inlineStr">
        <is>
          <t>GABELLI UTILITY TRUST</t>
        </is>
      </c>
      <c r="C3280" t="inlineStr">
        <is>
          <t>NYSE</t>
        </is>
      </c>
      <c r="D3280" t="n">
        <v>1080720</v>
      </c>
      <c r="E3280" t="inlineStr">
        <is>
          <t>SEC</t>
        </is>
      </c>
    </row>
    <row r="3281">
      <c r="A3281" s="5">
        <f>HYPERLINK("https://finance.yahoo.com/quote/EOLS","EOLS")</f>
        <v/>
      </c>
      <c r="B3281" t="inlineStr">
        <is>
          <t>Evolus, Inc.</t>
        </is>
      </c>
      <c r="C3281" t="inlineStr">
        <is>
          <t>Nasdaq</t>
        </is>
      </c>
      <c r="D3281" t="n">
        <v>1570562</v>
      </c>
      <c r="E3281" t="inlineStr">
        <is>
          <t>SEC</t>
        </is>
      </c>
    </row>
    <row r="3282">
      <c r="A3282" s="5">
        <f>HYPERLINK("https://finance.yahoo.com/quote/BRSP","BRSP")</f>
        <v/>
      </c>
      <c r="B3282" t="inlineStr">
        <is>
          <t>BrightSpire Capital, Inc.</t>
        </is>
      </c>
      <c r="C3282" t="inlineStr">
        <is>
          <t>NYSE</t>
        </is>
      </c>
      <c r="D3282" t="n">
        <v>1717547</v>
      </c>
      <c r="E3282" t="inlineStr">
        <is>
          <t>SEC</t>
        </is>
      </c>
    </row>
    <row r="3283">
      <c r="A3283" s="5">
        <f>HYPERLINK("https://finance.yahoo.com/quote/HVT","HVT")</f>
        <v/>
      </c>
      <c r="B3283" t="inlineStr">
        <is>
          <t>HAVERTY FURNITURE COMPANIES INC</t>
        </is>
      </c>
      <c r="C3283" t="inlineStr">
        <is>
          <t>NYSE</t>
        </is>
      </c>
      <c r="D3283" t="n">
        <v>216085</v>
      </c>
      <c r="E3283" t="inlineStr">
        <is>
          <t>SEC</t>
        </is>
      </c>
    </row>
    <row r="3284">
      <c r="A3284" s="5">
        <f>HYPERLINK("https://finance.yahoo.com/quote/IPX","IPX")</f>
        <v/>
      </c>
      <c r="B3284" t="inlineStr">
        <is>
          <t>IPERIONX Ltd</t>
        </is>
      </c>
      <c r="C3284" t="inlineStr">
        <is>
          <t>Nasdaq</t>
        </is>
      </c>
      <c r="D3284" t="n">
        <v>1898601</v>
      </c>
      <c r="E3284" t="inlineStr">
        <is>
          <t>SEC</t>
        </is>
      </c>
    </row>
    <row r="3285">
      <c r="A3285" s="5">
        <f>HYPERLINK("https://finance.yahoo.com/quote/EIM","EIM")</f>
        <v/>
      </c>
      <c r="B3285" t="inlineStr">
        <is>
          <t>Eaton Vance Municipal Bond Fund</t>
        </is>
      </c>
      <c r="C3285" t="inlineStr">
        <is>
          <t>NYSE</t>
        </is>
      </c>
      <c r="D3285" t="n">
        <v>1176984</v>
      </c>
      <c r="E3285" t="inlineStr">
        <is>
          <t>SEC</t>
        </is>
      </c>
    </row>
    <row r="3286">
      <c r="A3286" s="5">
        <f>HYPERLINK("https://finance.yahoo.com/quote/BCCQ","BCCQ")</f>
        <v/>
      </c>
      <c r="B3286" t="inlineStr">
        <is>
          <t>Bleichroeder Acquisition Corp. III</t>
        </is>
      </c>
      <c r="C3286" t="inlineStr">
        <is>
          <t>Nasdaq</t>
        </is>
      </c>
      <c r="D3286" t="n">
        <v>2128045</v>
      </c>
      <c r="E3286" t="inlineStr">
        <is>
          <t>SEC</t>
        </is>
      </c>
    </row>
    <row r="3287">
      <c r="A3287" s="5">
        <f>HYPERLINK("https://finance.yahoo.com/quote/GUG","GUG")</f>
        <v/>
      </c>
      <c r="B3287" t="inlineStr">
        <is>
          <t>Guggenheim Active Allocation Fund</t>
        </is>
      </c>
      <c r="C3287" t="inlineStr">
        <is>
          <t>NYSE</t>
        </is>
      </c>
      <c r="D3287" t="n">
        <v>1864208</v>
      </c>
      <c r="E3287" t="inlineStr">
        <is>
          <t>SEC</t>
        </is>
      </c>
    </row>
    <row r="3288">
      <c r="A3288" s="5">
        <f>HYPERLINK("https://finance.yahoo.com/quote/FTH","FTH")</f>
        <v/>
      </c>
      <c r="B3288" t="inlineStr">
        <is>
          <t>Faeth Therapeutics, Inc.</t>
        </is>
      </c>
      <c r="C3288" t="inlineStr">
        <is>
          <t>Nasdaq</t>
        </is>
      </c>
      <c r="D3288" t="n">
        <v>1829802</v>
      </c>
      <c r="E3288" t="inlineStr">
        <is>
          <t>SEC</t>
        </is>
      </c>
    </row>
    <row r="3289">
      <c r="A3289" s="5">
        <f>HYPERLINK("https://finance.yahoo.com/quote/ELVR","ELVR")</f>
        <v/>
      </c>
      <c r="B3289" t="inlineStr">
        <is>
          <t>Elevra Lithium Ltd</t>
        </is>
      </c>
      <c r="C3289" t="inlineStr">
        <is>
          <t>Nasdaq</t>
        </is>
      </c>
      <c r="D3289" t="n">
        <v>1739016</v>
      </c>
      <c r="E3289" t="inlineStr">
        <is>
          <t>SEC</t>
        </is>
      </c>
    </row>
    <row r="3290">
      <c r="A3290" s="5">
        <f>HYPERLINK("https://finance.yahoo.com/quote/RYAM","RYAM")</f>
        <v/>
      </c>
      <c r="B3290" t="inlineStr">
        <is>
          <t>RAYONIER ADVANCED MATERIALS INC.</t>
        </is>
      </c>
      <c r="C3290" t="inlineStr">
        <is>
          <t>NYSE</t>
        </is>
      </c>
      <c r="D3290" t="n">
        <v>1597672</v>
      </c>
      <c r="E3290" t="inlineStr">
        <is>
          <t>SEC</t>
        </is>
      </c>
    </row>
    <row r="3291">
      <c r="A3291" s="5">
        <f>HYPERLINK("https://finance.yahoo.com/quote/SLDP","SLDP")</f>
        <v/>
      </c>
      <c r="B3291" t="inlineStr">
        <is>
          <t>Solid Power, Inc.</t>
        </is>
      </c>
      <c r="C3291" t="inlineStr">
        <is>
          <t>Nasdaq</t>
        </is>
      </c>
      <c r="D3291" t="n">
        <v>1844862</v>
      </c>
      <c r="E3291" t="inlineStr">
        <is>
          <t>SEC</t>
        </is>
      </c>
    </row>
    <row r="3292">
      <c r="A3292" s="5">
        <f>HYPERLINK("https://finance.yahoo.com/quote/BWAY","BWAY")</f>
        <v/>
      </c>
      <c r="B3292" t="inlineStr">
        <is>
          <t>Brainsway Ltd.</t>
        </is>
      </c>
      <c r="C3292" t="inlineStr">
        <is>
          <t>Nasdaq</t>
        </is>
      </c>
      <c r="D3292" t="n">
        <v>1505065</v>
      </c>
      <c r="E3292" t="inlineStr">
        <is>
          <t>SEC</t>
        </is>
      </c>
    </row>
    <row r="3293">
      <c r="A3293" s="5">
        <f>HYPERLINK("https://finance.yahoo.com/quote/EPRX","EPRX")</f>
        <v/>
      </c>
      <c r="B3293" t="inlineStr">
        <is>
          <t>EUPRAXIA PHARMACEUTICALS INC.</t>
        </is>
      </c>
      <c r="C3293" t="inlineStr">
        <is>
          <t>Nasdaq</t>
        </is>
      </c>
      <c r="D3293" t="n">
        <v>1581178</v>
      </c>
      <c r="E3293" t="inlineStr">
        <is>
          <t>SEC</t>
        </is>
      </c>
    </row>
    <row r="3294">
      <c r="A3294" s="5">
        <f>HYPERLINK("https://finance.yahoo.com/quote/NRDY","NRDY")</f>
        <v/>
      </c>
      <c r="B3294" t="inlineStr">
        <is>
          <t>Nerdy Inc.</t>
        </is>
      </c>
      <c r="C3294" t="inlineStr">
        <is>
          <t>NYSE</t>
        </is>
      </c>
      <c r="D3294" t="n">
        <v>1819404</v>
      </c>
      <c r="E3294" t="inlineStr">
        <is>
          <t>SEC</t>
        </is>
      </c>
    </row>
    <row r="3295">
      <c r="A3295" s="5">
        <f>HYPERLINK("https://finance.yahoo.com/quote/ITRG","ITRG")</f>
        <v/>
      </c>
      <c r="B3295" t="inlineStr">
        <is>
          <t>Integra Resources Corp.</t>
        </is>
      </c>
      <c r="C3295" t="inlineStr">
        <is>
          <t>NYSE</t>
        </is>
      </c>
      <c r="D3295" t="n">
        <v>1722387</v>
      </c>
      <c r="E3295" t="inlineStr">
        <is>
          <t>SEC</t>
        </is>
      </c>
    </row>
    <row r="3296">
      <c r="A3296" s="5">
        <f>HYPERLINK("https://finance.yahoo.com/quote/CLB","CLB")</f>
        <v/>
      </c>
      <c r="B3296" t="inlineStr">
        <is>
          <t>Core Laboratories Inc. /DE/</t>
        </is>
      </c>
      <c r="C3296" t="inlineStr">
        <is>
          <t>NYSE</t>
        </is>
      </c>
      <c r="D3296" t="n">
        <v>1958086</v>
      </c>
      <c r="E3296" t="inlineStr">
        <is>
          <t>SEC</t>
        </is>
      </c>
    </row>
    <row r="3297">
      <c r="A3297" s="5">
        <f>HYPERLINK("https://finance.yahoo.com/quote/RBB","RBB")</f>
        <v/>
      </c>
      <c r="B3297" t="inlineStr">
        <is>
          <t>RBB Bancorp</t>
        </is>
      </c>
      <c r="C3297" t="inlineStr">
        <is>
          <t>Nasdaq</t>
        </is>
      </c>
      <c r="D3297" t="n">
        <v>1499422</v>
      </c>
      <c r="E3297" t="inlineStr">
        <is>
          <t>SEC</t>
        </is>
      </c>
    </row>
    <row r="3298">
      <c r="A3298" s="5">
        <f>HYPERLINK("https://finance.yahoo.com/quote/KMDA","KMDA")</f>
        <v/>
      </c>
      <c r="B3298" t="inlineStr">
        <is>
          <t>KAMADA LTD</t>
        </is>
      </c>
      <c r="C3298" t="inlineStr">
        <is>
          <t>Nasdaq</t>
        </is>
      </c>
      <c r="D3298" t="n">
        <v>1567529</v>
      </c>
      <c r="E3298" t="inlineStr">
        <is>
          <t>SEC</t>
        </is>
      </c>
    </row>
    <row r="3299">
      <c r="A3299" s="5">
        <f>HYPERLINK("https://finance.yahoo.com/quote/MPLT","MPLT")</f>
        <v/>
      </c>
      <c r="B3299" t="inlineStr">
        <is>
          <t>MapLight Therapeutics, Inc.</t>
        </is>
      </c>
      <c r="C3299" t="inlineStr">
        <is>
          <t>Nasdaq</t>
        </is>
      </c>
      <c r="D3299" t="n">
        <v>1770069</v>
      </c>
      <c r="E3299" t="inlineStr">
        <is>
          <t>SEC</t>
        </is>
      </c>
    </row>
    <row r="3300">
      <c r="A3300" s="5">
        <f>HYPERLINK("https://finance.yahoo.com/quote/NAK","NAK")</f>
        <v/>
      </c>
      <c r="B3300" t="inlineStr">
        <is>
          <t>NORTHERN DYNASTY MINERALS LTD</t>
        </is>
      </c>
      <c r="C3300" t="inlineStr">
        <is>
          <t>NYSE</t>
        </is>
      </c>
      <c r="D3300" t="n">
        <v>1164771</v>
      </c>
      <c r="E3300" t="inlineStr">
        <is>
          <t>SEC</t>
        </is>
      </c>
    </row>
    <row r="3301">
      <c r="A3301" s="5">
        <f>HYPERLINK("https://finance.yahoo.com/quote/CAL","CAL")</f>
        <v/>
      </c>
      <c r="B3301" t="inlineStr">
        <is>
          <t>CALERES INC</t>
        </is>
      </c>
      <c r="C3301" t="inlineStr">
        <is>
          <t>NYSE</t>
        </is>
      </c>
      <c r="D3301" t="n">
        <v>14707</v>
      </c>
      <c r="E3301" t="inlineStr">
        <is>
          <t>SEC</t>
        </is>
      </c>
    </row>
    <row r="3302">
      <c r="A3302" s="5">
        <f>HYPERLINK("https://finance.yahoo.com/quote/AGMB","AGMB")</f>
        <v/>
      </c>
      <c r="B3302" t="inlineStr">
        <is>
          <t>AgomAb Therapeutics NV</t>
        </is>
      </c>
      <c r="C3302" t="inlineStr">
        <is>
          <t>Nasdaq</t>
        </is>
      </c>
      <c r="D3302" t="n">
        <v>2020932</v>
      </c>
      <c r="E3302" t="inlineStr">
        <is>
          <t>SEC</t>
        </is>
      </c>
    </row>
    <row r="3303">
      <c r="A3303" s="5">
        <f>HYPERLINK("https://finance.yahoo.com/quote/GHXI","GHXI")</f>
        <v/>
      </c>
      <c r="B3303" t="inlineStr">
        <is>
          <t>Gores Holdings XI, Inc.</t>
        </is>
      </c>
      <c r="C3303" t="inlineStr">
        <is>
          <t>Nasdaq</t>
        </is>
      </c>
      <c r="D3303" t="n">
        <v>2086438</v>
      </c>
      <c r="E3303" t="inlineStr">
        <is>
          <t>SEC</t>
        </is>
      </c>
    </row>
    <row r="3304">
      <c r="A3304" s="5">
        <f>HYPERLINK("https://finance.yahoo.com/quote/FPI","FPI")</f>
        <v/>
      </c>
      <c r="B3304" t="inlineStr">
        <is>
          <t>Farmland Partners Inc.</t>
        </is>
      </c>
      <c r="C3304" t="inlineStr">
        <is>
          <t>NYSE</t>
        </is>
      </c>
      <c r="D3304" t="n">
        <v>1591670</v>
      </c>
      <c r="E3304" t="inlineStr">
        <is>
          <t>SEC</t>
        </is>
      </c>
    </row>
    <row r="3305">
      <c r="A3305" s="5">
        <f>HYPERLINK("https://finance.yahoo.com/quote/ULH","ULH")</f>
        <v/>
      </c>
      <c r="B3305" t="inlineStr">
        <is>
          <t>UNIVERSAL LOGISTICS HOLDINGS, INC.</t>
        </is>
      </c>
      <c r="C3305" t="inlineStr">
        <is>
          <t>Nasdaq</t>
        </is>
      </c>
      <c r="D3305" t="n">
        <v>1308208</v>
      </c>
      <c r="E3305" t="inlineStr">
        <is>
          <t>SEC</t>
        </is>
      </c>
    </row>
    <row r="3306">
      <c r="A3306" s="5">
        <f>HYPERLINK("https://finance.yahoo.com/quote/ALIT","ALIT")</f>
        <v/>
      </c>
      <c r="B3306" t="inlineStr">
        <is>
          <t>Alight, Inc. / Delaware</t>
        </is>
      </c>
      <c r="C3306" t="inlineStr">
        <is>
          <t>NYSE</t>
        </is>
      </c>
      <c r="D3306" t="n">
        <v>1809104</v>
      </c>
      <c r="E3306" t="inlineStr">
        <is>
          <t>SEC</t>
        </is>
      </c>
    </row>
    <row r="3307">
      <c r="A3307" s="5">
        <f>HYPERLINK("https://finance.yahoo.com/quote/TRC","TRC")</f>
        <v/>
      </c>
      <c r="B3307" t="inlineStr">
        <is>
          <t>TEJON RANCH CO</t>
        </is>
      </c>
      <c r="C3307" t="inlineStr">
        <is>
          <t>NYSE</t>
        </is>
      </c>
      <c r="D3307" t="n">
        <v>96869</v>
      </c>
      <c r="E3307" t="inlineStr">
        <is>
          <t>SEC</t>
        </is>
      </c>
    </row>
    <row r="3308">
      <c r="A3308" s="5">
        <f>HYPERLINK("https://finance.yahoo.com/quote/MCTA","MCTA")</f>
        <v/>
      </c>
      <c r="B3308" t="inlineStr">
        <is>
          <t>Charming Medical Ltd</t>
        </is>
      </c>
      <c r="C3308" t="inlineStr">
        <is>
          <t>Nasdaq</t>
        </is>
      </c>
      <c r="D3308" t="n">
        <v>2035992</v>
      </c>
      <c r="E3308" t="inlineStr">
        <is>
          <t>SEC</t>
        </is>
      </c>
    </row>
    <row r="3309">
      <c r="A3309" s="5">
        <f>HYPERLINK("https://finance.yahoo.com/quote/CIX","CIX")</f>
        <v/>
      </c>
      <c r="B3309" t="inlineStr">
        <is>
          <t>COMPX INTERNATIONAL INC</t>
        </is>
      </c>
      <c r="C3309" t="inlineStr">
        <is>
          <t>NYSE</t>
        </is>
      </c>
      <c r="D3309" t="n">
        <v>1049606</v>
      </c>
      <c r="E3309" t="inlineStr">
        <is>
          <t>SEC</t>
        </is>
      </c>
    </row>
    <row r="3310">
      <c r="A3310" s="5">
        <f>HYPERLINK("https://finance.yahoo.com/quote/BLW","BLW")</f>
        <v/>
      </c>
      <c r="B3310" t="inlineStr">
        <is>
          <t>BLACKROCK Ltd DURATION INCOME TRUST</t>
        </is>
      </c>
      <c r="C3310" t="inlineStr">
        <is>
          <t>NYSE</t>
        </is>
      </c>
      <c r="D3310" t="n">
        <v>1233681</v>
      </c>
      <c r="E3310" t="inlineStr">
        <is>
          <t>SEC</t>
        </is>
      </c>
    </row>
    <row r="3311">
      <c r="A3311" s="5">
        <f>HYPERLINK("https://finance.yahoo.com/quote/CWCO","CWCO")</f>
        <v/>
      </c>
      <c r="B3311" t="inlineStr">
        <is>
          <t>Consolidated Water Co. Ltd.</t>
        </is>
      </c>
      <c r="C3311" t="inlineStr">
        <is>
          <t>Nasdaq</t>
        </is>
      </c>
      <c r="D3311" t="n">
        <v>928340</v>
      </c>
      <c r="E3311" t="inlineStr">
        <is>
          <t>SEC</t>
        </is>
      </c>
    </row>
    <row r="3312">
      <c r="A3312" s="5">
        <f>HYPERLINK("https://finance.yahoo.com/quote/IFN","IFN")</f>
        <v/>
      </c>
      <c r="B3312" t="inlineStr">
        <is>
          <t>ABERDEEN INDIA FUND, INC.</t>
        </is>
      </c>
      <c r="C3312" t="inlineStr">
        <is>
          <t>NYSE</t>
        </is>
      </c>
      <c r="D3312" t="n">
        <v>917100</v>
      </c>
      <c r="E3312" t="inlineStr">
        <is>
          <t>SEC</t>
        </is>
      </c>
    </row>
    <row r="3313">
      <c r="A3313" s="5">
        <f>HYPERLINK("https://finance.yahoo.com/quote/ETB","ETB")</f>
        <v/>
      </c>
      <c r="B3313" t="inlineStr">
        <is>
          <t>Eaton Vance Tax-Managed Buy-Write Income Fund</t>
        </is>
      </c>
      <c r="C3313" t="inlineStr">
        <is>
          <t>NYSE</t>
        </is>
      </c>
      <c r="D3313" t="n">
        <v>1308927</v>
      </c>
      <c r="E3313" t="inlineStr">
        <is>
          <t>SEC</t>
        </is>
      </c>
    </row>
    <row r="3314">
      <c r="A3314" s="5">
        <f>HYPERLINK("https://finance.yahoo.com/quote/KBON","KBON")</f>
        <v/>
      </c>
      <c r="B3314" t="inlineStr">
        <is>
          <t>Karbon Capital Partners Corp.</t>
        </is>
      </c>
      <c r="C3314" t="inlineStr">
        <is>
          <t>Nasdaq</t>
        </is>
      </c>
      <c r="D3314" t="n">
        <v>2088749</v>
      </c>
      <c r="E3314" t="inlineStr">
        <is>
          <t>SEC</t>
        </is>
      </c>
    </row>
    <row r="3315">
      <c r="A3315" s="5">
        <f>HYPERLINK("https://finance.yahoo.com/quote/VCV","VCV")</f>
        <v/>
      </c>
      <c r="B3315" t="inlineStr">
        <is>
          <t>Invesco California Value Municipal Income Trust</t>
        </is>
      </c>
      <c r="C3315" t="inlineStr">
        <is>
          <t>NYSE</t>
        </is>
      </c>
      <c r="D3315" t="n">
        <v>895531</v>
      </c>
      <c r="E3315" t="inlineStr">
        <is>
          <t>SEC</t>
        </is>
      </c>
    </row>
    <row r="3316">
      <c r="A3316" s="5">
        <f>HYPERLINK("https://finance.yahoo.com/quote/SPNV","SPNV")</f>
        <v/>
      </c>
      <c r="B3316" t="inlineStr">
        <is>
          <t>Spinnova Plc</t>
        </is>
      </c>
      <c r="C3316" t="inlineStr"/>
      <c r="D3316" t="n">
        <v>2141512</v>
      </c>
      <c r="E3316" t="inlineStr">
        <is>
          <t>SEC</t>
        </is>
      </c>
    </row>
    <row r="3317">
      <c r="A3317" s="5">
        <f>HYPERLINK("https://finance.yahoo.com/quote/MBVI","MBVI")</f>
        <v/>
      </c>
      <c r="B3317" t="inlineStr">
        <is>
          <t>M3-Brigade Acquisition VI Corp.</t>
        </is>
      </c>
      <c r="C3317" t="inlineStr">
        <is>
          <t>Nasdaq</t>
        </is>
      </c>
      <c r="D3317" t="n">
        <v>2073928</v>
      </c>
      <c r="E3317" t="inlineStr">
        <is>
          <t>SEC</t>
        </is>
      </c>
    </row>
    <row r="3318">
      <c r="A3318" s="5">
        <f>HYPERLINK("https://finance.yahoo.com/quote/RGNX","RGNX")</f>
        <v/>
      </c>
      <c r="B3318" t="inlineStr">
        <is>
          <t>REGENXBIO Inc.</t>
        </is>
      </c>
      <c r="C3318" t="inlineStr">
        <is>
          <t>Nasdaq</t>
        </is>
      </c>
      <c r="D3318" t="n">
        <v>1590877</v>
      </c>
      <c r="E3318" t="inlineStr">
        <is>
          <t>SEC</t>
        </is>
      </c>
    </row>
    <row r="3319">
      <c r="A3319" s="5">
        <f>HYPERLINK("https://finance.yahoo.com/quote/HBB","HBB")</f>
        <v/>
      </c>
      <c r="B3319" t="inlineStr">
        <is>
          <t>Hamilton Beach Brands Holding Co</t>
        </is>
      </c>
      <c r="C3319" t="inlineStr">
        <is>
          <t>NYSE</t>
        </is>
      </c>
      <c r="D3319" t="n">
        <v>1709164</v>
      </c>
      <c r="E3319" t="inlineStr">
        <is>
          <t>SEC</t>
        </is>
      </c>
    </row>
    <row r="3320">
      <c r="A3320" s="5">
        <f>HYPERLINK("https://finance.yahoo.com/quote/FFA","FFA")</f>
        <v/>
      </c>
      <c r="B3320" t="inlineStr">
        <is>
          <t>FIRST TRUST ENHANCED EQUITY INCOME FUND</t>
        </is>
      </c>
      <c r="C3320" t="inlineStr">
        <is>
          <t>NYSE</t>
        </is>
      </c>
      <c r="D3320" t="n">
        <v>1291334</v>
      </c>
      <c r="E3320" t="inlineStr">
        <is>
          <t>SEC</t>
        </is>
      </c>
    </row>
    <row r="3321">
      <c r="A3321" s="5">
        <f>HYPERLINK("https://finance.yahoo.com/quote/ALLT","ALLT")</f>
        <v/>
      </c>
      <c r="B3321" t="inlineStr">
        <is>
          <t>Allot Ltd.</t>
        </is>
      </c>
      <c r="C3321" t="inlineStr">
        <is>
          <t>Nasdaq</t>
        </is>
      </c>
      <c r="D3321" t="n">
        <v>1365767</v>
      </c>
      <c r="E3321" t="inlineStr">
        <is>
          <t>SEC</t>
        </is>
      </c>
    </row>
    <row r="3322">
      <c r="A3322" s="5">
        <f>HYPERLINK("https://finance.yahoo.com/quote/NPCE","NPCE")</f>
        <v/>
      </c>
      <c r="B3322" t="inlineStr">
        <is>
          <t>NeuroPace Inc</t>
        </is>
      </c>
      <c r="C3322" t="inlineStr">
        <is>
          <t>Nasdaq</t>
        </is>
      </c>
      <c r="D3322" t="n">
        <v>1528287</v>
      </c>
      <c r="E3322" t="inlineStr">
        <is>
          <t>SEC</t>
        </is>
      </c>
    </row>
    <row r="3323">
      <c r="A3323" s="5">
        <f>HYPERLINK("https://finance.yahoo.com/quote/ENHA","ENHA")</f>
        <v/>
      </c>
      <c r="B3323" t="inlineStr">
        <is>
          <t>Enhanced Group Inc.</t>
        </is>
      </c>
      <c r="C3323" t="inlineStr">
        <is>
          <t>NYSE</t>
        </is>
      </c>
      <c r="D3323" t="n">
        <v>1956439</v>
      </c>
      <c r="E3323" t="inlineStr">
        <is>
          <t>SEC</t>
        </is>
      </c>
    </row>
    <row r="3324">
      <c r="A3324" s="5">
        <f>HYPERLINK("https://finance.yahoo.com/quote/PBFS","PBFS")</f>
        <v/>
      </c>
      <c r="B3324" t="inlineStr">
        <is>
          <t>Pioneer Bancorp, Inc./MD</t>
        </is>
      </c>
      <c r="C3324" t="inlineStr">
        <is>
          <t>Nasdaq</t>
        </is>
      </c>
      <c r="D3324" t="n">
        <v>1769663</v>
      </c>
      <c r="E3324" t="inlineStr">
        <is>
          <t>SEC</t>
        </is>
      </c>
    </row>
    <row r="3325">
      <c r="A3325" s="5">
        <f>HYPERLINK("https://finance.yahoo.com/quote/CBK","CBK")</f>
        <v/>
      </c>
      <c r="B3325" t="inlineStr">
        <is>
          <t>Commercial Bancgroup, Inc.</t>
        </is>
      </c>
      <c r="C3325" t="inlineStr">
        <is>
          <t>Nasdaq</t>
        </is>
      </c>
      <c r="D3325" t="n">
        <v>1981546</v>
      </c>
      <c r="E3325" t="inlineStr">
        <is>
          <t>SEC</t>
        </is>
      </c>
    </row>
    <row r="3326">
      <c r="A3326" s="5">
        <f>HYPERLINK("https://finance.yahoo.com/quote/NMAI","NMAI")</f>
        <v/>
      </c>
      <c r="B3326" t="inlineStr">
        <is>
          <t>Nuveen Multi-Asset Income Fund</t>
        </is>
      </c>
      <c r="C3326" t="inlineStr">
        <is>
          <t>NYSE</t>
        </is>
      </c>
      <c r="D3326" t="n">
        <v>1861115</v>
      </c>
      <c r="E3326" t="inlineStr">
        <is>
          <t>SEC</t>
        </is>
      </c>
    </row>
    <row r="3327">
      <c r="A3327" s="5">
        <f>HYPERLINK("https://finance.yahoo.com/quote/BMRC","BMRC")</f>
        <v/>
      </c>
      <c r="B3327" t="inlineStr">
        <is>
          <t>Bank of Marin Bancorp</t>
        </is>
      </c>
      <c r="C3327" t="inlineStr">
        <is>
          <t>Nasdaq</t>
        </is>
      </c>
      <c r="D3327" t="n">
        <v>1403475</v>
      </c>
      <c r="E3327" t="inlineStr">
        <is>
          <t>SEC</t>
        </is>
      </c>
    </row>
    <row r="3328">
      <c r="A3328" s="5">
        <f>HYPERLINK("https://finance.yahoo.com/quote/JKS","JKS")</f>
        <v/>
      </c>
      <c r="B3328" t="inlineStr">
        <is>
          <t>JinkoSolar Holding Co., Ltd.</t>
        </is>
      </c>
      <c r="C3328" t="inlineStr">
        <is>
          <t>NYSE</t>
        </is>
      </c>
      <c r="D3328" t="n">
        <v>1481513</v>
      </c>
      <c r="E3328" t="inlineStr">
        <is>
          <t>SEC</t>
        </is>
      </c>
    </row>
    <row r="3329">
      <c r="A3329" s="5">
        <f>HYPERLINK("https://finance.yahoo.com/quote/PLBC","PLBC")</f>
        <v/>
      </c>
      <c r="B3329" t="inlineStr">
        <is>
          <t>PLUMAS BANCORP</t>
        </is>
      </c>
      <c r="C3329" t="inlineStr">
        <is>
          <t>Nasdaq</t>
        </is>
      </c>
      <c r="D3329" t="n">
        <v>1168455</v>
      </c>
      <c r="E3329" t="inlineStr">
        <is>
          <t>SEC</t>
        </is>
      </c>
    </row>
    <row r="3330">
      <c r="A3330" s="5">
        <f>HYPERLINK("https://finance.yahoo.com/quote/GNE","GNE")</f>
        <v/>
      </c>
      <c r="B3330" t="inlineStr">
        <is>
          <t>Genie Energy Ltd.</t>
        </is>
      </c>
      <c r="C3330" t="inlineStr">
        <is>
          <t>NYSE</t>
        </is>
      </c>
      <c r="D3330" t="n">
        <v>1528356</v>
      </c>
      <c r="E3330" t="inlineStr">
        <is>
          <t>SEC</t>
        </is>
      </c>
    </row>
    <row r="3331">
      <c r="A3331" s="5">
        <f>HYPERLINK("https://finance.yahoo.com/quote/IACO","IACO")</f>
        <v/>
      </c>
      <c r="B3331" t="inlineStr">
        <is>
          <t>Idea Acquisition Corp.</t>
        </is>
      </c>
      <c r="C3331" t="inlineStr">
        <is>
          <t>Nasdaq</t>
        </is>
      </c>
      <c r="D3331" t="n">
        <v>2091176</v>
      </c>
      <c r="E3331" t="inlineStr">
        <is>
          <t>SEC</t>
        </is>
      </c>
    </row>
    <row r="3332">
      <c r="A3332" s="5">
        <f>HYPERLINK("https://finance.yahoo.com/quote/TWI","TWI")</f>
        <v/>
      </c>
      <c r="B3332" t="inlineStr">
        <is>
          <t>TITAN INTERNATIONAL INC</t>
        </is>
      </c>
      <c r="C3332" t="inlineStr">
        <is>
          <t>NYSE</t>
        </is>
      </c>
      <c r="D3332" t="n">
        <v>899751</v>
      </c>
      <c r="E3332" t="inlineStr">
        <is>
          <t>SEC</t>
        </is>
      </c>
    </row>
    <row r="3333">
      <c r="A3333" s="5">
        <f>HYPERLINK("https://finance.yahoo.com/quote/IEAG","IEAG")</f>
        <v/>
      </c>
      <c r="B3333" t="inlineStr">
        <is>
          <t>Infinite Eagle Acquisition Corp.</t>
        </is>
      </c>
      <c r="C3333" t="inlineStr">
        <is>
          <t>Nasdaq</t>
        </is>
      </c>
      <c r="D3333" t="n">
        <v>2084396</v>
      </c>
      <c r="E3333" t="inlineStr">
        <is>
          <t>SEC</t>
        </is>
      </c>
    </row>
    <row r="3334">
      <c r="A3334" s="5">
        <f>HYPERLINK("https://finance.yahoo.com/quote/ARKO","ARKO")</f>
        <v/>
      </c>
      <c r="B3334" t="inlineStr">
        <is>
          <t>ARKO Corp.</t>
        </is>
      </c>
      <c r="C3334" t="inlineStr">
        <is>
          <t>Nasdaq</t>
        </is>
      </c>
      <c r="D3334" t="n">
        <v>1823794</v>
      </c>
      <c r="E3334" t="inlineStr">
        <is>
          <t>SEC</t>
        </is>
      </c>
    </row>
    <row r="3335">
      <c r="A3335" s="5">
        <f>HYPERLINK("https://finance.yahoo.com/quote/GHY","GHY")</f>
        <v/>
      </c>
      <c r="B3335" t="inlineStr">
        <is>
          <t>PGIM Global High Yield Fund, Inc.</t>
        </is>
      </c>
      <c r="C3335" t="inlineStr">
        <is>
          <t>NYSE</t>
        </is>
      </c>
      <c r="D3335" t="n">
        <v>1554697</v>
      </c>
      <c r="E3335" t="inlineStr">
        <is>
          <t>SEC</t>
        </is>
      </c>
    </row>
    <row r="3336">
      <c r="A3336" s="5">
        <f>HYPERLINK("https://finance.yahoo.com/quote/LOCO","LOCO")</f>
        <v/>
      </c>
      <c r="B3336" t="inlineStr">
        <is>
          <t>El Pollo Loco Holdings, Inc.</t>
        </is>
      </c>
      <c r="C3336" t="inlineStr">
        <is>
          <t>Nasdaq</t>
        </is>
      </c>
      <c r="D3336" t="n">
        <v>1606366</v>
      </c>
      <c r="E3336" t="inlineStr">
        <is>
          <t>SEC</t>
        </is>
      </c>
    </row>
    <row r="3337">
      <c r="A3337" s="5">
        <f>HYPERLINK("https://finance.yahoo.com/quote/MESH","MESH")</f>
        <v/>
      </c>
      <c r="B3337" t="inlineStr">
        <is>
          <t>Meshflow Acquisition Corp</t>
        </is>
      </c>
      <c r="C3337" t="inlineStr">
        <is>
          <t>Nasdaq</t>
        </is>
      </c>
      <c r="D3337" t="n">
        <v>2081468</v>
      </c>
      <c r="E3337" t="inlineStr">
        <is>
          <t>SEC</t>
        </is>
      </c>
    </row>
    <row r="3338">
      <c r="A3338" s="5">
        <f>HYPERLINK("https://finance.yahoo.com/quote/DBCA","DBCA")</f>
        <v/>
      </c>
      <c r="B3338" t="inlineStr">
        <is>
          <t>D. Boral Acquisition I Corp.</t>
        </is>
      </c>
      <c r="C3338" t="inlineStr">
        <is>
          <t>Nasdaq</t>
        </is>
      </c>
      <c r="D3338" t="n">
        <v>2095161</v>
      </c>
      <c r="E3338" t="inlineStr">
        <is>
          <t>SEC</t>
        </is>
      </c>
    </row>
    <row r="3339">
      <c r="A3339" s="5">
        <f>HYPERLINK("https://finance.yahoo.com/quote/MBUU","MBUU")</f>
        <v/>
      </c>
      <c r="B3339" t="inlineStr">
        <is>
          <t>MALIBU BOATS, INC.</t>
        </is>
      </c>
      <c r="C3339" t="inlineStr">
        <is>
          <t>Nasdaq</t>
        </is>
      </c>
      <c r="D3339" t="n">
        <v>1590976</v>
      </c>
      <c r="E3339" t="inlineStr">
        <is>
          <t>SEC</t>
        </is>
      </c>
    </row>
    <row r="3340">
      <c r="A3340" s="5">
        <f>HYPERLINK("https://finance.yahoo.com/quote/MEI","MEI")</f>
        <v/>
      </c>
      <c r="B3340" t="inlineStr">
        <is>
          <t>METHODE ELECTRONICS INC</t>
        </is>
      </c>
      <c r="C3340" t="inlineStr">
        <is>
          <t>NYSE</t>
        </is>
      </c>
      <c r="D3340" t="n">
        <v>65270</v>
      </c>
      <c r="E3340" t="inlineStr">
        <is>
          <t>SEC</t>
        </is>
      </c>
    </row>
    <row r="3341">
      <c r="A3341" s="5">
        <f>HYPERLINK("https://finance.yahoo.com/quote/XTND","XTND")</f>
        <v/>
      </c>
      <c r="B3341" t="inlineStr">
        <is>
          <t>Xtend AI Robotics, Inc.</t>
        </is>
      </c>
      <c r="C3341" t="inlineStr">
        <is>
          <t>NYSE</t>
        </is>
      </c>
      <c r="D3341" t="n">
        <v>2111860</v>
      </c>
      <c r="E3341" t="inlineStr">
        <is>
          <t>SEC</t>
        </is>
      </c>
    </row>
    <row r="3342">
      <c r="A3342" s="5">
        <f>HYPERLINK("https://finance.yahoo.com/quote/FAC","FAC")</f>
        <v/>
      </c>
      <c r="B3342" t="inlineStr">
        <is>
          <t>Factorial Energy Inc.</t>
        </is>
      </c>
      <c r="C3342" t="inlineStr">
        <is>
          <t>Nasdaq</t>
        </is>
      </c>
      <c r="D3342" t="n">
        <v>2049662</v>
      </c>
      <c r="E3342" t="inlineStr">
        <is>
          <t>SEC</t>
        </is>
      </c>
    </row>
    <row r="3343">
      <c r="A3343" s="5">
        <f>HYPERLINK("https://finance.yahoo.com/quote/VVR","VVR")</f>
        <v/>
      </c>
      <c r="B3343" t="inlineStr">
        <is>
          <t>Invesco Senior Income Trust</t>
        </is>
      </c>
      <c r="C3343" t="inlineStr">
        <is>
          <t>NYSE</t>
        </is>
      </c>
      <c r="D3343" t="n">
        <v>1059386</v>
      </c>
      <c r="E3343" t="inlineStr">
        <is>
          <t>SEC</t>
        </is>
      </c>
    </row>
    <row r="3344">
      <c r="A3344" s="5">
        <f>HYPERLINK("https://finance.yahoo.com/quote/KRAQ","KRAQ")</f>
        <v/>
      </c>
      <c r="B3344" t="inlineStr">
        <is>
          <t>KRAKacquisition Corp</t>
        </is>
      </c>
      <c r="C3344" t="inlineStr">
        <is>
          <t>Nasdaq</t>
        </is>
      </c>
      <c r="D3344" t="n">
        <v>2082119</v>
      </c>
      <c r="E3344" t="inlineStr">
        <is>
          <t>SEC</t>
        </is>
      </c>
    </row>
    <row r="3345">
      <c r="A3345" s="5">
        <f>HYPERLINK("https://finance.yahoo.com/quote/CBAN","CBAN")</f>
        <v/>
      </c>
      <c r="B3345" t="inlineStr">
        <is>
          <t>COLONY BANKCORP INC</t>
        </is>
      </c>
      <c r="C3345" t="inlineStr">
        <is>
          <t>NYSE</t>
        </is>
      </c>
      <c r="D3345" t="n">
        <v>711669</v>
      </c>
      <c r="E3345" t="inlineStr">
        <is>
          <t>SEC</t>
        </is>
      </c>
    </row>
    <row r="3346">
      <c r="A3346" s="5">
        <f>HYPERLINK("https://finance.yahoo.com/quote/NB","NB")</f>
        <v/>
      </c>
      <c r="B3346" t="inlineStr">
        <is>
          <t>NIOCORP DEVELOPMENTS LTD</t>
        </is>
      </c>
      <c r="C3346" t="inlineStr">
        <is>
          <t>Nasdaq</t>
        </is>
      </c>
      <c r="D3346" t="n">
        <v>1512228</v>
      </c>
      <c r="E3346" t="inlineStr">
        <is>
          <t>SEC</t>
        </is>
      </c>
    </row>
    <row r="3347">
      <c r="A3347" s="5">
        <f>HYPERLINK("https://finance.yahoo.com/quote/XRN","XRN")</f>
        <v/>
      </c>
      <c r="B3347" t="inlineStr">
        <is>
          <t>Chiron Real Estate Inc.</t>
        </is>
      </c>
      <c r="C3347" t="inlineStr">
        <is>
          <t>NYSE</t>
        </is>
      </c>
      <c r="D3347" t="n">
        <v>1533615</v>
      </c>
      <c r="E3347" t="inlineStr">
        <is>
          <t>SEC</t>
        </is>
      </c>
    </row>
    <row r="3348">
      <c r="A3348" s="5">
        <f>HYPERLINK("https://finance.yahoo.com/quote/ZNOG","ZNOG")</f>
        <v/>
      </c>
      <c r="B3348" t="inlineStr">
        <is>
          <t>ZION OIL &amp; GAS INC</t>
        </is>
      </c>
      <c r="C3348" t="inlineStr">
        <is>
          <t>OTC</t>
        </is>
      </c>
      <c r="D3348" t="n">
        <v>1131312</v>
      </c>
      <c r="E3348" t="inlineStr">
        <is>
          <t>SEC</t>
        </is>
      </c>
    </row>
    <row r="3349">
      <c r="A3349" s="5">
        <f>HYPERLINK("https://finance.yahoo.com/quote/SGU","SGU")</f>
        <v/>
      </c>
      <c r="B3349" t="inlineStr">
        <is>
          <t>STAR GROUP, L.P.</t>
        </is>
      </c>
      <c r="C3349" t="inlineStr">
        <is>
          <t>NYSE</t>
        </is>
      </c>
      <c r="D3349" t="n">
        <v>1002590</v>
      </c>
      <c r="E3349" t="inlineStr">
        <is>
          <t>SEC</t>
        </is>
      </c>
    </row>
    <row r="3350">
      <c r="A3350" s="5">
        <f>HYPERLINK("https://finance.yahoo.com/quote/VREOF","VREOF")</f>
        <v/>
      </c>
      <c r="B3350" t="inlineStr">
        <is>
          <t>Vireo Growth Inc.</t>
        </is>
      </c>
      <c r="C3350" t="inlineStr">
        <is>
          <t>OTC</t>
        </is>
      </c>
      <c r="D3350" t="n">
        <v>1771706</v>
      </c>
      <c r="E3350" t="inlineStr">
        <is>
          <t>SEC</t>
        </is>
      </c>
    </row>
    <row r="3351">
      <c r="A3351" s="5">
        <f>HYPERLINK("https://finance.yahoo.com/quote/SMC","SMC")</f>
        <v/>
      </c>
      <c r="B3351" t="inlineStr">
        <is>
          <t>Summit Midstream Corp</t>
        </is>
      </c>
      <c r="C3351" t="inlineStr">
        <is>
          <t>NYSE</t>
        </is>
      </c>
      <c r="D3351" t="n">
        <v>2024218</v>
      </c>
      <c r="E3351" t="inlineStr">
        <is>
          <t>SEC</t>
        </is>
      </c>
    </row>
    <row r="3352">
      <c r="A3352" s="5">
        <f>HYPERLINK("https://finance.yahoo.com/quote/INDP","INDP")</f>
        <v/>
      </c>
      <c r="B3352" t="inlineStr">
        <is>
          <t>Indaptus Therapeutics, Inc.</t>
        </is>
      </c>
      <c r="C3352" t="inlineStr">
        <is>
          <t>Nasdaq</t>
        </is>
      </c>
      <c r="D3352" t="n">
        <v>1857044</v>
      </c>
      <c r="E3352" t="inlineStr">
        <is>
          <t>SEC</t>
        </is>
      </c>
    </row>
    <row r="3353">
      <c r="A3353" s="5">
        <f>HYPERLINK("https://finance.yahoo.com/quote/MAGN","MAGN")</f>
        <v/>
      </c>
      <c r="B3353" t="inlineStr">
        <is>
          <t>Magnera Corp</t>
        </is>
      </c>
      <c r="C3353" t="inlineStr">
        <is>
          <t>NYSE</t>
        </is>
      </c>
      <c r="D3353" t="n">
        <v>41719</v>
      </c>
      <c r="E3353" t="inlineStr">
        <is>
          <t>SEC</t>
        </is>
      </c>
    </row>
    <row r="3354">
      <c r="A3354" s="5">
        <f>HYPERLINK("https://finance.yahoo.com/quote/TCI","TCI")</f>
        <v/>
      </c>
      <c r="B3354" t="inlineStr">
        <is>
          <t>TRANSCONTINENTAL REALTY INVESTORS INC</t>
        </is>
      </c>
      <c r="C3354" t="inlineStr">
        <is>
          <t>NYSE</t>
        </is>
      </c>
      <c r="D3354" t="n">
        <v>733590</v>
      </c>
      <c r="E3354" t="inlineStr">
        <is>
          <t>SEC</t>
        </is>
      </c>
    </row>
    <row r="3355">
      <c r="A3355" s="5">
        <f>HYPERLINK("https://finance.yahoo.com/quote/ALLO","ALLO")</f>
        <v/>
      </c>
      <c r="B3355" t="inlineStr">
        <is>
          <t>Allogene Therapeutics, Inc.</t>
        </is>
      </c>
      <c r="C3355" t="inlineStr">
        <is>
          <t>Nasdaq</t>
        </is>
      </c>
      <c r="D3355" t="n">
        <v>1737287</v>
      </c>
      <c r="E3355" t="inlineStr">
        <is>
          <t>SEC</t>
        </is>
      </c>
    </row>
    <row r="3356">
      <c r="A3356" s="5">
        <f>HYPERLINK("https://finance.yahoo.com/quote/ABXXF","ABXXF")</f>
        <v/>
      </c>
      <c r="B3356" t="inlineStr">
        <is>
          <t>Abaxx Technologies Inc.</t>
        </is>
      </c>
      <c r="C3356" t="inlineStr">
        <is>
          <t>OTC</t>
        </is>
      </c>
      <c r="D3356" t="n">
        <v>1971975</v>
      </c>
      <c r="E3356" t="inlineStr">
        <is>
          <t>SEC</t>
        </is>
      </c>
    </row>
    <row r="3357">
      <c r="A3357" s="5">
        <f>HYPERLINK("https://finance.yahoo.com/quote/ACCO","ACCO")</f>
        <v/>
      </c>
      <c r="B3357" t="inlineStr">
        <is>
          <t>ACCO BRANDS Corp</t>
        </is>
      </c>
      <c r="C3357" t="inlineStr">
        <is>
          <t>NYSE</t>
        </is>
      </c>
      <c r="D3357" t="n">
        <v>712034</v>
      </c>
      <c r="E3357" t="inlineStr">
        <is>
          <t>SEC</t>
        </is>
      </c>
    </row>
    <row r="3358">
      <c r="A3358" s="5">
        <f>HYPERLINK("https://finance.yahoo.com/quote/CDRO","CDRO")</f>
        <v/>
      </c>
      <c r="B3358" t="inlineStr">
        <is>
          <t>Codere Online Luxembourg, S.A.</t>
        </is>
      </c>
      <c r="C3358" t="inlineStr">
        <is>
          <t>Nasdaq</t>
        </is>
      </c>
      <c r="D3358" t="n">
        <v>1866782</v>
      </c>
      <c r="E3358" t="inlineStr">
        <is>
          <t>SEC</t>
        </is>
      </c>
    </row>
    <row r="3359">
      <c r="A3359" s="5">
        <f>HYPERLINK("https://finance.yahoo.com/quote/DDL","DDL")</f>
        <v/>
      </c>
      <c r="B3359" t="inlineStr">
        <is>
          <t>Dingdong (Cayman) Ltd</t>
        </is>
      </c>
      <c r="C3359" t="inlineStr">
        <is>
          <t>NYSE</t>
        </is>
      </c>
      <c r="D3359" t="n">
        <v>1854545</v>
      </c>
      <c r="E3359" t="inlineStr">
        <is>
          <t>SEC</t>
        </is>
      </c>
    </row>
    <row r="3360">
      <c r="A3360" s="5">
        <f>HYPERLINK("https://finance.yahoo.com/quote/OVID","OVID")</f>
        <v/>
      </c>
      <c r="B3360" t="inlineStr">
        <is>
          <t>Ovid Therapeutics Inc.</t>
        </is>
      </c>
      <c r="C3360" t="inlineStr">
        <is>
          <t>Nasdaq</t>
        </is>
      </c>
      <c r="D3360" t="n">
        <v>1636651</v>
      </c>
      <c r="E3360" t="inlineStr">
        <is>
          <t>SEC</t>
        </is>
      </c>
    </row>
    <row r="3361">
      <c r="A3361" s="5">
        <f>HYPERLINK("https://finance.yahoo.com/quote/PRTA","PRTA")</f>
        <v/>
      </c>
      <c r="B3361" t="inlineStr">
        <is>
          <t>PROTHENA CORP PUBLIC LTD CO</t>
        </is>
      </c>
      <c r="C3361" t="inlineStr">
        <is>
          <t>Nasdaq</t>
        </is>
      </c>
      <c r="D3361" t="n">
        <v>1559053</v>
      </c>
      <c r="E3361" t="inlineStr">
        <is>
          <t>SEC</t>
        </is>
      </c>
    </row>
    <row r="3362">
      <c r="A3362" s="5">
        <f>HYPERLINK("https://finance.yahoo.com/quote/KFII","KFII")</f>
        <v/>
      </c>
      <c r="B3362" t="inlineStr">
        <is>
          <t>K&amp;F GROWTH ACQUISITION CORP. II</t>
        </is>
      </c>
      <c r="C3362" t="inlineStr">
        <is>
          <t>Nasdaq</t>
        </is>
      </c>
      <c r="D3362" t="n">
        <v>2029976</v>
      </c>
      <c r="E3362" t="inlineStr">
        <is>
          <t>SEC</t>
        </is>
      </c>
    </row>
    <row r="3363">
      <c r="A3363" s="5">
        <f>HYPERLINK("https://finance.yahoo.com/quote/MFI","MFI")</f>
        <v/>
      </c>
      <c r="B3363" t="inlineStr">
        <is>
          <t>mF International Ltd</t>
        </is>
      </c>
      <c r="C3363" t="inlineStr">
        <is>
          <t>Nasdaq</t>
        </is>
      </c>
      <c r="D3363" t="n">
        <v>1940941</v>
      </c>
      <c r="E3363" t="inlineStr">
        <is>
          <t>SEC</t>
        </is>
      </c>
    </row>
    <row r="3364">
      <c r="A3364" s="5">
        <f>HYPERLINK("https://finance.yahoo.com/quote/XIII","XIII")</f>
        <v/>
      </c>
      <c r="B3364" t="inlineStr">
        <is>
          <t>Churchill Capital Corp XIII</t>
        </is>
      </c>
      <c r="C3364" t="inlineStr">
        <is>
          <t>Nasdaq</t>
        </is>
      </c>
      <c r="D3364" t="n">
        <v>2114229</v>
      </c>
      <c r="E3364" t="inlineStr">
        <is>
          <t>SEC</t>
        </is>
      </c>
    </row>
    <row r="3365">
      <c r="A3365" s="5">
        <f>HYPERLINK("https://finance.yahoo.com/quote/ASIX","ASIX")</f>
        <v/>
      </c>
      <c r="B3365" t="inlineStr">
        <is>
          <t>AdvanSix Inc.</t>
        </is>
      </c>
      <c r="C3365" t="inlineStr">
        <is>
          <t>NYSE</t>
        </is>
      </c>
      <c r="D3365" t="n">
        <v>1673985</v>
      </c>
      <c r="E3365" t="inlineStr">
        <is>
          <t>SEC</t>
        </is>
      </c>
    </row>
    <row r="3366">
      <c r="A3366" s="5">
        <f>HYPERLINK("https://finance.yahoo.com/quote/IPI","IPI")</f>
        <v/>
      </c>
      <c r="B3366" t="inlineStr">
        <is>
          <t>Intrepid Potash, Inc.</t>
        </is>
      </c>
      <c r="C3366" t="inlineStr">
        <is>
          <t>NYSE</t>
        </is>
      </c>
      <c r="D3366" t="n">
        <v>1421461</v>
      </c>
      <c r="E3366" t="inlineStr">
        <is>
          <t>SEC</t>
        </is>
      </c>
    </row>
    <row r="3367">
      <c r="A3367" s="5">
        <f>HYPERLINK("https://finance.yahoo.com/quote/TLRY","TLRY")</f>
        <v/>
      </c>
      <c r="B3367" t="inlineStr">
        <is>
          <t>Tilray Brands, Inc.</t>
        </is>
      </c>
      <c r="C3367" t="inlineStr">
        <is>
          <t>Nasdaq</t>
        </is>
      </c>
      <c r="D3367" t="n">
        <v>1731348</v>
      </c>
      <c r="E3367" t="inlineStr">
        <is>
          <t>SEC</t>
        </is>
      </c>
    </row>
    <row r="3368">
      <c r="A3368" s="5">
        <f>HYPERLINK("https://finance.yahoo.com/quote/OPRT","OPRT")</f>
        <v/>
      </c>
      <c r="B3368" t="inlineStr">
        <is>
          <t>Oportun Financial Corp</t>
        </is>
      </c>
      <c r="C3368" t="inlineStr">
        <is>
          <t>Nasdaq</t>
        </is>
      </c>
      <c r="D3368" t="n">
        <v>1538716</v>
      </c>
      <c r="E3368" t="inlineStr">
        <is>
          <t>SEC</t>
        </is>
      </c>
    </row>
    <row r="3369">
      <c r="A3369" s="5">
        <f>HYPERLINK("https://finance.yahoo.com/quote/OXM","OXM")</f>
        <v/>
      </c>
      <c r="B3369" t="inlineStr">
        <is>
          <t>OXFORD INDUSTRIES INC</t>
        </is>
      </c>
      <c r="C3369" t="inlineStr">
        <is>
          <t>NYSE</t>
        </is>
      </c>
      <c r="D3369" t="n">
        <v>75288</v>
      </c>
      <c r="E3369" t="inlineStr">
        <is>
          <t>SEC</t>
        </is>
      </c>
    </row>
    <row r="3370">
      <c r="A3370" s="5">
        <f>HYPERLINK("https://finance.yahoo.com/quote/NATH","NATH")</f>
        <v/>
      </c>
      <c r="B3370" t="inlineStr">
        <is>
          <t>NATHANS FAMOUS, INC.</t>
        </is>
      </c>
      <c r="C3370" t="inlineStr">
        <is>
          <t>Nasdaq</t>
        </is>
      </c>
      <c r="D3370" t="n">
        <v>69733</v>
      </c>
      <c r="E3370" t="inlineStr">
        <is>
          <t>SEC</t>
        </is>
      </c>
    </row>
    <row r="3371">
      <c r="A3371" s="5">
        <f>HYPERLINK("https://finance.yahoo.com/quote/MNRO","MNRO")</f>
        <v/>
      </c>
      <c r="B3371" t="inlineStr">
        <is>
          <t>MONRO, INC.</t>
        </is>
      </c>
      <c r="C3371" t="inlineStr">
        <is>
          <t>Nasdaq</t>
        </is>
      </c>
      <c r="D3371" t="n">
        <v>876427</v>
      </c>
      <c r="E3371" t="inlineStr">
        <is>
          <t>SEC</t>
        </is>
      </c>
    </row>
    <row r="3372">
      <c r="A3372" s="5">
        <f>HYPERLINK("https://finance.yahoo.com/quote/BMM","BMM")</f>
        <v/>
      </c>
      <c r="B3372" t="inlineStr">
        <is>
          <t>Blue Moon Metals Inc.</t>
        </is>
      </c>
      <c r="C3372" t="inlineStr">
        <is>
          <t>Nasdaq</t>
        </is>
      </c>
      <c r="D3372" t="n">
        <v>1732379</v>
      </c>
      <c r="E3372" t="inlineStr">
        <is>
          <t>SEC</t>
        </is>
      </c>
    </row>
    <row r="3373">
      <c r="A3373" s="5">
        <f>HYPERLINK("https://finance.yahoo.com/quote/AVBC","AVBC")</f>
        <v/>
      </c>
      <c r="B3373" t="inlineStr">
        <is>
          <t>Avidia Bancorp, Inc.</t>
        </is>
      </c>
      <c r="C3373" t="inlineStr">
        <is>
          <t>NYSE</t>
        </is>
      </c>
      <c r="D3373" t="n">
        <v>2058758</v>
      </c>
      <c r="E3373" t="inlineStr">
        <is>
          <t>SEC</t>
        </is>
      </c>
    </row>
    <row r="3374">
      <c r="A3374" s="5">
        <f>HYPERLINK("https://finance.yahoo.com/quote/GTE","GTE")</f>
        <v/>
      </c>
      <c r="B3374" t="inlineStr">
        <is>
          <t>GRAN TIERRA ENERGY INC.</t>
        </is>
      </c>
      <c r="C3374" t="inlineStr">
        <is>
          <t>NYSE</t>
        </is>
      </c>
      <c r="D3374" t="n">
        <v>1273441</v>
      </c>
      <c r="E3374" t="inlineStr">
        <is>
          <t>SEC</t>
        </is>
      </c>
    </row>
    <row r="3375">
      <c r="A3375" s="5">
        <f>HYPERLINK("https://finance.yahoo.com/quote/GLAD","GLAD")</f>
        <v/>
      </c>
      <c r="B3375" t="inlineStr">
        <is>
          <t>GLADSTONE CAPITAL CORP</t>
        </is>
      </c>
      <c r="C3375" t="inlineStr">
        <is>
          <t>Nasdaq</t>
        </is>
      </c>
      <c r="D3375" t="n">
        <v>1143513</v>
      </c>
      <c r="E3375" t="inlineStr">
        <is>
          <t>SEC</t>
        </is>
      </c>
    </row>
    <row r="3376">
      <c r="A3376" s="5">
        <f>HYPERLINK("https://finance.yahoo.com/quote/SCGX","SCGX")</f>
        <v/>
      </c>
      <c r="B3376" t="inlineStr">
        <is>
          <t>SAXON CAPITAL GROUP INC</t>
        </is>
      </c>
      <c r="C3376" t="inlineStr">
        <is>
          <t>OTC</t>
        </is>
      </c>
      <c r="D3376" t="n">
        <v>1277575</v>
      </c>
      <c r="E3376" t="inlineStr">
        <is>
          <t>SEC</t>
        </is>
      </c>
    </row>
    <row r="3377">
      <c r="A3377" s="5">
        <f>HYPERLINK("https://finance.yahoo.com/quote/SRTA","SRTA")</f>
        <v/>
      </c>
      <c r="B3377" t="inlineStr">
        <is>
          <t>Strata Critical Medical, Inc.</t>
        </is>
      </c>
      <c r="C3377" t="inlineStr">
        <is>
          <t>Nasdaq</t>
        </is>
      </c>
      <c r="D3377" t="n">
        <v>1779128</v>
      </c>
      <c r="E3377" t="inlineStr">
        <is>
          <t>SEC</t>
        </is>
      </c>
    </row>
    <row r="3378">
      <c r="A3378" s="5">
        <f>HYPERLINK("https://finance.yahoo.com/quote/ALT","ALT")</f>
        <v/>
      </c>
      <c r="B3378" t="inlineStr">
        <is>
          <t>Altimmune, Inc.</t>
        </is>
      </c>
      <c r="C3378" t="inlineStr">
        <is>
          <t>Nasdaq</t>
        </is>
      </c>
      <c r="D3378" t="n">
        <v>1326190</v>
      </c>
      <c r="E3378" t="inlineStr">
        <is>
          <t>SEC</t>
        </is>
      </c>
    </row>
    <row r="3379">
      <c r="A3379" s="5">
        <f>HYPERLINK("https://finance.yahoo.com/quote/CMCL","CMCL")</f>
        <v/>
      </c>
      <c r="B3379" t="inlineStr">
        <is>
          <t>Caledonia Mining Corp Plc</t>
        </is>
      </c>
      <c r="C3379" t="inlineStr">
        <is>
          <t>NYSE</t>
        </is>
      </c>
      <c r="D3379" t="n">
        <v>766011</v>
      </c>
      <c r="E3379" t="inlineStr">
        <is>
          <t>SEC</t>
        </is>
      </c>
    </row>
    <row r="3380">
      <c r="A3380" s="5">
        <f>HYPERLINK("https://finance.yahoo.com/quote/FNLC","FNLC")</f>
        <v/>
      </c>
      <c r="B3380" t="inlineStr">
        <is>
          <t>First Bancorp, Inc /ME/</t>
        </is>
      </c>
      <c r="C3380" t="inlineStr">
        <is>
          <t>Nasdaq</t>
        </is>
      </c>
      <c r="D3380" t="n">
        <v>765207</v>
      </c>
      <c r="E3380" t="inlineStr">
        <is>
          <t>SEC</t>
        </is>
      </c>
    </row>
    <row r="3381">
      <c r="A3381" s="5">
        <f>HYPERLINK("https://finance.yahoo.com/quote/TATT","TATT")</f>
        <v/>
      </c>
      <c r="B3381" t="inlineStr">
        <is>
          <t>TAT TECHNOLOGIES LTD</t>
        </is>
      </c>
      <c r="C3381" t="inlineStr">
        <is>
          <t>Nasdaq</t>
        </is>
      </c>
      <c r="D3381" t="n">
        <v>808439</v>
      </c>
      <c r="E3381" t="inlineStr">
        <is>
          <t>SEC</t>
        </is>
      </c>
    </row>
    <row r="3382">
      <c r="A3382" s="5">
        <f>HYPERLINK("https://finance.yahoo.com/quote/CINT","CINT")</f>
        <v/>
      </c>
      <c r="B3382" t="inlineStr">
        <is>
          <t>CI&amp;T Inc</t>
        </is>
      </c>
      <c r="C3382" t="inlineStr">
        <is>
          <t>NYSE</t>
        </is>
      </c>
      <c r="D3382" t="n">
        <v>1868995</v>
      </c>
      <c r="E3382" t="inlineStr">
        <is>
          <t>SEC</t>
        </is>
      </c>
    </row>
    <row r="3383">
      <c r="A3383" s="5">
        <f>HYPERLINK("https://finance.yahoo.com/quote/CYH","CYH")</f>
        <v/>
      </c>
      <c r="B3383" t="inlineStr">
        <is>
          <t>COMMUNITY HEALTH SYSTEMS INC</t>
        </is>
      </c>
      <c r="C3383" t="inlineStr">
        <is>
          <t>NYSE</t>
        </is>
      </c>
      <c r="D3383" t="n">
        <v>1108109</v>
      </c>
      <c r="E3383" t="inlineStr">
        <is>
          <t>SEC</t>
        </is>
      </c>
    </row>
    <row r="3384">
      <c r="A3384" s="5">
        <f>HYPERLINK("https://finance.yahoo.com/quote/VALU","VALU")</f>
        <v/>
      </c>
      <c r="B3384" t="inlineStr">
        <is>
          <t>VALUE LINE INC</t>
        </is>
      </c>
      <c r="C3384" t="inlineStr">
        <is>
          <t>Nasdaq</t>
        </is>
      </c>
      <c r="D3384" t="n">
        <v>717720</v>
      </c>
      <c r="E3384" t="inlineStr">
        <is>
          <t>SEC</t>
        </is>
      </c>
    </row>
    <row r="3385">
      <c r="A3385" s="5">
        <f>HYPERLINK("https://finance.yahoo.com/quote/RLGT","RLGT")</f>
        <v/>
      </c>
      <c r="B3385" t="inlineStr">
        <is>
          <t>RADIANT LOGISTICS, INC</t>
        </is>
      </c>
      <c r="C3385" t="inlineStr">
        <is>
          <t>NYSE</t>
        </is>
      </c>
      <c r="D3385" t="n">
        <v>1171155</v>
      </c>
      <c r="E3385" t="inlineStr">
        <is>
          <t>SEC</t>
        </is>
      </c>
    </row>
    <row r="3386">
      <c r="A3386" s="5">
        <f>HYPERLINK("https://finance.yahoo.com/quote/AUTL","AUTL")</f>
        <v/>
      </c>
      <c r="B3386" t="inlineStr">
        <is>
          <t>Autolus Therapeutics plc</t>
        </is>
      </c>
      <c r="C3386" t="inlineStr">
        <is>
          <t>Nasdaq</t>
        </is>
      </c>
      <c r="D3386" t="n">
        <v>1730463</v>
      </c>
      <c r="E3386" t="inlineStr">
        <is>
          <t>SEC</t>
        </is>
      </c>
    </row>
    <row r="3387">
      <c r="A3387" s="5">
        <f>HYPERLINK("https://finance.yahoo.com/quote/CHMG","CHMG")</f>
        <v/>
      </c>
      <c r="B3387" t="inlineStr">
        <is>
          <t>CHEMUNG FINANCIAL CORP</t>
        </is>
      </c>
      <c r="C3387" t="inlineStr">
        <is>
          <t>Nasdaq</t>
        </is>
      </c>
      <c r="D3387" t="n">
        <v>763563</v>
      </c>
      <c r="E3387" t="inlineStr">
        <is>
          <t>SEC</t>
        </is>
      </c>
    </row>
    <row r="3388">
      <c r="A3388" s="5">
        <f>HYPERLINK("https://finance.yahoo.com/quote/ACTG","ACTG")</f>
        <v/>
      </c>
      <c r="B3388" t="inlineStr">
        <is>
          <t>ACACIA RESEARCH CORP</t>
        </is>
      </c>
      <c r="C3388" t="inlineStr">
        <is>
          <t>Nasdaq</t>
        </is>
      </c>
      <c r="D3388" t="n">
        <v>934549</v>
      </c>
      <c r="E3388" t="inlineStr">
        <is>
          <t>SEC</t>
        </is>
      </c>
    </row>
    <row r="3389">
      <c r="A3389" s="5">
        <f>HYPERLINK("https://finance.yahoo.com/quote/PCB","PCB")</f>
        <v/>
      </c>
      <c r="B3389" t="inlineStr">
        <is>
          <t>PCB BANCORP</t>
        </is>
      </c>
      <c r="C3389" t="inlineStr">
        <is>
          <t>Nasdaq</t>
        </is>
      </c>
      <c r="D3389" t="n">
        <v>1423869</v>
      </c>
      <c r="E3389" t="inlineStr">
        <is>
          <t>SEC</t>
        </is>
      </c>
    </row>
    <row r="3390">
      <c r="A3390" s="5">
        <f>HYPERLINK("https://finance.yahoo.com/quote/NPAC","NPAC")</f>
        <v/>
      </c>
      <c r="B3390" t="inlineStr">
        <is>
          <t>New Providence Acquisition Corp. III/Cayman</t>
        </is>
      </c>
      <c r="C3390" t="inlineStr">
        <is>
          <t>Nasdaq</t>
        </is>
      </c>
      <c r="D3390" t="n">
        <v>2048948</v>
      </c>
      <c r="E3390" t="inlineStr">
        <is>
          <t>SEC</t>
        </is>
      </c>
    </row>
    <row r="3391">
      <c r="A3391" s="5">
        <f>HYPERLINK("https://finance.yahoo.com/quote/AUXX","AUXX")</f>
        <v/>
      </c>
      <c r="B3391" t="inlineStr">
        <is>
          <t>Gold X2 Mining Inc.</t>
        </is>
      </c>
      <c r="C3391" t="inlineStr">
        <is>
          <t>NYSE</t>
        </is>
      </c>
      <c r="D3391" t="n">
        <v>1961592</v>
      </c>
      <c r="E3391" t="inlineStr">
        <is>
          <t>SEC</t>
        </is>
      </c>
    </row>
    <row r="3392">
      <c r="A3392" s="5">
        <f>HYPERLINK("https://finance.yahoo.com/quote/CZFS","CZFS")</f>
        <v/>
      </c>
      <c r="B3392" t="inlineStr">
        <is>
          <t>CITIZENS FINANCIAL SERVICES INC</t>
        </is>
      </c>
      <c r="C3392" t="inlineStr">
        <is>
          <t>Nasdaq</t>
        </is>
      </c>
      <c r="D3392" t="n">
        <v>739421</v>
      </c>
      <c r="E3392" t="inlineStr">
        <is>
          <t>SEC</t>
        </is>
      </c>
    </row>
    <row r="3393">
      <c r="A3393" s="5">
        <f>HYPERLINK("https://finance.yahoo.com/quote/TKNO","TKNO")</f>
        <v/>
      </c>
      <c r="B3393" t="inlineStr">
        <is>
          <t>Alpha Teknova, Inc.</t>
        </is>
      </c>
      <c r="C3393" t="inlineStr">
        <is>
          <t>Nasdaq</t>
        </is>
      </c>
      <c r="D3393" t="n">
        <v>1850902</v>
      </c>
      <c r="E3393" t="inlineStr">
        <is>
          <t>SEC</t>
        </is>
      </c>
    </row>
    <row r="3394">
      <c r="A3394" s="5">
        <f>HYPERLINK("https://finance.yahoo.com/quote/ASMB","ASMB")</f>
        <v/>
      </c>
      <c r="B3394" t="inlineStr">
        <is>
          <t>ASSEMBLY BIOSCIENCES, INC.</t>
        </is>
      </c>
      <c r="C3394" t="inlineStr">
        <is>
          <t>Nasdaq</t>
        </is>
      </c>
      <c r="D3394" t="n">
        <v>1426800</v>
      </c>
      <c r="E3394" t="inlineStr">
        <is>
          <t>SEC</t>
        </is>
      </c>
    </row>
    <row r="3395">
      <c r="A3395" s="5">
        <f>HYPERLINK("https://finance.yahoo.com/quote/ALTI","ALTI")</f>
        <v/>
      </c>
      <c r="B3395" t="inlineStr">
        <is>
          <t>AlTi Global, Inc.</t>
        </is>
      </c>
      <c r="C3395" t="inlineStr">
        <is>
          <t>Nasdaq</t>
        </is>
      </c>
      <c r="D3395" t="n">
        <v>1838615</v>
      </c>
      <c r="E3395" t="inlineStr">
        <is>
          <t>SEC</t>
        </is>
      </c>
    </row>
    <row r="3396">
      <c r="A3396" s="5">
        <f>HYPERLINK("https://finance.yahoo.com/quote/SI","SI")</f>
        <v/>
      </c>
      <c r="B3396" t="inlineStr">
        <is>
          <t>SHOULDER INNOVATIONS, INC.</t>
        </is>
      </c>
      <c r="C3396" t="inlineStr">
        <is>
          <t>NYSE</t>
        </is>
      </c>
      <c r="D3396" t="n">
        <v>1699350</v>
      </c>
      <c r="E3396" t="inlineStr">
        <is>
          <t>SEC</t>
        </is>
      </c>
    </row>
    <row r="3397">
      <c r="A3397" s="5">
        <f>HYPERLINK("https://finance.yahoo.com/quote/CLBR","CLBR")</f>
        <v/>
      </c>
      <c r="B3397" t="inlineStr">
        <is>
          <t>Colombier Acquisition Corp. III</t>
        </is>
      </c>
      <c r="C3397" t="inlineStr">
        <is>
          <t>NYSE</t>
        </is>
      </c>
      <c r="D3397" t="n">
        <v>2091024</v>
      </c>
      <c r="E3397" t="inlineStr">
        <is>
          <t>SEC</t>
        </is>
      </c>
    </row>
    <row r="3398">
      <c r="A3398" s="5">
        <f>HYPERLINK("https://finance.yahoo.com/quote/OSPR","OSPR")</f>
        <v/>
      </c>
      <c r="B3398" t="inlineStr">
        <is>
          <t>Osprey Acquisition Corp. III</t>
        </is>
      </c>
      <c r="C3398" t="inlineStr">
        <is>
          <t>Nasdaq</t>
        </is>
      </c>
      <c r="D3398" t="n">
        <v>2113481</v>
      </c>
      <c r="E3398" t="inlineStr">
        <is>
          <t>SEC</t>
        </is>
      </c>
    </row>
    <row r="3399">
      <c r="A3399" s="5">
        <f>HYPERLINK("https://finance.yahoo.com/quote/SPRY","SPRY")</f>
        <v/>
      </c>
      <c r="B3399" t="inlineStr">
        <is>
          <t>ARS Pharmaceuticals, Inc.</t>
        </is>
      </c>
      <c r="C3399" t="inlineStr">
        <is>
          <t>Nasdaq</t>
        </is>
      </c>
      <c r="D3399" t="n">
        <v>1671858</v>
      </c>
      <c r="E3399" t="inlineStr">
        <is>
          <t>SEC</t>
        </is>
      </c>
    </row>
    <row r="3400">
      <c r="A3400" s="5">
        <f>HYPERLINK("https://finance.yahoo.com/quote/NPFD","NPFD")</f>
        <v/>
      </c>
      <c r="B3400" t="inlineStr">
        <is>
          <t>Nuveen Variable Rate Preferred &amp; Income Fund</t>
        </is>
      </c>
      <c r="C3400" t="inlineStr">
        <is>
          <t>NYSE</t>
        </is>
      </c>
      <c r="D3400" t="n">
        <v>1865389</v>
      </c>
      <c r="E3400" t="inlineStr">
        <is>
          <t>SEC</t>
        </is>
      </c>
    </row>
    <row r="3401">
      <c r="A3401" s="5">
        <f>HYPERLINK("https://finance.yahoo.com/quote/MEVO","MEVO")</f>
        <v/>
      </c>
      <c r="B3401" t="inlineStr">
        <is>
          <t>M Evo Global Acquisition Corp II</t>
        </is>
      </c>
      <c r="C3401" t="inlineStr">
        <is>
          <t>Nasdaq</t>
        </is>
      </c>
      <c r="D3401" t="n">
        <v>2087361</v>
      </c>
      <c r="E3401" t="inlineStr">
        <is>
          <t>SEC</t>
        </is>
      </c>
    </row>
    <row r="3402">
      <c r="A3402" s="5">
        <f>HYPERLINK("https://finance.yahoo.com/quote/NAUT","NAUT")</f>
        <v/>
      </c>
      <c r="B3402" t="inlineStr">
        <is>
          <t>Nautilus Biotechnology, Inc.</t>
        </is>
      </c>
      <c r="C3402" t="inlineStr">
        <is>
          <t>Nasdaq</t>
        </is>
      </c>
      <c r="D3402" t="n">
        <v>1808805</v>
      </c>
      <c r="E3402" t="inlineStr">
        <is>
          <t>SEC</t>
        </is>
      </c>
    </row>
    <row r="3403">
      <c r="A3403" s="5">
        <f>HYPERLINK("https://finance.yahoo.com/quote/WYFI","WYFI")</f>
        <v/>
      </c>
      <c r="B3403" t="inlineStr">
        <is>
          <t>WhiteFiber, Inc.</t>
        </is>
      </c>
      <c r="C3403" t="inlineStr">
        <is>
          <t>Nasdaq</t>
        </is>
      </c>
      <c r="D3403" t="n">
        <v>2042022</v>
      </c>
      <c r="E3403" t="inlineStr">
        <is>
          <t>SEC</t>
        </is>
      </c>
    </row>
    <row r="3404">
      <c r="A3404" s="5">
        <f>HYPERLINK("https://finance.yahoo.com/quote/GFUZ","GFUZ")</f>
        <v/>
      </c>
      <c r="B3404" t="inlineStr">
        <is>
          <t>General Fusion Group Ltd.</t>
        </is>
      </c>
      <c r="C3404" t="inlineStr">
        <is>
          <t>Nasdaq</t>
        </is>
      </c>
      <c r="D3404" t="n">
        <v>2074850</v>
      </c>
      <c r="E3404" t="inlineStr">
        <is>
          <t>SEC</t>
        </is>
      </c>
    </row>
    <row r="3405">
      <c r="A3405" s="5">
        <f>HYPERLINK("https://finance.yahoo.com/quote/FCBM","FCBM")</f>
        <v/>
      </c>
      <c r="B3405" t="inlineStr">
        <is>
          <t>First Carolina Financial Services, Inc.</t>
        </is>
      </c>
      <c r="C3405" t="inlineStr">
        <is>
          <t>NYSE</t>
        </is>
      </c>
      <c r="D3405" t="n">
        <v>1531193</v>
      </c>
      <c r="E3405" t="inlineStr">
        <is>
          <t>SEC</t>
        </is>
      </c>
    </row>
    <row r="3406">
      <c r="A3406" s="5">
        <f>HYPERLINK("https://finance.yahoo.com/quote/SENS","SENS")</f>
        <v/>
      </c>
      <c r="B3406" t="inlineStr">
        <is>
          <t>Senseonics Holdings, Inc.</t>
        </is>
      </c>
      <c r="C3406" t="inlineStr">
        <is>
          <t>Nasdaq</t>
        </is>
      </c>
      <c r="D3406" t="n">
        <v>1616543</v>
      </c>
      <c r="E3406" t="inlineStr">
        <is>
          <t>SEC</t>
        </is>
      </c>
    </row>
    <row r="3407">
      <c r="A3407" s="5">
        <f>HYPERLINK("https://finance.yahoo.com/quote/KIO","KIO")</f>
        <v/>
      </c>
      <c r="B3407" t="inlineStr">
        <is>
          <t>KKR Income Opportunities Fund</t>
        </is>
      </c>
      <c r="C3407" t="inlineStr">
        <is>
          <t>NYSE</t>
        </is>
      </c>
      <c r="D3407" t="n">
        <v>1515940</v>
      </c>
      <c r="E3407" t="inlineStr">
        <is>
          <t>SEC</t>
        </is>
      </c>
    </row>
    <row r="3408">
      <c r="A3408" s="5">
        <f>HYPERLINK("https://finance.yahoo.com/quote/CTEV","CTEV")</f>
        <v/>
      </c>
      <c r="B3408" t="inlineStr">
        <is>
          <t>Claritev Corp</t>
        </is>
      </c>
      <c r="C3408" t="inlineStr">
        <is>
          <t>NYSE</t>
        </is>
      </c>
      <c r="D3408" t="n">
        <v>1793229</v>
      </c>
      <c r="E3408" t="inlineStr">
        <is>
          <t>SEC</t>
        </is>
      </c>
    </row>
    <row r="3409">
      <c r="A3409" s="5">
        <f>HYPERLINK("https://finance.yahoo.com/quote/NGS","NGS")</f>
        <v/>
      </c>
      <c r="B3409" t="inlineStr">
        <is>
          <t>NATURAL GAS SERVICES GROUP INC</t>
        </is>
      </c>
      <c r="C3409" t="inlineStr">
        <is>
          <t>NYSE</t>
        </is>
      </c>
      <c r="D3409" t="n">
        <v>1084991</v>
      </c>
      <c r="E3409" t="inlineStr">
        <is>
          <t>SEC</t>
        </is>
      </c>
    </row>
    <row r="3410">
      <c r="A3410" s="5">
        <f>HYPERLINK("https://finance.yahoo.com/quote/GEMI","GEMI")</f>
        <v/>
      </c>
      <c r="B3410" t="inlineStr">
        <is>
          <t>Gemini Space Station, Inc.</t>
        </is>
      </c>
      <c r="C3410" t="inlineStr">
        <is>
          <t>Nasdaq</t>
        </is>
      </c>
      <c r="D3410" t="n">
        <v>2055592</v>
      </c>
      <c r="E3410" t="inlineStr">
        <is>
          <t>SEC</t>
        </is>
      </c>
    </row>
    <row r="3411">
      <c r="A3411" s="5">
        <f>HYPERLINK("https://finance.yahoo.com/quote/GCO","GCO")</f>
        <v/>
      </c>
      <c r="B3411" t="inlineStr">
        <is>
          <t>GENESCO INC</t>
        </is>
      </c>
      <c r="C3411" t="inlineStr">
        <is>
          <t>NYSE</t>
        </is>
      </c>
      <c r="D3411" t="n">
        <v>18498</v>
      </c>
      <c r="E3411" t="inlineStr">
        <is>
          <t>SEC</t>
        </is>
      </c>
    </row>
    <row r="3412">
      <c r="A3412" s="5">
        <f>HYPERLINK("https://finance.yahoo.com/quote/ATNI","ATNI")</f>
        <v/>
      </c>
      <c r="B3412" t="inlineStr">
        <is>
          <t>ATN International, Inc.</t>
        </is>
      </c>
      <c r="C3412" t="inlineStr">
        <is>
          <t>Nasdaq</t>
        </is>
      </c>
      <c r="D3412" t="n">
        <v>879585</v>
      </c>
      <c r="E3412" t="inlineStr">
        <is>
          <t>SEC</t>
        </is>
      </c>
    </row>
    <row r="3413">
      <c r="A3413" s="5">
        <f>HYPERLINK("https://finance.yahoo.com/quote/CYDY","CYDY")</f>
        <v/>
      </c>
      <c r="B3413" t="inlineStr">
        <is>
          <t>CytoDyn Inc.</t>
        </is>
      </c>
      <c r="C3413" t="inlineStr">
        <is>
          <t>OTC</t>
        </is>
      </c>
      <c r="D3413" t="n">
        <v>1175680</v>
      </c>
      <c r="E3413" t="inlineStr">
        <is>
          <t>SEC</t>
        </is>
      </c>
    </row>
    <row r="3414">
      <c r="A3414" s="5">
        <f>HYPERLINK("https://finance.yahoo.com/quote/VHI","VHI")</f>
        <v/>
      </c>
      <c r="B3414" t="inlineStr">
        <is>
          <t>VALHI INC /DE/</t>
        </is>
      </c>
      <c r="C3414" t="inlineStr">
        <is>
          <t>NYSE</t>
        </is>
      </c>
      <c r="D3414" t="n">
        <v>59255</v>
      </c>
      <c r="E3414" t="inlineStr">
        <is>
          <t>SEC</t>
        </is>
      </c>
    </row>
    <row r="3415">
      <c r="A3415" s="5">
        <f>HYPERLINK("https://finance.yahoo.com/quote/CARL","CARL")</f>
        <v/>
      </c>
      <c r="B3415" t="inlineStr">
        <is>
          <t>CARLSMED, INC.</t>
        </is>
      </c>
      <c r="C3415" t="inlineStr">
        <is>
          <t>Nasdaq</t>
        </is>
      </c>
      <c r="D3415" t="n">
        <v>1794546</v>
      </c>
      <c r="E3415" t="inlineStr">
        <is>
          <t>SEC</t>
        </is>
      </c>
    </row>
    <row r="3416">
      <c r="A3416" s="5">
        <f>HYPERLINK("https://finance.yahoo.com/quote/BRBI","BRBI")</f>
        <v/>
      </c>
      <c r="B3416" t="inlineStr">
        <is>
          <t>BRBI BR Partners S.A.</t>
        </is>
      </c>
      <c r="C3416" t="inlineStr">
        <is>
          <t>Nasdaq</t>
        </is>
      </c>
      <c r="D3416" t="n">
        <v>2058601</v>
      </c>
      <c r="E3416" t="inlineStr">
        <is>
          <t>SEC</t>
        </is>
      </c>
    </row>
    <row r="3417">
      <c r="A3417" s="5">
        <f>HYPERLINK("https://finance.yahoo.com/quote/RWT","RWT")</f>
        <v/>
      </c>
      <c r="B3417" t="inlineStr">
        <is>
          <t>REDWOOD TRUST INC</t>
        </is>
      </c>
      <c r="C3417" t="inlineStr">
        <is>
          <t>NYSE</t>
        </is>
      </c>
      <c r="D3417" t="n">
        <v>930236</v>
      </c>
      <c r="E3417" t="inlineStr">
        <is>
          <t>SEC</t>
        </is>
      </c>
    </row>
    <row r="3418">
      <c r="A3418" s="5">
        <f>HYPERLINK("https://finance.yahoo.com/quote/ADV","ADV")</f>
        <v/>
      </c>
      <c r="B3418" t="inlineStr">
        <is>
          <t>Advantage Solutions Inc.</t>
        </is>
      </c>
      <c r="C3418" t="inlineStr">
        <is>
          <t>Nasdaq</t>
        </is>
      </c>
      <c r="D3418" t="n">
        <v>1776661</v>
      </c>
      <c r="E3418" t="inlineStr">
        <is>
          <t>SEC</t>
        </is>
      </c>
    </row>
    <row r="3419">
      <c r="A3419" s="5">
        <f>HYPERLINK("https://finance.yahoo.com/quote/EIKN","EIKN")</f>
        <v/>
      </c>
      <c r="B3419" t="inlineStr">
        <is>
          <t>Eikon Therapeutics, Inc.</t>
        </is>
      </c>
      <c r="C3419" t="inlineStr">
        <is>
          <t>Nasdaq</t>
        </is>
      </c>
      <c r="D3419" t="n">
        <v>1861123</v>
      </c>
      <c r="E3419" t="inlineStr">
        <is>
          <t>SEC</t>
        </is>
      </c>
    </row>
    <row r="3420">
      <c r="A3420" s="5">
        <f>HYPERLINK("https://finance.yahoo.com/quote/OFIX","OFIX")</f>
        <v/>
      </c>
      <c r="B3420" t="inlineStr">
        <is>
          <t>Orthofix Medical Inc.</t>
        </is>
      </c>
      <c r="C3420" t="inlineStr">
        <is>
          <t>Nasdaq</t>
        </is>
      </c>
      <c r="D3420" t="n">
        <v>884624</v>
      </c>
      <c r="E3420" t="inlineStr">
        <is>
          <t>SEC</t>
        </is>
      </c>
    </row>
    <row r="3421">
      <c r="A3421" s="5">
        <f>HYPERLINK("https://finance.yahoo.com/quote/CMCO","CMCO")</f>
        <v/>
      </c>
      <c r="B3421" t="inlineStr">
        <is>
          <t>COLUMBUS MCKINNON CORP</t>
        </is>
      </c>
      <c r="C3421" t="inlineStr">
        <is>
          <t>Nasdaq</t>
        </is>
      </c>
      <c r="D3421" t="n">
        <v>1005229</v>
      </c>
      <c r="E3421" t="inlineStr">
        <is>
          <t>SEC</t>
        </is>
      </c>
    </row>
    <row r="3422">
      <c r="A3422" s="5">
        <f>HYPERLINK("https://finance.yahoo.com/quote/ZKP","ZKP")</f>
        <v/>
      </c>
      <c r="B3422" t="inlineStr">
        <is>
          <t>Lafayette Digital Acquisition Corp. I</t>
        </is>
      </c>
      <c r="C3422" t="inlineStr">
        <is>
          <t>Nasdaq</t>
        </is>
      </c>
      <c r="D3422" t="n">
        <v>2087447</v>
      </c>
      <c r="E3422" t="inlineStr">
        <is>
          <t>SEC</t>
        </is>
      </c>
    </row>
    <row r="3423">
      <c r="A3423" s="5">
        <f>HYPERLINK("https://finance.yahoo.com/quote/EROC","EROC")</f>
        <v/>
      </c>
      <c r="B3423" t="inlineStr">
        <is>
          <t>ERock, Inc.</t>
        </is>
      </c>
      <c r="C3423" t="inlineStr">
        <is>
          <t>NYSE</t>
        </is>
      </c>
      <c r="D3423" t="n">
        <v>2110029</v>
      </c>
      <c r="E3423" t="inlineStr">
        <is>
          <t>SEC</t>
        </is>
      </c>
    </row>
    <row r="3424">
      <c r="A3424" s="5">
        <f>HYPERLINK("https://finance.yahoo.com/quote/TACO","TACO")</f>
        <v/>
      </c>
      <c r="B3424" t="inlineStr">
        <is>
          <t>Berto Acquisition Corp.</t>
        </is>
      </c>
      <c r="C3424" t="inlineStr">
        <is>
          <t>Nasdaq</t>
        </is>
      </c>
      <c r="D3424" t="n">
        <v>2033122</v>
      </c>
      <c r="E3424" t="inlineStr">
        <is>
          <t>SEC</t>
        </is>
      </c>
    </row>
    <row r="3425">
      <c r="A3425" s="5">
        <f>HYPERLINK("https://finance.yahoo.com/quote/VITL","VITL")</f>
        <v/>
      </c>
      <c r="B3425" t="inlineStr">
        <is>
          <t>Vital Farms, Inc.</t>
        </is>
      </c>
      <c r="C3425" t="inlineStr">
        <is>
          <t>Nasdaq</t>
        </is>
      </c>
      <c r="D3425" t="n">
        <v>1579733</v>
      </c>
      <c r="E3425" t="inlineStr">
        <is>
          <t>SEC</t>
        </is>
      </c>
    </row>
    <row r="3426">
      <c r="A3426" s="5">
        <f>HYPERLINK("https://finance.yahoo.com/quote/RDAG","RDAG")</f>
        <v/>
      </c>
      <c r="B3426" t="inlineStr">
        <is>
          <t>Republic Digital Acquisition Co</t>
        </is>
      </c>
      <c r="C3426" t="inlineStr">
        <is>
          <t>Nasdaq</t>
        </is>
      </c>
      <c r="D3426" t="n">
        <v>2055459</v>
      </c>
      <c r="E3426" t="inlineStr">
        <is>
          <t>SEC</t>
        </is>
      </c>
    </row>
    <row r="3427">
      <c r="A3427" s="5">
        <f>HYPERLINK("https://finance.yahoo.com/quote/TECX","TECX")</f>
        <v/>
      </c>
      <c r="B3427" t="inlineStr">
        <is>
          <t>Tectonic Therapeutic, Inc.</t>
        </is>
      </c>
      <c r="C3427" t="inlineStr">
        <is>
          <t>Nasdaq</t>
        </is>
      </c>
      <c r="D3427" t="n">
        <v>1681087</v>
      </c>
      <c r="E3427" t="inlineStr">
        <is>
          <t>SEC</t>
        </is>
      </c>
    </row>
    <row r="3428">
      <c r="A3428" s="5">
        <f>HYPERLINK("https://finance.yahoo.com/quote/DIN","DIN")</f>
        <v/>
      </c>
      <c r="B3428" t="inlineStr">
        <is>
          <t>Dine Brands Global, Inc.</t>
        </is>
      </c>
      <c r="C3428" t="inlineStr">
        <is>
          <t>NYSE</t>
        </is>
      </c>
      <c r="D3428" t="n">
        <v>49754</v>
      </c>
      <c r="E3428" t="inlineStr">
        <is>
          <t>SEC</t>
        </is>
      </c>
    </row>
    <row r="3429">
      <c r="A3429" s="5">
        <f>HYPERLINK("https://finance.yahoo.com/quote/WENN","WENN")</f>
        <v/>
      </c>
      <c r="B3429" t="inlineStr">
        <is>
          <t>WEN Acquisition Corp</t>
        </is>
      </c>
      <c r="C3429" t="inlineStr">
        <is>
          <t>Nasdaq</t>
        </is>
      </c>
      <c r="D3429" t="n">
        <v>2057043</v>
      </c>
      <c r="E3429" t="inlineStr">
        <is>
          <t>SEC</t>
        </is>
      </c>
    </row>
    <row r="3430">
      <c r="A3430" s="5">
        <f>HYPERLINK("https://finance.yahoo.com/quote/FINS","FINS")</f>
        <v/>
      </c>
      <c r="B3430" t="inlineStr">
        <is>
          <t>Angel Oak Financial Strategies Income Term Trust</t>
        </is>
      </c>
      <c r="C3430" t="inlineStr">
        <is>
          <t>NYSE</t>
        </is>
      </c>
      <c r="D3430" t="n">
        <v>1745059</v>
      </c>
      <c r="E3430" t="inlineStr">
        <is>
          <t>SEC</t>
        </is>
      </c>
    </row>
    <row r="3431">
      <c r="A3431" s="5">
        <f>HYPERLINK("https://finance.yahoo.com/quote/JRI","JRI")</f>
        <v/>
      </c>
      <c r="B3431" t="inlineStr">
        <is>
          <t>Nuveen Real Asset Income &amp; Growth Fund</t>
        </is>
      </c>
      <c r="C3431" t="inlineStr">
        <is>
          <t>NYSE</t>
        </is>
      </c>
      <c r="D3431" t="n">
        <v>1539337</v>
      </c>
      <c r="E3431" t="inlineStr">
        <is>
          <t>SEC</t>
        </is>
      </c>
    </row>
    <row r="3432">
      <c r="A3432" s="5">
        <f>HYPERLINK("https://finance.yahoo.com/quote/GUAC","GUAC")</f>
        <v/>
      </c>
      <c r="B3432" t="inlineStr">
        <is>
          <t>Berto Acquisition Corp. II</t>
        </is>
      </c>
      <c r="C3432" t="inlineStr">
        <is>
          <t>Nasdaq</t>
        </is>
      </c>
      <c r="D3432" t="n">
        <v>2081515</v>
      </c>
      <c r="E3432" t="inlineStr">
        <is>
          <t>SEC</t>
        </is>
      </c>
    </row>
    <row r="3433">
      <c r="A3433" s="5">
        <f>HYPERLINK("https://finance.yahoo.com/quote/FNKO","FNKO")</f>
        <v/>
      </c>
      <c r="B3433" t="inlineStr">
        <is>
          <t>Funko, Inc.</t>
        </is>
      </c>
      <c r="C3433" t="inlineStr">
        <is>
          <t>Nasdaq</t>
        </is>
      </c>
      <c r="D3433" t="n">
        <v>1704711</v>
      </c>
      <c r="E3433" t="inlineStr">
        <is>
          <t>SEC</t>
        </is>
      </c>
    </row>
    <row r="3434">
      <c r="A3434" s="5">
        <f>HYPERLINK("https://finance.yahoo.com/quote/PKBK","PKBK")</f>
        <v/>
      </c>
      <c r="B3434" t="inlineStr">
        <is>
          <t>PARKE BANCORP, INC.</t>
        </is>
      </c>
      <c r="C3434" t="inlineStr">
        <is>
          <t>Nasdaq</t>
        </is>
      </c>
      <c r="D3434" t="n">
        <v>1315399</v>
      </c>
      <c r="E3434" t="inlineStr">
        <is>
          <t>SEC</t>
        </is>
      </c>
    </row>
    <row r="3435">
      <c r="A3435" s="5">
        <f>HYPERLINK("https://finance.yahoo.com/quote/MVBF","MVBF")</f>
        <v/>
      </c>
      <c r="B3435" t="inlineStr">
        <is>
          <t>MVB FINANCIAL CORP</t>
        </is>
      </c>
      <c r="C3435" t="inlineStr">
        <is>
          <t>Nasdaq</t>
        </is>
      </c>
      <c r="D3435" t="n">
        <v>1277902</v>
      </c>
      <c r="E3435" t="inlineStr">
        <is>
          <t>SEC</t>
        </is>
      </c>
    </row>
    <row r="3436">
      <c r="A3436" s="5">
        <f>HYPERLINK("https://finance.yahoo.com/quote/EVN","EVN")</f>
        <v/>
      </c>
      <c r="B3436" t="inlineStr">
        <is>
          <t>Eaton Vance Municipal Income Trust</t>
        </is>
      </c>
      <c r="C3436" t="inlineStr">
        <is>
          <t>NYSE</t>
        </is>
      </c>
      <c r="D3436" t="n">
        <v>1074540</v>
      </c>
      <c r="E3436" t="inlineStr">
        <is>
          <t>SEC</t>
        </is>
      </c>
    </row>
    <row r="3437">
      <c r="A3437" s="5">
        <f>HYPERLINK("https://finance.yahoo.com/quote/AUNA","AUNA")</f>
        <v/>
      </c>
      <c r="B3437" t="inlineStr">
        <is>
          <t>AUNA S.A.</t>
        </is>
      </c>
      <c r="C3437" t="inlineStr">
        <is>
          <t>NYSE</t>
        </is>
      </c>
      <c r="D3437" t="n">
        <v>1799207</v>
      </c>
      <c r="E3437" t="inlineStr">
        <is>
          <t>SEC</t>
        </is>
      </c>
    </row>
    <row r="3438">
      <c r="A3438" s="5">
        <f>HYPERLINK("https://finance.yahoo.com/quote/KRUS","KRUS")</f>
        <v/>
      </c>
      <c r="B3438" t="inlineStr">
        <is>
          <t>KURA SUSHI USA, INC.</t>
        </is>
      </c>
      <c r="C3438" t="inlineStr">
        <is>
          <t>Nasdaq</t>
        </is>
      </c>
      <c r="D3438" t="n">
        <v>1772177</v>
      </c>
      <c r="E3438" t="inlineStr">
        <is>
          <t>SEC</t>
        </is>
      </c>
    </row>
    <row r="3439">
      <c r="A3439" s="5">
        <f>HYPERLINK("https://finance.yahoo.com/quote/WRN","WRN")</f>
        <v/>
      </c>
      <c r="B3439" t="inlineStr">
        <is>
          <t>Western Copper &amp; Gold Corp</t>
        </is>
      </c>
      <c r="C3439" t="inlineStr">
        <is>
          <t>NYSE</t>
        </is>
      </c>
      <c r="D3439" t="n">
        <v>1364125</v>
      </c>
      <c r="E3439" t="inlineStr">
        <is>
          <t>SEC</t>
        </is>
      </c>
    </row>
    <row r="3440">
      <c r="A3440" s="5">
        <f>HYPERLINK("https://finance.yahoo.com/quote/CCCT","CCCT")</f>
        <v/>
      </c>
      <c r="B3440" t="inlineStr">
        <is>
          <t>Columbus Circle Capital Corp III</t>
        </is>
      </c>
      <c r="C3440" t="inlineStr">
        <is>
          <t>Nasdaq</t>
        </is>
      </c>
      <c r="D3440" t="n">
        <v>2123471</v>
      </c>
      <c r="E3440" t="inlineStr">
        <is>
          <t>SEC</t>
        </is>
      </c>
    </row>
    <row r="3441">
      <c r="A3441" s="5">
        <f>HYPERLINK("https://finance.yahoo.com/quote/FOSL","FOSL")</f>
        <v/>
      </c>
      <c r="B3441" t="inlineStr">
        <is>
          <t>Fossil Group, Inc.</t>
        </is>
      </c>
      <c r="C3441" t="inlineStr">
        <is>
          <t>Nasdaq</t>
        </is>
      </c>
      <c r="D3441" t="n">
        <v>883569</v>
      </c>
      <c r="E3441" t="inlineStr">
        <is>
          <t>SEC</t>
        </is>
      </c>
    </row>
    <row r="3442">
      <c r="A3442" s="5">
        <f>HYPERLINK("https://finance.yahoo.com/quote/ISTR","ISTR")</f>
        <v/>
      </c>
      <c r="B3442" t="inlineStr">
        <is>
          <t>Investar Holding Corp</t>
        </is>
      </c>
      <c r="C3442" t="inlineStr">
        <is>
          <t>Nasdaq</t>
        </is>
      </c>
      <c r="D3442" t="n">
        <v>1602658</v>
      </c>
      <c r="E3442" t="inlineStr">
        <is>
          <t>SEC</t>
        </is>
      </c>
    </row>
    <row r="3443">
      <c r="A3443" s="5">
        <f>HYPERLINK("https://finance.yahoo.com/quote/OTLY","OTLY")</f>
        <v/>
      </c>
      <c r="B3443" t="inlineStr">
        <is>
          <t>Oatly Group AB</t>
        </is>
      </c>
      <c r="C3443" t="inlineStr">
        <is>
          <t>Nasdaq</t>
        </is>
      </c>
      <c r="D3443" t="n">
        <v>1843586</v>
      </c>
      <c r="E3443" t="inlineStr">
        <is>
          <t>SEC</t>
        </is>
      </c>
    </row>
    <row r="3444">
      <c r="A3444" s="5">
        <f>HYPERLINK("https://finance.yahoo.com/quote/STRZ","STRZ")</f>
        <v/>
      </c>
      <c r="B3444" t="inlineStr">
        <is>
          <t>STARZ ENTERTAINMENT CORP /CN/</t>
        </is>
      </c>
      <c r="C3444" t="inlineStr">
        <is>
          <t>Nasdaq</t>
        </is>
      </c>
      <c r="D3444" t="n">
        <v>929351</v>
      </c>
      <c r="E3444" t="inlineStr">
        <is>
          <t>SEC</t>
        </is>
      </c>
    </row>
    <row r="3445">
      <c r="A3445" s="5">
        <f>HYPERLINK("https://finance.yahoo.com/quote/SHOE","SHOE")</f>
        <v/>
      </c>
      <c r="B3445" t="inlineStr">
        <is>
          <t>SHOE STATION GROUP INC</t>
        </is>
      </c>
      <c r="C3445" t="inlineStr">
        <is>
          <t>Nasdaq</t>
        </is>
      </c>
      <c r="D3445" t="n">
        <v>895447</v>
      </c>
      <c r="E3445" t="inlineStr">
        <is>
          <t>SEC</t>
        </is>
      </c>
    </row>
    <row r="3446">
      <c r="A3446" s="5">
        <f>HYPERLINK("https://finance.yahoo.com/quote/USCB","USCB")</f>
        <v/>
      </c>
      <c r="B3446" t="inlineStr">
        <is>
          <t>USCB FINANCIAL HOLDINGS, INC.</t>
        </is>
      </c>
      <c r="C3446" t="inlineStr">
        <is>
          <t>Nasdaq</t>
        </is>
      </c>
      <c r="D3446" t="n">
        <v>1901637</v>
      </c>
      <c r="E3446" t="inlineStr">
        <is>
          <t>SEC</t>
        </is>
      </c>
    </row>
    <row r="3447">
      <c r="A3447" s="5">
        <f>HYPERLINK("https://finance.yahoo.com/quote/EMBC","EMBC")</f>
        <v/>
      </c>
      <c r="B3447" t="inlineStr">
        <is>
          <t>Embecta Corp.</t>
        </is>
      </c>
      <c r="C3447" t="inlineStr">
        <is>
          <t>Nasdaq</t>
        </is>
      </c>
      <c r="D3447" t="n">
        <v>1872789</v>
      </c>
      <c r="E3447" t="inlineStr">
        <is>
          <t>SEC</t>
        </is>
      </c>
    </row>
    <row r="3448">
      <c r="A3448" s="5">
        <f>HYPERLINK("https://finance.yahoo.com/quote/AMCX","AMCX")</f>
        <v/>
      </c>
      <c r="B3448" t="inlineStr">
        <is>
          <t>AMC Global Media Inc.</t>
        </is>
      </c>
      <c r="C3448" t="inlineStr">
        <is>
          <t>Nasdaq</t>
        </is>
      </c>
      <c r="D3448" t="n">
        <v>1514991</v>
      </c>
      <c r="E3448" t="inlineStr">
        <is>
          <t>SEC</t>
        </is>
      </c>
    </row>
    <row r="3449">
      <c r="A3449" s="5">
        <f>HYPERLINK("https://finance.yahoo.com/quote/ZIP","ZIP")</f>
        <v/>
      </c>
      <c r="B3449" t="inlineStr">
        <is>
          <t>ZIPRECRUITER, INC.</t>
        </is>
      </c>
      <c r="C3449" t="inlineStr">
        <is>
          <t>NYSE</t>
        </is>
      </c>
      <c r="D3449" t="n">
        <v>1617553</v>
      </c>
      <c r="E3449" t="inlineStr">
        <is>
          <t>SEC</t>
        </is>
      </c>
    </row>
    <row r="3450">
      <c r="A3450" s="5">
        <f>HYPERLINK("https://finance.yahoo.com/quote/TMQ","TMQ")</f>
        <v/>
      </c>
      <c r="B3450" t="inlineStr">
        <is>
          <t>Trilogy Metals Inc.</t>
        </is>
      </c>
      <c r="C3450" t="inlineStr">
        <is>
          <t>NYSE</t>
        </is>
      </c>
      <c r="D3450" t="n">
        <v>1543418</v>
      </c>
      <c r="E3450" t="inlineStr">
        <is>
          <t>SEC</t>
        </is>
      </c>
    </row>
    <row r="3451">
      <c r="A3451" s="5">
        <f>HYPERLINK("https://finance.yahoo.com/quote/LAND","LAND")</f>
        <v/>
      </c>
      <c r="B3451" t="inlineStr">
        <is>
          <t>GLADSTONE LAND Corp</t>
        </is>
      </c>
      <c r="C3451" t="inlineStr">
        <is>
          <t>Nasdaq</t>
        </is>
      </c>
      <c r="D3451" t="n">
        <v>1495240</v>
      </c>
      <c r="E3451" t="inlineStr">
        <is>
          <t>SEC</t>
        </is>
      </c>
    </row>
    <row r="3452">
      <c r="A3452" s="5">
        <f>HYPERLINK("https://finance.yahoo.com/quote/KEYY","KEYY")</f>
        <v/>
      </c>
      <c r="B3452" t="inlineStr">
        <is>
          <t>Keystone Acquisition Corp.</t>
        </is>
      </c>
      <c r="C3452" t="inlineStr">
        <is>
          <t>Nasdaq</t>
        </is>
      </c>
      <c r="D3452" t="n">
        <v>2102771</v>
      </c>
      <c r="E3452" t="inlineStr">
        <is>
          <t>SEC</t>
        </is>
      </c>
    </row>
    <row r="3453">
      <c r="A3453" s="5">
        <f>HYPERLINK("https://finance.yahoo.com/quote/FRST","FRST")</f>
        <v/>
      </c>
      <c r="B3453" t="inlineStr">
        <is>
          <t>Primis Financial Corp.</t>
        </is>
      </c>
      <c r="C3453" t="inlineStr">
        <is>
          <t>Nasdaq</t>
        </is>
      </c>
      <c r="D3453" t="n">
        <v>1325670</v>
      </c>
      <c r="E3453" t="inlineStr">
        <is>
          <t>SEC</t>
        </is>
      </c>
    </row>
    <row r="3454">
      <c r="A3454" s="5">
        <f>HYPERLINK("https://finance.yahoo.com/quote/CTRN","CTRN")</f>
        <v/>
      </c>
      <c r="B3454" t="inlineStr">
        <is>
          <t>Citi Trends Inc</t>
        </is>
      </c>
      <c r="C3454" t="inlineStr">
        <is>
          <t>Nasdaq</t>
        </is>
      </c>
      <c r="D3454" t="n">
        <v>1318484</v>
      </c>
      <c r="E3454" t="inlineStr">
        <is>
          <t>SEC</t>
        </is>
      </c>
    </row>
    <row r="3455">
      <c r="A3455" s="5">
        <f>HYPERLINK("https://finance.yahoo.com/quote/CRNC","CRNC")</f>
        <v/>
      </c>
      <c r="B3455" t="inlineStr">
        <is>
          <t>Cerence Inc.</t>
        </is>
      </c>
      <c r="C3455" t="inlineStr">
        <is>
          <t>Nasdaq</t>
        </is>
      </c>
      <c r="D3455" t="n">
        <v>1768267</v>
      </c>
      <c r="E3455" t="inlineStr">
        <is>
          <t>SEC</t>
        </is>
      </c>
    </row>
    <row r="3456">
      <c r="A3456" s="5">
        <f>HYPERLINK("https://finance.yahoo.com/quote/RPAY","RPAY")</f>
        <v/>
      </c>
      <c r="B3456" t="inlineStr">
        <is>
          <t>Repay Holdings Corp</t>
        </is>
      </c>
      <c r="C3456" t="inlineStr">
        <is>
          <t>Nasdaq</t>
        </is>
      </c>
      <c r="D3456" t="n">
        <v>1720592</v>
      </c>
      <c r="E3456" t="inlineStr">
        <is>
          <t>SEC</t>
        </is>
      </c>
    </row>
    <row r="3457">
      <c r="A3457" s="5">
        <f>HYPERLINK("https://finance.yahoo.com/quote/SOHU","SOHU")</f>
        <v/>
      </c>
      <c r="B3457" t="inlineStr">
        <is>
          <t>Sohu.com Ltd</t>
        </is>
      </c>
      <c r="C3457" t="inlineStr">
        <is>
          <t>Nasdaq</t>
        </is>
      </c>
      <c r="D3457" t="n">
        <v>1734107</v>
      </c>
      <c r="E3457" t="inlineStr">
        <is>
          <t>SEC</t>
        </is>
      </c>
    </row>
    <row r="3458">
      <c r="A3458" s="5">
        <f>HYPERLINK("https://finance.yahoo.com/quote/CCOI","CCOI")</f>
        <v/>
      </c>
      <c r="B3458" t="inlineStr">
        <is>
          <t>COGENT COMMUNICATIONS HOLDINGS, INC.</t>
        </is>
      </c>
      <c r="C3458" t="inlineStr">
        <is>
          <t>Nasdaq</t>
        </is>
      </c>
      <c r="D3458" t="n">
        <v>1158324</v>
      </c>
      <c r="E3458" t="inlineStr">
        <is>
          <t>SEC</t>
        </is>
      </c>
    </row>
    <row r="3459">
      <c r="A3459" s="5">
        <f>HYPERLINK("https://finance.yahoo.com/quote/NWFL","NWFL")</f>
        <v/>
      </c>
      <c r="B3459" t="inlineStr">
        <is>
          <t>NORWOOD FINANCIAL CORP</t>
        </is>
      </c>
      <c r="C3459" t="inlineStr">
        <is>
          <t>Nasdaq</t>
        </is>
      </c>
      <c r="D3459" t="n">
        <v>1013272</v>
      </c>
      <c r="E3459" t="inlineStr">
        <is>
          <t>SEC</t>
        </is>
      </c>
    </row>
    <row r="3460">
      <c r="A3460" s="5">
        <f>HYPERLINK("https://finance.yahoo.com/quote/YICC","YICC")</f>
        <v/>
      </c>
      <c r="B3460" t="inlineStr">
        <is>
          <t>Yorkville International Capital Corp.</t>
        </is>
      </c>
      <c r="C3460" t="inlineStr">
        <is>
          <t>Nasdaq</t>
        </is>
      </c>
      <c r="D3460" t="n">
        <v>2130386</v>
      </c>
      <c r="E3460" t="inlineStr">
        <is>
          <t>SEC</t>
        </is>
      </c>
    </row>
    <row r="3461">
      <c r="A3461" s="5">
        <f>HYPERLINK("https://finance.yahoo.com/quote/ISD","ISD")</f>
        <v/>
      </c>
      <c r="B3461" t="inlineStr">
        <is>
          <t>PGIM High Yield Bond Fund, Inc.</t>
        </is>
      </c>
      <c r="C3461" t="inlineStr">
        <is>
          <t>NYSE</t>
        </is>
      </c>
      <c r="D3461" t="n">
        <v>1534880</v>
      </c>
      <c r="E3461" t="inlineStr">
        <is>
          <t>SEC</t>
        </is>
      </c>
    </row>
    <row r="3462">
      <c r="A3462" s="5">
        <f>HYPERLINK("https://finance.yahoo.com/quote/DFP","DFP")</f>
        <v/>
      </c>
      <c r="B3462" t="inlineStr">
        <is>
          <t>Flaherty &amp; Crumrine Dynamic Preferred &amp; Income Fund Inc</t>
        </is>
      </c>
      <c r="C3462" t="inlineStr">
        <is>
          <t>NYSE</t>
        </is>
      </c>
      <c r="D3462" t="n">
        <v>1559991</v>
      </c>
      <c r="E3462" t="inlineStr">
        <is>
          <t>SEC</t>
        </is>
      </c>
    </row>
    <row r="3463">
      <c r="A3463" s="5">
        <f>HYPERLINK("https://finance.yahoo.com/quote/NECB","NECB")</f>
        <v/>
      </c>
      <c r="B3463" t="inlineStr">
        <is>
          <t>NorthEast Community Bancorp, Inc./MD/</t>
        </is>
      </c>
      <c r="C3463" t="inlineStr">
        <is>
          <t>Nasdaq</t>
        </is>
      </c>
      <c r="D3463" t="n">
        <v>1847398</v>
      </c>
      <c r="E3463" t="inlineStr">
        <is>
          <t>SEC</t>
        </is>
      </c>
    </row>
    <row r="3464">
      <c r="A3464" s="5">
        <f>HYPERLINK("https://finance.yahoo.com/quote/TMS","TMS")</f>
        <v/>
      </c>
      <c r="B3464" t="inlineStr">
        <is>
          <t>Teamshares Inc</t>
        </is>
      </c>
      <c r="C3464" t="inlineStr">
        <is>
          <t>Nasdaq</t>
        </is>
      </c>
      <c r="D3464" t="n">
        <v>2048951</v>
      </c>
      <c r="E3464" t="inlineStr">
        <is>
          <t>SEC</t>
        </is>
      </c>
    </row>
    <row r="3465">
      <c r="A3465" s="5">
        <f>HYPERLINK("https://finance.yahoo.com/quote/CCCC","CCCC")</f>
        <v/>
      </c>
      <c r="B3465" t="inlineStr">
        <is>
          <t>C4 Therapeutics, Inc.</t>
        </is>
      </c>
      <c r="C3465" t="inlineStr">
        <is>
          <t>Nasdaq</t>
        </is>
      </c>
      <c r="D3465" t="n">
        <v>1662579</v>
      </c>
      <c r="E3465" t="inlineStr">
        <is>
          <t>SEC</t>
        </is>
      </c>
    </row>
    <row r="3466">
      <c r="A3466" s="5">
        <f>HYPERLINK("https://finance.yahoo.com/quote/CLFD","CLFD")</f>
        <v/>
      </c>
      <c r="B3466" t="inlineStr">
        <is>
          <t>Clearfield, Inc.</t>
        </is>
      </c>
      <c r="C3466" t="inlineStr">
        <is>
          <t>Nasdaq</t>
        </is>
      </c>
      <c r="D3466" t="n">
        <v>796505</v>
      </c>
      <c r="E3466" t="inlineStr">
        <is>
          <t>SEC</t>
        </is>
      </c>
    </row>
    <row r="3467">
      <c r="A3467" s="5">
        <f>HYPERLINK("https://finance.yahoo.com/quote/API","API")</f>
        <v/>
      </c>
      <c r="B3467" t="inlineStr">
        <is>
          <t>Agora, Inc.</t>
        </is>
      </c>
      <c r="C3467" t="inlineStr">
        <is>
          <t>Nasdaq</t>
        </is>
      </c>
      <c r="D3467" t="n">
        <v>1802883</v>
      </c>
      <c r="E3467" t="inlineStr">
        <is>
          <t>SEC</t>
        </is>
      </c>
    </row>
    <row r="3468">
      <c r="A3468" s="5">
        <f>HYPERLINK("https://finance.yahoo.com/quote/TREE","TREE")</f>
        <v/>
      </c>
      <c r="B3468" t="inlineStr">
        <is>
          <t>LendingTree, Inc.</t>
        </is>
      </c>
      <c r="C3468" t="inlineStr">
        <is>
          <t>Nasdaq</t>
        </is>
      </c>
      <c r="D3468" t="n">
        <v>1434621</v>
      </c>
      <c r="E3468" t="inlineStr">
        <is>
          <t>SEC</t>
        </is>
      </c>
    </row>
    <row r="3469">
      <c r="A3469" s="5">
        <f>HYPERLINK("https://finance.yahoo.com/quote/ALOV","ALOV")</f>
        <v/>
      </c>
      <c r="B3469" t="inlineStr">
        <is>
          <t>Aldabra 4 Liquidity Opportunity Vehicle, Inc.</t>
        </is>
      </c>
      <c r="C3469" t="inlineStr">
        <is>
          <t>Nasdaq</t>
        </is>
      </c>
      <c r="D3469" t="n">
        <v>2083989</v>
      </c>
      <c r="E3469" t="inlineStr">
        <is>
          <t>SEC</t>
        </is>
      </c>
    </row>
    <row r="3470">
      <c r="A3470" s="5">
        <f>HYPERLINK("https://finance.yahoo.com/quote/MZYX","MZYX")</f>
        <v/>
      </c>
      <c r="B3470" t="inlineStr">
        <is>
          <t>MOZAYYX Acquisition Corp.</t>
        </is>
      </c>
      <c r="C3470" t="inlineStr">
        <is>
          <t>NYSE</t>
        </is>
      </c>
      <c r="D3470" t="n">
        <v>2097376</v>
      </c>
      <c r="E3470" t="inlineStr">
        <is>
          <t>SEC</t>
        </is>
      </c>
    </row>
    <row r="3471">
      <c r="A3471" s="5">
        <f>HYPERLINK("https://finance.yahoo.com/quote/HACQ","HACQ")</f>
        <v/>
      </c>
      <c r="B3471" t="inlineStr">
        <is>
          <t>HCM IV Acquisition Corp.</t>
        </is>
      </c>
      <c r="C3471" t="inlineStr">
        <is>
          <t>Nasdaq</t>
        </is>
      </c>
      <c r="D3471" t="n">
        <v>2089982</v>
      </c>
      <c r="E3471" t="inlineStr">
        <is>
          <t>SEC</t>
        </is>
      </c>
    </row>
    <row r="3472">
      <c r="A3472" s="5">
        <f>HYPERLINK("https://finance.yahoo.com/quote/SUJA","SUJA")</f>
        <v/>
      </c>
      <c r="B3472" t="inlineStr">
        <is>
          <t>SUJA LIFE, INC.</t>
        </is>
      </c>
      <c r="C3472" t="inlineStr">
        <is>
          <t>Nasdaq</t>
        </is>
      </c>
      <c r="D3472" t="n">
        <v>1934114</v>
      </c>
      <c r="E3472" t="inlineStr">
        <is>
          <t>SEC</t>
        </is>
      </c>
    </row>
    <row r="3473">
      <c r="A3473" s="5">
        <f>HYPERLINK("https://finance.yahoo.com/quote/SPCE","SPCE")</f>
        <v/>
      </c>
      <c r="B3473" t="inlineStr">
        <is>
          <t>Virgin Galactic Holdings, Inc</t>
        </is>
      </c>
      <c r="C3473" t="inlineStr">
        <is>
          <t>NYSE</t>
        </is>
      </c>
      <c r="D3473" t="n">
        <v>1706946</v>
      </c>
      <c r="E3473" t="inlineStr">
        <is>
          <t>SEC</t>
        </is>
      </c>
    </row>
    <row r="3474">
      <c r="A3474" s="5">
        <f>HYPERLINK("https://finance.yahoo.com/quote/VMD","VMD")</f>
        <v/>
      </c>
      <c r="B3474" t="inlineStr">
        <is>
          <t>VIEMED HEALTHCARE, INC.</t>
        </is>
      </c>
      <c r="C3474" t="inlineStr">
        <is>
          <t>Nasdaq</t>
        </is>
      </c>
      <c r="D3474" t="n">
        <v>1729149</v>
      </c>
      <c r="E3474" t="inlineStr">
        <is>
          <t>SEC</t>
        </is>
      </c>
    </row>
    <row r="3475">
      <c r="A3475" s="5">
        <f>HYPERLINK("https://finance.yahoo.com/quote/SDHY","SDHY")</f>
        <v/>
      </c>
      <c r="B3475" t="inlineStr">
        <is>
          <t>PGIM Short Duration High Yield Opportunities Fund</t>
        </is>
      </c>
      <c r="C3475" t="inlineStr">
        <is>
          <t>NYSE</t>
        </is>
      </c>
      <c r="D3475" t="n">
        <v>1812923</v>
      </c>
      <c r="E3475" t="inlineStr">
        <is>
          <t>SEC</t>
        </is>
      </c>
    </row>
    <row r="3476">
      <c r="A3476" s="5">
        <f>HYPERLINK("https://finance.yahoo.com/quote/HPS","HPS")</f>
        <v/>
      </c>
      <c r="B3476" t="inlineStr">
        <is>
          <t>JOHN HANCOCK PREFERRED INCOME FUND III</t>
        </is>
      </c>
      <c r="C3476" t="inlineStr">
        <is>
          <t>NYSE</t>
        </is>
      </c>
      <c r="D3476" t="n">
        <v>1215913</v>
      </c>
      <c r="E3476" t="inlineStr">
        <is>
          <t>SEC</t>
        </is>
      </c>
    </row>
    <row r="3477">
      <c r="A3477" s="5">
        <f>HYPERLINK("https://finance.yahoo.com/quote/RZLT","RZLT")</f>
        <v/>
      </c>
      <c r="B3477" t="inlineStr">
        <is>
          <t>Rezolute, Inc.</t>
        </is>
      </c>
      <c r="C3477" t="inlineStr">
        <is>
          <t>Nasdaq</t>
        </is>
      </c>
      <c r="D3477" t="n">
        <v>1509261</v>
      </c>
      <c r="E3477" t="inlineStr">
        <is>
          <t>SEC</t>
        </is>
      </c>
    </row>
    <row r="3478">
      <c r="A3478" s="5">
        <f>HYPERLINK("https://finance.yahoo.com/quote/TRXB","TRXB")</f>
        <v/>
      </c>
      <c r="B3478" t="inlineStr">
        <is>
          <t>TRex Bio, Inc.</t>
        </is>
      </c>
      <c r="C3478" t="inlineStr">
        <is>
          <t>Nasdaq</t>
        </is>
      </c>
      <c r="D3478" t="n">
        <v>2139097</v>
      </c>
      <c r="E3478" t="inlineStr">
        <is>
          <t>SEC</t>
        </is>
      </c>
    </row>
    <row r="3479">
      <c r="A3479" s="5">
        <f>HYPERLINK("https://finance.yahoo.com/quote/RMNI","RMNI")</f>
        <v/>
      </c>
      <c r="B3479" t="inlineStr">
        <is>
          <t>Rimini Street, Inc.</t>
        </is>
      </c>
      <c r="C3479" t="inlineStr">
        <is>
          <t>Nasdaq</t>
        </is>
      </c>
      <c r="D3479" t="n">
        <v>1635282</v>
      </c>
      <c r="E3479" t="inlineStr">
        <is>
          <t>SEC</t>
        </is>
      </c>
    </row>
    <row r="3480">
      <c r="A3480" s="5">
        <f>HYPERLINK("https://finance.yahoo.com/quote/GIW","GIW")</f>
        <v/>
      </c>
      <c r="B3480" t="inlineStr">
        <is>
          <t>GigCapital8 Corp.</t>
        </is>
      </c>
      <c r="C3480" t="inlineStr">
        <is>
          <t>Nasdaq</t>
        </is>
      </c>
      <c r="D3480" t="n">
        <v>2080019</v>
      </c>
      <c r="E3480" t="inlineStr">
        <is>
          <t>SEC</t>
        </is>
      </c>
    </row>
    <row r="3481">
      <c r="A3481" s="5">
        <f>HYPERLINK("https://finance.yahoo.com/quote/CHCT","CHCT")</f>
        <v/>
      </c>
      <c r="B3481" t="inlineStr">
        <is>
          <t>Community Healthcare Trust Inc</t>
        </is>
      </c>
      <c r="C3481" t="inlineStr">
        <is>
          <t>NYSE</t>
        </is>
      </c>
      <c r="D3481" t="n">
        <v>1631569</v>
      </c>
      <c r="E3481" t="inlineStr">
        <is>
          <t>SEC</t>
        </is>
      </c>
    </row>
    <row r="3482">
      <c r="A3482" s="5">
        <f>HYPERLINK("https://finance.yahoo.com/quote/HKHC","HKHC")</f>
        <v/>
      </c>
      <c r="B3482" t="inlineStr">
        <is>
          <t>Horizon Kinetics Holding Corp</t>
        </is>
      </c>
      <c r="C3482" t="inlineStr">
        <is>
          <t>OTC</t>
        </is>
      </c>
      <c r="D3482" t="n">
        <v>88000</v>
      </c>
      <c r="E3482" t="inlineStr">
        <is>
          <t>SEC</t>
        </is>
      </c>
    </row>
    <row r="3483">
      <c r="A3483" s="5">
        <f>HYPERLINK("https://finance.yahoo.com/quote/CV","CV")</f>
        <v/>
      </c>
      <c r="B3483" t="inlineStr">
        <is>
          <t>CapsoVision, Inc</t>
        </is>
      </c>
      <c r="C3483" t="inlineStr">
        <is>
          <t>Nasdaq</t>
        </is>
      </c>
      <c r="D3483" t="n">
        <v>1378325</v>
      </c>
      <c r="E3483" t="inlineStr">
        <is>
          <t>SEC</t>
        </is>
      </c>
    </row>
    <row r="3484">
      <c r="A3484" s="5">
        <f>HYPERLINK("https://finance.yahoo.com/quote/REI","REI")</f>
        <v/>
      </c>
      <c r="B3484" t="inlineStr">
        <is>
          <t>RING ENERGY, INC.</t>
        </is>
      </c>
      <c r="C3484" t="inlineStr">
        <is>
          <t>NYSE</t>
        </is>
      </c>
      <c r="D3484" t="n">
        <v>1384195</v>
      </c>
      <c r="E3484" t="inlineStr">
        <is>
          <t>SEC</t>
        </is>
      </c>
    </row>
    <row r="3485">
      <c r="A3485" s="5">
        <f>HYPERLINK("https://finance.yahoo.com/quote/SDHI","SDHI")</f>
        <v/>
      </c>
      <c r="B3485" t="inlineStr">
        <is>
          <t>Siddhi Acquisition Corp (Cayman Islands)</t>
        </is>
      </c>
      <c r="C3485" t="inlineStr">
        <is>
          <t>Nasdaq</t>
        </is>
      </c>
      <c r="D3485" t="n">
        <v>2034037</v>
      </c>
      <c r="E3485" t="inlineStr">
        <is>
          <t>SEC</t>
        </is>
      </c>
    </row>
    <row r="3486">
      <c r="A3486" s="5">
        <f>HYPERLINK("https://finance.yahoo.com/quote/FDMM","FDMM")</f>
        <v/>
      </c>
      <c r="B3486" t="inlineStr">
        <is>
          <t>Freedom Metals Acquisition Corp.</t>
        </is>
      </c>
      <c r="C3486" t="inlineStr">
        <is>
          <t>Nasdaq</t>
        </is>
      </c>
      <c r="D3486" t="n">
        <v>2129659</v>
      </c>
      <c r="E3486" t="inlineStr">
        <is>
          <t>SEC</t>
        </is>
      </c>
    </row>
    <row r="3487">
      <c r="A3487" s="5">
        <f>HYPERLINK("https://finance.yahoo.com/quote/FSTR","FSTR")</f>
        <v/>
      </c>
      <c r="B3487" t="inlineStr">
        <is>
          <t>FOSTER L B CO</t>
        </is>
      </c>
      <c r="C3487" t="inlineStr">
        <is>
          <t>Nasdaq</t>
        </is>
      </c>
      <c r="D3487" t="n">
        <v>352825</v>
      </c>
      <c r="E3487" t="inlineStr">
        <is>
          <t>SEC</t>
        </is>
      </c>
    </row>
    <row r="3488">
      <c r="A3488" s="5">
        <f>HYPERLINK("https://finance.yahoo.com/quote/NIKA","NIKA")</f>
        <v/>
      </c>
      <c r="B3488" t="inlineStr">
        <is>
          <t>NIKA PHARMACEUTICALS, INC</t>
        </is>
      </c>
      <c r="C3488" t="inlineStr">
        <is>
          <t>OTC</t>
        </is>
      </c>
      <c r="D3488" t="n">
        <v>1145604</v>
      </c>
      <c r="E3488" t="inlineStr">
        <is>
          <t>SEC</t>
        </is>
      </c>
    </row>
    <row r="3489">
      <c r="A3489" s="5">
        <f>HYPERLINK("https://finance.yahoo.com/quote/FCRS","FCRS")</f>
        <v/>
      </c>
      <c r="B3489" t="inlineStr">
        <is>
          <t>FutureCrest Acquisition Corp.</t>
        </is>
      </c>
      <c r="C3489" t="inlineStr">
        <is>
          <t>NYSE</t>
        </is>
      </c>
      <c r="D3489" t="n">
        <v>2074697</v>
      </c>
      <c r="E3489" t="inlineStr">
        <is>
          <t>SEC</t>
        </is>
      </c>
    </row>
    <row r="3490">
      <c r="A3490" s="5">
        <f>HYPERLINK("https://finance.yahoo.com/quote/WDH","WDH")</f>
        <v/>
      </c>
      <c r="B3490" t="inlineStr">
        <is>
          <t>Waterdrop Inc.</t>
        </is>
      </c>
      <c r="C3490" t="inlineStr">
        <is>
          <t>NYSE</t>
        </is>
      </c>
      <c r="D3490" t="n">
        <v>1823986</v>
      </c>
      <c r="E3490" t="inlineStr">
        <is>
          <t>SEC</t>
        </is>
      </c>
    </row>
    <row r="3491">
      <c r="A3491" s="5">
        <f>HYPERLINK("https://finance.yahoo.com/quote/VRNO","VRNO")</f>
        <v/>
      </c>
      <c r="B3491" t="inlineStr">
        <is>
          <t>Verano Holdings Corp.</t>
        </is>
      </c>
      <c r="C3491" t="inlineStr">
        <is>
          <t>OTC</t>
        </is>
      </c>
      <c r="D3491" t="n">
        <v>1848416</v>
      </c>
      <c r="E3491" t="inlineStr">
        <is>
          <t>SEC</t>
        </is>
      </c>
    </row>
    <row r="3492">
      <c r="A3492" s="5">
        <f>HYPERLINK("https://finance.yahoo.com/quote/GIX","GIX")</f>
        <v/>
      </c>
      <c r="B3492" t="inlineStr">
        <is>
          <t>GigCapital9 Corp.</t>
        </is>
      </c>
      <c r="C3492" t="inlineStr">
        <is>
          <t>Nasdaq</t>
        </is>
      </c>
      <c r="D3492" t="n">
        <v>2098712</v>
      </c>
      <c r="E3492" t="inlineStr">
        <is>
          <t>SEC</t>
        </is>
      </c>
    </row>
    <row r="3493">
      <c r="A3493" s="5">
        <f>HYPERLINK("https://finance.yahoo.com/quote/CDZI","CDZI")</f>
        <v/>
      </c>
      <c r="B3493" t="inlineStr">
        <is>
          <t>CADIZ INC</t>
        </is>
      </c>
      <c r="C3493" t="inlineStr">
        <is>
          <t>Nasdaq</t>
        </is>
      </c>
      <c r="D3493" t="n">
        <v>727273</v>
      </c>
      <c r="E3493" t="inlineStr">
        <is>
          <t>SEC</t>
        </is>
      </c>
    </row>
    <row r="3494">
      <c r="A3494" s="5">
        <f>HYPERLINK("https://finance.yahoo.com/quote/EDIT","EDIT")</f>
        <v/>
      </c>
      <c r="B3494" t="inlineStr">
        <is>
          <t>Editas Medicine, Inc.</t>
        </is>
      </c>
      <c r="C3494" t="inlineStr">
        <is>
          <t>Nasdaq</t>
        </is>
      </c>
      <c r="D3494" t="n">
        <v>1650664</v>
      </c>
      <c r="E3494" t="inlineStr">
        <is>
          <t>SEC</t>
        </is>
      </c>
    </row>
    <row r="3495">
      <c r="A3495" s="5">
        <f>HYPERLINK("https://finance.yahoo.com/quote/OIM","OIM")</f>
        <v/>
      </c>
      <c r="B3495" t="inlineStr">
        <is>
          <t>OneIM Acquisition Corp.</t>
        </is>
      </c>
      <c r="C3495" t="inlineStr">
        <is>
          <t>Nasdaq</t>
        </is>
      </c>
      <c r="D3495" t="n">
        <v>2088325</v>
      </c>
      <c r="E3495" t="inlineStr">
        <is>
          <t>SEC</t>
        </is>
      </c>
    </row>
    <row r="3496">
      <c r="A3496" s="5">
        <f>HYPERLINK("https://finance.yahoo.com/quote/ALUB","ALUB")</f>
        <v/>
      </c>
      <c r="B3496" t="inlineStr">
        <is>
          <t>Alussa Energy Acquisition Corp. II</t>
        </is>
      </c>
      <c r="C3496" t="inlineStr">
        <is>
          <t>NYSE</t>
        </is>
      </c>
      <c r="D3496" t="n">
        <v>2041493</v>
      </c>
      <c r="E3496" t="inlineStr">
        <is>
          <t>SEC</t>
        </is>
      </c>
    </row>
    <row r="3497">
      <c r="A3497" s="5">
        <f>HYPERLINK("https://finance.yahoo.com/quote/TACH","TACH")</f>
        <v/>
      </c>
      <c r="B3497" t="inlineStr">
        <is>
          <t>Titan Acquisition Corp.</t>
        </is>
      </c>
      <c r="C3497" t="inlineStr">
        <is>
          <t>Nasdaq</t>
        </is>
      </c>
      <c r="D3497" t="n">
        <v>2009183</v>
      </c>
      <c r="E3497" t="inlineStr">
        <is>
          <t>SEC</t>
        </is>
      </c>
    </row>
    <row r="3498">
      <c r="A3498" s="5">
        <f>HYPERLINK("https://finance.yahoo.com/quote/FVAV","FVAV")</f>
        <v/>
      </c>
      <c r="B3498" t="inlineStr">
        <is>
          <t>Fortress Value Acquisition Corp. V</t>
        </is>
      </c>
      <c r="C3498" t="inlineStr">
        <is>
          <t>Nasdaq</t>
        </is>
      </c>
      <c r="D3498" t="n">
        <v>1850733</v>
      </c>
      <c r="E3498" t="inlineStr">
        <is>
          <t>SEC</t>
        </is>
      </c>
    </row>
    <row r="3499">
      <c r="A3499" s="5">
        <f>HYPERLINK("https://finance.yahoo.com/quote/BRBS","BRBS")</f>
        <v/>
      </c>
      <c r="B3499" t="inlineStr">
        <is>
          <t>BLUE RIDGE BANKSHARES, INC.</t>
        </is>
      </c>
      <c r="C3499" t="inlineStr">
        <is>
          <t>NYSE</t>
        </is>
      </c>
      <c r="D3499" t="n">
        <v>842717</v>
      </c>
      <c r="E3499" t="inlineStr">
        <is>
          <t>SEC</t>
        </is>
      </c>
    </row>
    <row r="3500">
      <c r="A3500" s="5">
        <f>HYPERLINK("https://finance.yahoo.com/quote/FDBC","FDBC")</f>
        <v/>
      </c>
      <c r="B3500" t="inlineStr">
        <is>
          <t>FIDELITY D &amp; D BANCORP INC</t>
        </is>
      </c>
      <c r="C3500" t="inlineStr">
        <is>
          <t>Nasdaq</t>
        </is>
      </c>
      <c r="D3500" t="n">
        <v>1098151</v>
      </c>
      <c r="E3500" t="inlineStr">
        <is>
          <t>SEC</t>
        </is>
      </c>
    </row>
    <row r="3501">
      <c r="A3501" s="5">
        <f>HYPERLINK("https://finance.yahoo.com/quote/TLS","TLS")</f>
        <v/>
      </c>
      <c r="B3501" t="inlineStr">
        <is>
          <t>TELOS CORP</t>
        </is>
      </c>
      <c r="C3501" t="inlineStr">
        <is>
          <t>Nasdaq</t>
        </is>
      </c>
      <c r="D3501" t="n">
        <v>320121</v>
      </c>
      <c r="E3501" t="inlineStr">
        <is>
          <t>SEC</t>
        </is>
      </c>
    </row>
    <row r="3502">
      <c r="A3502" s="5">
        <f>HYPERLINK("https://finance.yahoo.com/quote/TSBK","TSBK")</f>
        <v/>
      </c>
      <c r="B3502" t="inlineStr">
        <is>
          <t>TIMBERLAND BANCORP INC</t>
        </is>
      </c>
      <c r="C3502" t="inlineStr">
        <is>
          <t>Nasdaq</t>
        </is>
      </c>
      <c r="D3502" t="n">
        <v>1046050</v>
      </c>
      <c r="E3502" t="inlineStr">
        <is>
          <t>SEC</t>
        </is>
      </c>
    </row>
    <row r="3503">
      <c r="A3503" s="5">
        <f>HYPERLINK("https://finance.yahoo.com/quote/FBYD","FBYD")</f>
        <v/>
      </c>
      <c r="B3503" t="inlineStr">
        <is>
          <t>Falcon's Beyond Global, Inc.</t>
        </is>
      </c>
      <c r="C3503" t="inlineStr">
        <is>
          <t>Nasdaq</t>
        </is>
      </c>
      <c r="D3503" t="n">
        <v>1937987</v>
      </c>
      <c r="E3503" t="inlineStr">
        <is>
          <t>SEC</t>
        </is>
      </c>
    </row>
    <row r="3504">
      <c r="A3504" s="5">
        <f>HYPERLINK("https://finance.yahoo.com/quote/SLI","SLI")</f>
        <v/>
      </c>
      <c r="B3504" t="inlineStr">
        <is>
          <t>STANDARD LITHIUM LTD.</t>
        </is>
      </c>
      <c r="C3504" t="inlineStr">
        <is>
          <t>NYSE</t>
        </is>
      </c>
      <c r="D3504" t="n">
        <v>1537137</v>
      </c>
      <c r="E3504" t="inlineStr">
        <is>
          <t>SEC</t>
        </is>
      </c>
    </row>
    <row r="3505">
      <c r="A3505" s="5">
        <f>HYPERLINK("https://finance.yahoo.com/quote/CPS","CPS")</f>
        <v/>
      </c>
      <c r="B3505" t="inlineStr">
        <is>
          <t>Cooper-Standard Holdings Inc.</t>
        </is>
      </c>
      <c r="C3505" t="inlineStr">
        <is>
          <t>NYSE</t>
        </is>
      </c>
      <c r="D3505" t="n">
        <v>1320461</v>
      </c>
      <c r="E3505" t="inlineStr">
        <is>
          <t>SEC</t>
        </is>
      </c>
    </row>
    <row r="3506">
      <c r="A3506" s="5">
        <f>HYPERLINK("https://finance.yahoo.com/quote/INDI","INDI")</f>
        <v/>
      </c>
      <c r="B3506" t="inlineStr">
        <is>
          <t>indie Semiconductor, Inc.</t>
        </is>
      </c>
      <c r="C3506" t="inlineStr">
        <is>
          <t>Nasdaq</t>
        </is>
      </c>
      <c r="D3506" t="n">
        <v>1841925</v>
      </c>
      <c r="E3506" t="inlineStr">
        <is>
          <t>SEC</t>
        </is>
      </c>
    </row>
    <row r="3507">
      <c r="A3507" s="5">
        <f>HYPERLINK("https://finance.yahoo.com/quote/AVTX","AVTX")</f>
        <v/>
      </c>
      <c r="B3507" t="inlineStr">
        <is>
          <t>Avalo Therapeutics, Inc.</t>
        </is>
      </c>
      <c r="C3507" t="inlineStr">
        <is>
          <t>Nasdaq</t>
        </is>
      </c>
      <c r="D3507" t="n">
        <v>1534120</v>
      </c>
      <c r="E3507" t="inlineStr">
        <is>
          <t>SEC</t>
        </is>
      </c>
    </row>
    <row r="3508">
      <c r="A3508" s="5">
        <f>HYPERLINK("https://finance.yahoo.com/quote/KCHV","KCHV")</f>
        <v/>
      </c>
      <c r="B3508" t="inlineStr">
        <is>
          <t>Kochav Defense Acquisition Corp.</t>
        </is>
      </c>
      <c r="C3508" t="inlineStr">
        <is>
          <t>Nasdaq</t>
        </is>
      </c>
      <c r="D3508" t="n">
        <v>2053799</v>
      </c>
      <c r="E3508" t="inlineStr">
        <is>
          <t>SEC</t>
        </is>
      </c>
    </row>
    <row r="3509">
      <c r="A3509" s="5">
        <f>HYPERLINK("https://finance.yahoo.com/quote/FRPH","FRPH")</f>
        <v/>
      </c>
      <c r="B3509" t="inlineStr">
        <is>
          <t>FRP HOLDINGS, INC.</t>
        </is>
      </c>
      <c r="C3509" t="inlineStr">
        <is>
          <t>Nasdaq</t>
        </is>
      </c>
      <c r="D3509" t="n">
        <v>844059</v>
      </c>
      <c r="E3509" t="inlineStr">
        <is>
          <t>SEC</t>
        </is>
      </c>
    </row>
    <row r="3510">
      <c r="A3510" s="5">
        <f>HYPERLINK("https://finance.yahoo.com/quote/PERI","PERI")</f>
        <v/>
      </c>
      <c r="B3510" t="inlineStr">
        <is>
          <t>Perion Network Ltd.</t>
        </is>
      </c>
      <c r="C3510" t="inlineStr">
        <is>
          <t>Nasdaq</t>
        </is>
      </c>
      <c r="D3510" t="n">
        <v>1338940</v>
      </c>
      <c r="E3510" t="inlineStr">
        <is>
          <t>SEC</t>
        </is>
      </c>
    </row>
    <row r="3511">
      <c r="A3511" s="5">
        <f>HYPERLINK("https://finance.yahoo.com/quote/NREF","NREF")</f>
        <v/>
      </c>
      <c r="B3511" t="inlineStr">
        <is>
          <t>NexPoint Real Estate Finance, Inc.</t>
        </is>
      </c>
      <c r="C3511" t="inlineStr">
        <is>
          <t>NYSE</t>
        </is>
      </c>
      <c r="D3511" t="n">
        <v>1786248</v>
      </c>
      <c r="E3511" t="inlineStr">
        <is>
          <t>SEC</t>
        </is>
      </c>
    </row>
    <row r="3512">
      <c r="A3512" s="5">
        <f>HYPERLINK("https://finance.yahoo.com/quote/MCI","MCI")</f>
        <v/>
      </c>
      <c r="B3512" t="inlineStr">
        <is>
          <t>BARINGS CORPORATE INVESTORS</t>
        </is>
      </c>
      <c r="C3512" t="inlineStr">
        <is>
          <t>NYSE</t>
        </is>
      </c>
      <c r="D3512" t="n">
        <v>275694</v>
      </c>
      <c r="E3512" t="inlineStr">
        <is>
          <t>SEC</t>
        </is>
      </c>
    </row>
    <row r="3513">
      <c r="A3513" s="5">
        <f>HYPERLINK("https://finance.yahoo.com/quote/VKI","VKI")</f>
        <v/>
      </c>
      <c r="B3513" t="inlineStr">
        <is>
          <t>Invesco Advantage Municipal Income Trust II</t>
        </is>
      </c>
      <c r="C3513" t="inlineStr">
        <is>
          <t>NYSE</t>
        </is>
      </c>
      <c r="D3513" t="n">
        <v>908993</v>
      </c>
      <c r="E3513" t="inlineStr">
        <is>
          <t>SEC</t>
        </is>
      </c>
    </row>
    <row r="3514">
      <c r="A3514" s="5">
        <f>HYPERLINK("https://finance.yahoo.com/quote/BOC","BOC")</f>
        <v/>
      </c>
      <c r="B3514" t="inlineStr">
        <is>
          <t>BOSTON OMAHA Corp</t>
        </is>
      </c>
      <c r="C3514" t="inlineStr">
        <is>
          <t>NYSE</t>
        </is>
      </c>
      <c r="D3514" t="n">
        <v>1494582</v>
      </c>
      <c r="E3514" t="inlineStr">
        <is>
          <t>SEC</t>
        </is>
      </c>
    </row>
    <row r="3515">
      <c r="A3515" s="5">
        <f>HYPERLINK("https://finance.yahoo.com/quote/TWFG","TWFG")</f>
        <v/>
      </c>
      <c r="B3515" t="inlineStr">
        <is>
          <t>TWFG, Inc.</t>
        </is>
      </c>
      <c r="C3515" t="inlineStr">
        <is>
          <t>Nasdaq</t>
        </is>
      </c>
      <c r="D3515" t="n">
        <v>2007596</v>
      </c>
      <c r="E3515" t="inlineStr">
        <is>
          <t>SEC</t>
        </is>
      </c>
    </row>
    <row r="3516">
      <c r="A3516" s="5">
        <f>HYPERLINK("https://finance.yahoo.com/quote/CCII","CCII")</f>
        <v/>
      </c>
      <c r="B3516" t="inlineStr">
        <is>
          <t>Cohen Circle Acquisition Corp. II</t>
        </is>
      </c>
      <c r="C3516" t="inlineStr">
        <is>
          <t>Nasdaq</t>
        </is>
      </c>
      <c r="D3516" t="n">
        <v>2064683</v>
      </c>
      <c r="E3516" t="inlineStr">
        <is>
          <t>SEC</t>
        </is>
      </c>
    </row>
    <row r="3517">
      <c r="A3517" s="5">
        <f>HYPERLINK("https://finance.yahoo.com/quote/SOUL","SOUL")</f>
        <v/>
      </c>
      <c r="B3517" t="inlineStr">
        <is>
          <t>Soulpower Acquisition Corp.</t>
        </is>
      </c>
      <c r="C3517" t="inlineStr">
        <is>
          <t>NYSE</t>
        </is>
      </c>
      <c r="D3517" t="n">
        <v>2025608</v>
      </c>
      <c r="E3517" t="inlineStr">
        <is>
          <t>SEC</t>
        </is>
      </c>
    </row>
    <row r="3518">
      <c r="A3518" s="5">
        <f>HYPERLINK("https://finance.yahoo.com/quote/ACAA","ACAA")</f>
        <v/>
      </c>
      <c r="B3518" t="inlineStr">
        <is>
          <t>Averin Capital Acquisition Corp.</t>
        </is>
      </c>
      <c r="C3518" t="inlineStr">
        <is>
          <t>Nasdaq</t>
        </is>
      </c>
      <c r="D3518" t="n">
        <v>2096900</v>
      </c>
      <c r="E3518" t="inlineStr">
        <is>
          <t>SEC</t>
        </is>
      </c>
    </row>
    <row r="3519">
      <c r="A3519" s="5">
        <f>HYPERLINK("https://finance.yahoo.com/quote/AIOT","AIOT")</f>
        <v/>
      </c>
      <c r="B3519" t="inlineStr">
        <is>
          <t>Powerfleet, Inc.</t>
        </is>
      </c>
      <c r="C3519" t="inlineStr">
        <is>
          <t>Nasdaq</t>
        </is>
      </c>
      <c r="D3519" t="n">
        <v>1774170</v>
      </c>
      <c r="E3519" t="inlineStr">
        <is>
          <t>SEC</t>
        </is>
      </c>
    </row>
    <row r="3520">
      <c r="A3520" s="5">
        <f>HYPERLINK("https://finance.yahoo.com/quote/NVEC","NVEC")</f>
        <v/>
      </c>
      <c r="B3520" t="inlineStr">
        <is>
          <t>NVE CORP /NEW/</t>
        </is>
      </c>
      <c r="C3520" t="inlineStr">
        <is>
          <t>Nasdaq</t>
        </is>
      </c>
      <c r="D3520" t="n">
        <v>724910</v>
      </c>
      <c r="E3520" t="inlineStr">
        <is>
          <t>SEC</t>
        </is>
      </c>
    </row>
    <row r="3521">
      <c r="A3521" s="5">
        <f>HYPERLINK("https://finance.yahoo.com/quote/AMAC","AMAC")</f>
        <v/>
      </c>
      <c r="B3521" t="inlineStr">
        <is>
          <t>AMR Resources Acquisition Corp.</t>
        </is>
      </c>
      <c r="C3521" t="inlineStr">
        <is>
          <t>Nasdaq</t>
        </is>
      </c>
      <c r="D3521" t="n">
        <v>2110119</v>
      </c>
      <c r="E3521" t="inlineStr">
        <is>
          <t>SEC</t>
        </is>
      </c>
    </row>
    <row r="3522">
      <c r="A3522" s="5">
        <f>HYPERLINK("https://finance.yahoo.com/quote/WSBF","WSBF")</f>
        <v/>
      </c>
      <c r="B3522" t="inlineStr">
        <is>
          <t>Waterstone Financial, Inc.</t>
        </is>
      </c>
      <c r="C3522" t="inlineStr">
        <is>
          <t>Nasdaq</t>
        </is>
      </c>
      <c r="D3522" t="n">
        <v>1569994</v>
      </c>
      <c r="E3522" t="inlineStr">
        <is>
          <t>SEC</t>
        </is>
      </c>
    </row>
    <row r="3523">
      <c r="A3523" s="5">
        <f>HYPERLINK("https://finance.yahoo.com/quote/GBLI","GBLI")</f>
        <v/>
      </c>
      <c r="B3523" t="inlineStr">
        <is>
          <t>Global Indemnity Group, LLC</t>
        </is>
      </c>
      <c r="C3523" t="inlineStr">
        <is>
          <t>Nasdaq</t>
        </is>
      </c>
      <c r="D3523" t="n">
        <v>1494904</v>
      </c>
      <c r="E3523" t="inlineStr">
        <is>
          <t>SEC</t>
        </is>
      </c>
    </row>
    <row r="3524">
      <c r="A3524" s="5">
        <f>HYPERLINK("https://finance.yahoo.com/quote/FENC","FENC")</f>
        <v/>
      </c>
      <c r="B3524" t="inlineStr">
        <is>
          <t>FENNEC PHARMACEUTICALS INC.</t>
        </is>
      </c>
      <c r="C3524" t="inlineStr">
        <is>
          <t>Nasdaq</t>
        </is>
      </c>
      <c r="D3524" t="n">
        <v>1211583</v>
      </c>
      <c r="E3524" t="inlineStr">
        <is>
          <t>SEC</t>
        </is>
      </c>
    </row>
    <row r="3525">
      <c r="A3525" s="5">
        <f>HYPERLINK("https://finance.yahoo.com/quote/HCIC","HCIC")</f>
        <v/>
      </c>
      <c r="B3525" t="inlineStr">
        <is>
          <t>Hennessy Capital Investment Corp. VIII</t>
        </is>
      </c>
      <c r="C3525" t="inlineStr">
        <is>
          <t>Nasdaq</t>
        </is>
      </c>
      <c r="D3525" t="n">
        <v>2099093</v>
      </c>
      <c r="E3525" t="inlineStr">
        <is>
          <t>SEC</t>
        </is>
      </c>
    </row>
    <row r="3526">
      <c r="A3526" s="5">
        <f>HYPERLINK("https://finance.yahoo.com/quote/LAES","LAES")</f>
        <v/>
      </c>
      <c r="B3526" t="inlineStr">
        <is>
          <t>SEALSQ Corp</t>
        </is>
      </c>
      <c r="C3526" t="inlineStr">
        <is>
          <t>Nasdaq</t>
        </is>
      </c>
      <c r="D3526" t="n">
        <v>1951222</v>
      </c>
      <c r="E3526" t="inlineStr">
        <is>
          <t>SEC</t>
        </is>
      </c>
    </row>
    <row r="3527">
      <c r="A3527" s="5">
        <f>HYPERLINK("https://finance.yahoo.com/quote/ARCI","ARCI")</f>
        <v/>
      </c>
      <c r="B3527" t="inlineStr">
        <is>
          <t>Archimedes Tech SPAC Partners III Co.</t>
        </is>
      </c>
      <c r="C3527" t="inlineStr">
        <is>
          <t>Nasdaq</t>
        </is>
      </c>
      <c r="D3527" t="n">
        <v>2083910</v>
      </c>
      <c r="E3527" t="inlineStr">
        <is>
          <t>SEC</t>
        </is>
      </c>
    </row>
    <row r="3528">
      <c r="A3528" s="5">
        <f>HYPERLINK("https://finance.yahoo.com/quote/KNOP","KNOP")</f>
        <v/>
      </c>
      <c r="B3528" t="inlineStr">
        <is>
          <t>KNOT Offshore Partners LP</t>
        </is>
      </c>
      <c r="C3528" t="inlineStr">
        <is>
          <t>NYSE</t>
        </is>
      </c>
      <c r="D3528" t="n">
        <v>1564180</v>
      </c>
      <c r="E3528" t="inlineStr">
        <is>
          <t>SEC</t>
        </is>
      </c>
    </row>
    <row r="3529">
      <c r="A3529" s="5">
        <f>HYPERLINK("https://finance.yahoo.com/quote/LEO","LEO")</f>
        <v/>
      </c>
      <c r="B3529" t="inlineStr">
        <is>
          <t>BNY MELLON STRATEGIC MUNICIPALS, INC.</t>
        </is>
      </c>
      <c r="C3529" t="inlineStr">
        <is>
          <t>NYSE</t>
        </is>
      </c>
      <c r="D3529" t="n">
        <v>818972</v>
      </c>
      <c r="E3529" t="inlineStr">
        <is>
          <t>SEC</t>
        </is>
      </c>
    </row>
    <row r="3530">
      <c r="A3530" s="5">
        <f>HYPERLINK("https://finance.yahoo.com/quote/JAKK","JAKK")</f>
        <v/>
      </c>
      <c r="B3530" t="inlineStr">
        <is>
          <t>JAKKS PACIFIC INC</t>
        </is>
      </c>
      <c r="C3530" t="inlineStr">
        <is>
          <t>Nasdaq</t>
        </is>
      </c>
      <c r="D3530" t="n">
        <v>1009829</v>
      </c>
      <c r="E3530" t="inlineStr">
        <is>
          <t>SEC</t>
        </is>
      </c>
    </row>
    <row r="3531">
      <c r="A3531" s="5">
        <f>HYPERLINK("https://finance.yahoo.com/quote/HPI","HPI")</f>
        <v/>
      </c>
      <c r="B3531" t="inlineStr">
        <is>
          <t>JOHN HANCOCK PREFERRED INCOME FUND</t>
        </is>
      </c>
      <c r="C3531" t="inlineStr">
        <is>
          <t>NYSE</t>
        </is>
      </c>
      <c r="D3531" t="n">
        <v>1176199</v>
      </c>
      <c r="E3531" t="inlineStr">
        <is>
          <t>SEC</t>
        </is>
      </c>
    </row>
    <row r="3532">
      <c r="A3532" s="5">
        <f>HYPERLINK("https://finance.yahoo.com/quote/GARLF","GARLF")</f>
        <v/>
      </c>
      <c r="B3532" t="inlineStr">
        <is>
          <t>Roxmore Resources Inc.</t>
        </is>
      </c>
      <c r="C3532" t="inlineStr">
        <is>
          <t>OTC</t>
        </is>
      </c>
      <c r="D3532" t="n">
        <v>1725569</v>
      </c>
      <c r="E3532" t="inlineStr">
        <is>
          <t>SEC</t>
        </is>
      </c>
    </row>
    <row r="3533">
      <c r="A3533" s="5">
        <f>HYPERLINK("https://finance.yahoo.com/quote/OYSE","OYSE")</f>
        <v/>
      </c>
      <c r="B3533" t="inlineStr">
        <is>
          <t>Oyster Enterprises II Acquisition Corp</t>
        </is>
      </c>
      <c r="C3533" t="inlineStr">
        <is>
          <t>Nasdaq</t>
        </is>
      </c>
      <c r="D3533" t="n">
        <v>2042182</v>
      </c>
      <c r="E3533" t="inlineStr">
        <is>
          <t>SEC</t>
        </is>
      </c>
    </row>
    <row r="3534">
      <c r="A3534" s="5">
        <f>HYPERLINK("https://finance.yahoo.com/quote/BDCI","BDCI")</f>
        <v/>
      </c>
      <c r="B3534" t="inlineStr">
        <is>
          <t>BTC Development Corp.</t>
        </is>
      </c>
      <c r="C3534" t="inlineStr">
        <is>
          <t>Nasdaq</t>
        </is>
      </c>
      <c r="D3534" t="n">
        <v>2042292</v>
      </c>
      <c r="E3534" t="inlineStr">
        <is>
          <t>SEC</t>
        </is>
      </c>
    </row>
    <row r="3535">
      <c r="A3535" s="5">
        <f>HYPERLINK("https://finance.yahoo.com/quote/SPIR","SPIR")</f>
        <v/>
      </c>
      <c r="B3535" t="inlineStr">
        <is>
          <t>Spire Global, Inc.</t>
        </is>
      </c>
      <c r="C3535" t="inlineStr">
        <is>
          <t>NYSE</t>
        </is>
      </c>
      <c r="D3535" t="n">
        <v>1816017</v>
      </c>
      <c r="E3535" t="inlineStr">
        <is>
          <t>SEC</t>
        </is>
      </c>
    </row>
    <row r="3536">
      <c r="A3536" s="5">
        <f>HYPERLINK("https://finance.yahoo.com/quote/ARTNA","ARTNA")</f>
        <v/>
      </c>
      <c r="B3536" t="inlineStr">
        <is>
          <t>ARTESIAN RESOURCES CORP</t>
        </is>
      </c>
      <c r="C3536" t="inlineStr">
        <is>
          <t>Nasdaq</t>
        </is>
      </c>
      <c r="D3536" t="n">
        <v>863110</v>
      </c>
      <c r="E3536" t="inlineStr">
        <is>
          <t>SEC</t>
        </is>
      </c>
    </row>
    <row r="3537">
      <c r="A3537" s="5">
        <f>HYPERLINK("https://finance.yahoo.com/quote/IA","IA")</f>
        <v/>
      </c>
      <c r="B3537" t="inlineStr">
        <is>
          <t>INNOVATIVE SOLUTIONS &amp; SUPPORT INC</t>
        </is>
      </c>
      <c r="C3537" t="inlineStr">
        <is>
          <t>Nasdaq</t>
        </is>
      </c>
      <c r="D3537" t="n">
        <v>836690</v>
      </c>
      <c r="E3537" t="inlineStr">
        <is>
          <t>SEC</t>
        </is>
      </c>
    </row>
    <row r="3538">
      <c r="A3538" s="5">
        <f>HYPERLINK("https://finance.yahoo.com/quote/BLZR","BLZR")</f>
        <v/>
      </c>
      <c r="B3538" t="inlineStr">
        <is>
          <t>Trailblazer Acquisition Corp.</t>
        </is>
      </c>
      <c r="C3538" t="inlineStr">
        <is>
          <t>Nasdaq</t>
        </is>
      </c>
      <c r="D3538" t="n">
        <v>2075310</v>
      </c>
      <c r="E3538" t="inlineStr">
        <is>
          <t>SEC</t>
        </is>
      </c>
    </row>
    <row r="3539">
      <c r="A3539" s="5">
        <f>HYPERLINK("https://finance.yahoo.com/quote/ECC","ECC")</f>
        <v/>
      </c>
      <c r="B3539" t="inlineStr">
        <is>
          <t>Eagle Point Credit Co</t>
        </is>
      </c>
      <c r="C3539" t="inlineStr">
        <is>
          <t>NYSE</t>
        </is>
      </c>
      <c r="D3539" t="n">
        <v>1604174</v>
      </c>
      <c r="E3539" t="inlineStr">
        <is>
          <t>SEC</t>
        </is>
      </c>
    </row>
    <row r="3540">
      <c r="A3540" s="5">
        <f>HYPERLINK("https://finance.yahoo.com/quote/ORN","ORN")</f>
        <v/>
      </c>
      <c r="B3540" t="inlineStr">
        <is>
          <t>Orion Group Holdings Inc</t>
        </is>
      </c>
      <c r="C3540" t="inlineStr">
        <is>
          <t>NYSE</t>
        </is>
      </c>
      <c r="D3540" t="n">
        <v>1402829</v>
      </c>
      <c r="E3540" t="inlineStr">
        <is>
          <t>SEC</t>
        </is>
      </c>
    </row>
    <row r="3541">
      <c r="A3541" s="5">
        <f>HYPERLINK("https://finance.yahoo.com/quote/TWIN","TWIN")</f>
        <v/>
      </c>
      <c r="B3541" t="inlineStr">
        <is>
          <t>TWIN DISC INC</t>
        </is>
      </c>
      <c r="C3541" t="inlineStr">
        <is>
          <t>Nasdaq</t>
        </is>
      </c>
      <c r="D3541" t="n">
        <v>100378</v>
      </c>
      <c r="E3541" t="inlineStr">
        <is>
          <t>SEC</t>
        </is>
      </c>
    </row>
    <row r="3542">
      <c r="A3542" s="5">
        <f>HYPERLINK("https://finance.yahoo.com/quote/LSAK","LSAK")</f>
        <v/>
      </c>
      <c r="B3542" t="inlineStr">
        <is>
          <t>LESAKA TECHNOLOGIES INC</t>
        </is>
      </c>
      <c r="C3542" t="inlineStr">
        <is>
          <t>Nasdaq</t>
        </is>
      </c>
      <c r="D3542" t="n">
        <v>1041514</v>
      </c>
      <c r="E3542" t="inlineStr">
        <is>
          <t>SEC</t>
        </is>
      </c>
    </row>
    <row r="3543">
      <c r="A3543" s="5">
        <f>HYPERLINK("https://finance.yahoo.com/quote/RLMD","RLMD")</f>
        <v/>
      </c>
      <c r="B3543" t="inlineStr">
        <is>
          <t>RELMADA THERAPEUTICS, INC.</t>
        </is>
      </c>
      <c r="C3543" t="inlineStr">
        <is>
          <t>Nasdaq</t>
        </is>
      </c>
      <c r="D3543" t="n">
        <v>1553643</v>
      </c>
      <c r="E3543" t="inlineStr">
        <is>
          <t>SEC</t>
        </is>
      </c>
    </row>
    <row r="3544">
      <c r="A3544" s="5">
        <f>HYPERLINK("https://finance.yahoo.com/quote/SBXE","SBXE")</f>
        <v/>
      </c>
      <c r="B3544" t="inlineStr">
        <is>
          <t>SilverBox Corp V</t>
        </is>
      </c>
      <c r="C3544" t="inlineStr">
        <is>
          <t>NYSE</t>
        </is>
      </c>
      <c r="D3544" t="n">
        <v>2081909</v>
      </c>
      <c r="E3544" t="inlineStr">
        <is>
          <t>SEC</t>
        </is>
      </c>
    </row>
    <row r="3545">
      <c r="A3545" s="5">
        <f>HYPERLINK("https://finance.yahoo.com/quote/MOBI","MOBI")</f>
        <v/>
      </c>
      <c r="B3545" t="inlineStr">
        <is>
          <t>Mobia Medical, Inc.</t>
        </is>
      </c>
      <c r="C3545" t="inlineStr">
        <is>
          <t>Nasdaq</t>
        </is>
      </c>
      <c r="D3545" t="n">
        <v>1489993</v>
      </c>
      <c r="E3545" t="inlineStr">
        <is>
          <t>SEC</t>
        </is>
      </c>
    </row>
    <row r="3546">
      <c r="A3546" s="5">
        <f>HYPERLINK("https://finance.yahoo.com/quote/EAD","EAD")</f>
        <v/>
      </c>
      <c r="B3546" t="inlineStr">
        <is>
          <t>ALLSPRING INCOME OPPORTUNITIES FUND</t>
        </is>
      </c>
      <c r="C3546" t="inlineStr">
        <is>
          <t>NYSE</t>
        </is>
      </c>
      <c r="D3546" t="n">
        <v>1210123</v>
      </c>
      <c r="E3546" t="inlineStr">
        <is>
          <t>SEC</t>
        </is>
      </c>
    </row>
    <row r="3547">
      <c r="A3547" s="5">
        <f>HYPERLINK("https://finance.yahoo.com/quote/SORN","SORN")</f>
        <v/>
      </c>
      <c r="B3547" t="inlineStr">
        <is>
          <t>Soren Acquisition Corp.</t>
        </is>
      </c>
      <c r="C3547" t="inlineStr">
        <is>
          <t>Nasdaq</t>
        </is>
      </c>
      <c r="D3547" t="n">
        <v>2086263</v>
      </c>
      <c r="E3547" t="inlineStr">
        <is>
          <t>SEC</t>
        </is>
      </c>
    </row>
    <row r="3548">
      <c r="A3548" s="5">
        <f>HYPERLINK("https://finance.yahoo.com/quote/TLNC","TLNC")</f>
        <v/>
      </c>
      <c r="B3548" t="inlineStr">
        <is>
          <t>Talon Capital Corp.</t>
        </is>
      </c>
      <c r="C3548" t="inlineStr">
        <is>
          <t>Nasdaq</t>
        </is>
      </c>
      <c r="D3548" t="n">
        <v>2073340</v>
      </c>
      <c r="E3548" t="inlineStr">
        <is>
          <t>SEC</t>
        </is>
      </c>
    </row>
    <row r="3549">
      <c r="A3549" s="5">
        <f>HYPERLINK("https://finance.yahoo.com/quote/SFIX","SFIX")</f>
        <v/>
      </c>
      <c r="B3549" t="inlineStr">
        <is>
          <t>Stitch Fix, Inc.</t>
        </is>
      </c>
      <c r="C3549" t="inlineStr">
        <is>
          <t>Nasdaq</t>
        </is>
      </c>
      <c r="D3549" t="n">
        <v>1576942</v>
      </c>
      <c r="E3549" t="inlineStr">
        <is>
          <t>SEC</t>
        </is>
      </c>
    </row>
    <row r="3550">
      <c r="A3550" s="5">
        <f>HYPERLINK("https://finance.yahoo.com/quote/CFFI","CFFI")</f>
        <v/>
      </c>
      <c r="B3550" t="inlineStr">
        <is>
          <t>C &amp; F FINANCIAL CORP</t>
        </is>
      </c>
      <c r="C3550" t="inlineStr">
        <is>
          <t>Nasdaq</t>
        </is>
      </c>
      <c r="D3550" t="n">
        <v>913341</v>
      </c>
      <c r="E3550" t="inlineStr">
        <is>
          <t>SEC</t>
        </is>
      </c>
    </row>
    <row r="3551">
      <c r="A3551" s="5">
        <f>HYPERLINK("https://finance.yahoo.com/quote/NUAI","NUAI")</f>
        <v/>
      </c>
      <c r="B3551" t="inlineStr">
        <is>
          <t>New ERA Energy &amp; Digital, Inc.</t>
        </is>
      </c>
      <c r="C3551" t="inlineStr">
        <is>
          <t>Nasdaq</t>
        </is>
      </c>
      <c r="D3551" t="n">
        <v>2028336</v>
      </c>
      <c r="E3551" t="inlineStr">
        <is>
          <t>SEC</t>
        </is>
      </c>
    </row>
    <row r="3552">
      <c r="A3552" s="5">
        <f>HYPERLINK("https://finance.yahoo.com/quote/AVBH","AVBH")</f>
        <v/>
      </c>
      <c r="B3552" t="inlineStr">
        <is>
          <t>Avidbank Holdings, Inc.</t>
        </is>
      </c>
      <c r="C3552" t="inlineStr">
        <is>
          <t>Nasdaq</t>
        </is>
      </c>
      <c r="D3552" t="n">
        <v>1443575</v>
      </c>
      <c r="E3552" t="inlineStr">
        <is>
          <t>SEC</t>
        </is>
      </c>
    </row>
    <row r="3553">
      <c r="A3553" s="5">
        <f>HYPERLINK("https://finance.yahoo.com/quote/HCMA","HCMA")</f>
        <v/>
      </c>
      <c r="B3553" t="inlineStr">
        <is>
          <t>HCM III ACQUISITION CORP.</t>
        </is>
      </c>
      <c r="C3553" t="inlineStr">
        <is>
          <t>Nasdaq</t>
        </is>
      </c>
      <c r="D3553" t="n">
        <v>2069856</v>
      </c>
      <c r="E3553" t="inlineStr">
        <is>
          <t>SEC</t>
        </is>
      </c>
    </row>
    <row r="3554">
      <c r="A3554" s="5">
        <f>HYPERLINK("https://finance.yahoo.com/quote/RCKY","RCKY")</f>
        <v/>
      </c>
      <c r="B3554" t="inlineStr">
        <is>
          <t>ROCKY BRANDS, INC.</t>
        </is>
      </c>
      <c r="C3554" t="inlineStr">
        <is>
          <t>Nasdaq</t>
        </is>
      </c>
      <c r="D3554" t="n">
        <v>895456</v>
      </c>
      <c r="E3554" t="inlineStr">
        <is>
          <t>SEC</t>
        </is>
      </c>
    </row>
    <row r="3555">
      <c r="A3555" s="5">
        <f>HYPERLINK("https://finance.yahoo.com/quote/JONE","JONE")</f>
        <v/>
      </c>
      <c r="B3555" t="inlineStr">
        <is>
          <t>Jones Ventures INTL Acquisition1 Corp</t>
        </is>
      </c>
      <c r="C3555" t="inlineStr">
        <is>
          <t>Nasdaq</t>
        </is>
      </c>
      <c r="D3555" t="n">
        <v>2129056</v>
      </c>
      <c r="E3555" t="inlineStr">
        <is>
          <t>SEC</t>
        </is>
      </c>
    </row>
    <row r="3556">
      <c r="A3556" s="5">
        <f>HYPERLINK("https://finance.yahoo.com/quote/ERII","ERII")</f>
        <v/>
      </c>
      <c r="B3556" t="inlineStr">
        <is>
          <t>Energy Recovery, Inc.</t>
        </is>
      </c>
      <c r="C3556" t="inlineStr">
        <is>
          <t>Nasdaq</t>
        </is>
      </c>
      <c r="D3556" t="n">
        <v>1421517</v>
      </c>
      <c r="E3556" t="inlineStr">
        <is>
          <t>SEC</t>
        </is>
      </c>
    </row>
    <row r="3557">
      <c r="A3557" s="5">
        <f>HYPERLINK("https://finance.yahoo.com/quote/ADUR","ADUR")</f>
        <v/>
      </c>
      <c r="B3557" t="inlineStr">
        <is>
          <t>ADURO CLEAN TECHNOLOGIES INC.</t>
        </is>
      </c>
      <c r="C3557" t="inlineStr">
        <is>
          <t>Nasdaq</t>
        </is>
      </c>
      <c r="D3557" t="n">
        <v>1863934</v>
      </c>
      <c r="E3557" t="inlineStr">
        <is>
          <t>SEC</t>
        </is>
      </c>
    </row>
    <row r="3558">
      <c r="A3558" s="5">
        <f>HYPERLINK("https://finance.yahoo.com/quote/GBAB","GBAB")</f>
        <v/>
      </c>
      <c r="B3558" t="inlineStr">
        <is>
          <t>Guggenheim Taxable Municipal Bond &amp; Investment Grade Debt Trust</t>
        </is>
      </c>
      <c r="C3558" t="inlineStr">
        <is>
          <t>NYSE</t>
        </is>
      </c>
      <c r="D3558" t="n">
        <v>1495825</v>
      </c>
      <c r="E3558" t="inlineStr">
        <is>
          <t>SEC</t>
        </is>
      </c>
    </row>
    <row r="3559">
      <c r="A3559" s="5">
        <f>HYPERLINK("https://finance.yahoo.com/quote/PHOE","PHOE")</f>
        <v/>
      </c>
      <c r="B3559" t="inlineStr">
        <is>
          <t>Phoenix Asia Holdings Ltd</t>
        </is>
      </c>
      <c r="C3559" t="inlineStr">
        <is>
          <t>Nasdaq</t>
        </is>
      </c>
      <c r="D3559" t="n">
        <v>2035709</v>
      </c>
      <c r="E3559" t="inlineStr">
        <is>
          <t>SEC</t>
        </is>
      </c>
    </row>
    <row r="3560">
      <c r="A3560" s="5">
        <f>HYPERLINK("https://finance.yahoo.com/quote/ENRD","ENRD")</f>
        <v/>
      </c>
      <c r="B3560" t="inlineStr">
        <is>
          <t>Einride AB</t>
        </is>
      </c>
      <c r="C3560" t="inlineStr">
        <is>
          <t>Nasdaq</t>
        </is>
      </c>
      <c r="D3560" t="n">
        <v>2095096</v>
      </c>
      <c r="E3560" t="inlineStr">
        <is>
          <t>SEC</t>
        </is>
      </c>
    </row>
    <row r="3561">
      <c r="A3561" s="5">
        <f>HYPERLINK("https://finance.yahoo.com/quote/MIY","MIY")</f>
        <v/>
      </c>
      <c r="B3561" t="inlineStr">
        <is>
          <t>BLACKROCK MUNIYIELD MICHIGAN QUALITY FUND, INC.</t>
        </is>
      </c>
      <c r="C3561" t="inlineStr">
        <is>
          <t>NYSE</t>
        </is>
      </c>
      <c r="D3561" t="n">
        <v>890393</v>
      </c>
      <c r="E3561" t="inlineStr">
        <is>
          <t>SEC</t>
        </is>
      </c>
    </row>
    <row r="3562">
      <c r="A3562" s="5">
        <f>HYPERLINK("https://finance.yahoo.com/quote/ROMA","ROMA")</f>
        <v/>
      </c>
      <c r="B3562" t="inlineStr">
        <is>
          <t>Roma Green Finance Ltd</t>
        </is>
      </c>
      <c r="C3562" t="inlineStr">
        <is>
          <t>Nasdaq</t>
        </is>
      </c>
      <c r="D3562" t="n">
        <v>1945240</v>
      </c>
      <c r="E3562" t="inlineStr">
        <is>
          <t>SEC</t>
        </is>
      </c>
    </row>
    <row r="3563">
      <c r="A3563" s="5">
        <f>HYPERLINK("https://finance.yahoo.com/quote/DSAC","DSAC")</f>
        <v/>
      </c>
      <c r="B3563" t="inlineStr">
        <is>
          <t>Daedalus Special Acquisition Corp.</t>
        </is>
      </c>
      <c r="C3563" t="inlineStr">
        <is>
          <t>Nasdaq</t>
        </is>
      </c>
      <c r="D3563" t="n">
        <v>2082149</v>
      </c>
      <c r="E3563" t="inlineStr">
        <is>
          <t>SEC</t>
        </is>
      </c>
    </row>
    <row r="3564">
      <c r="A3564" s="5">
        <f>HYPERLINK("https://finance.yahoo.com/quote/PRE","PRE")</f>
        <v/>
      </c>
      <c r="B3564" t="inlineStr">
        <is>
          <t>Prenetics Global Ltd</t>
        </is>
      </c>
      <c r="C3564" t="inlineStr">
        <is>
          <t>Nasdaq</t>
        </is>
      </c>
      <c r="D3564" t="n">
        <v>1876431</v>
      </c>
      <c r="E3564" t="inlineStr">
        <is>
          <t>SEC</t>
        </is>
      </c>
    </row>
    <row r="3565">
      <c r="A3565" s="5">
        <f>HYPERLINK("https://finance.yahoo.com/quote/ATAC","ATAC")</f>
        <v/>
      </c>
      <c r="B3565" t="inlineStr">
        <is>
          <t>Albatross Acquisition Corp</t>
        </is>
      </c>
      <c r="C3565" t="inlineStr"/>
      <c r="D3565" t="n">
        <v>2135163</v>
      </c>
      <c r="E3565" t="inlineStr">
        <is>
          <t>SEC</t>
        </is>
      </c>
    </row>
    <row r="3566">
      <c r="A3566" s="5">
        <f>HYPERLINK("https://finance.yahoo.com/quote/RNGR","RNGR")</f>
        <v/>
      </c>
      <c r="B3566" t="inlineStr">
        <is>
          <t>Ranger Energy Services, Inc.</t>
        </is>
      </c>
      <c r="C3566" t="inlineStr">
        <is>
          <t>NYSE</t>
        </is>
      </c>
      <c r="D3566" t="n">
        <v>1699039</v>
      </c>
      <c r="E3566" t="inlineStr">
        <is>
          <t>SEC</t>
        </is>
      </c>
    </row>
    <row r="3567">
      <c r="A3567" s="5">
        <f>HYPERLINK("https://finance.yahoo.com/quote/FSBW","FSBW")</f>
        <v/>
      </c>
      <c r="B3567" t="inlineStr">
        <is>
          <t>FS Bancorp, Inc.</t>
        </is>
      </c>
      <c r="C3567" t="inlineStr">
        <is>
          <t>Nasdaq</t>
        </is>
      </c>
      <c r="D3567" t="n">
        <v>1530249</v>
      </c>
      <c r="E3567" t="inlineStr">
        <is>
          <t>SEC</t>
        </is>
      </c>
    </row>
    <row r="3568">
      <c r="A3568" s="5">
        <f>HYPERLINK("https://finance.yahoo.com/quote/INRE","INRE")</f>
        <v/>
      </c>
      <c r="B3568" t="inlineStr">
        <is>
          <t>Inland Real Estate Income Trust, Inc.</t>
        </is>
      </c>
      <c r="C3568" t="inlineStr">
        <is>
          <t>OTC</t>
        </is>
      </c>
      <c r="D3568" t="n">
        <v>1528985</v>
      </c>
      <c r="E3568" t="inlineStr">
        <is>
          <t>SEC</t>
        </is>
      </c>
    </row>
    <row r="3569">
      <c r="A3569" s="5">
        <f>HYPERLINK("https://finance.yahoo.com/quote/AACI","AACI")</f>
        <v/>
      </c>
      <c r="B3569" t="inlineStr">
        <is>
          <t>Armada Acquisition Corp. III</t>
        </is>
      </c>
      <c r="C3569" t="inlineStr">
        <is>
          <t>Nasdaq</t>
        </is>
      </c>
      <c r="D3569" t="n">
        <v>2092897</v>
      </c>
      <c r="E3569" t="inlineStr">
        <is>
          <t>SEC</t>
        </is>
      </c>
    </row>
    <row r="3570">
      <c r="A3570" s="5">
        <f>HYPERLINK("https://finance.yahoo.com/quote/CAPR","CAPR")</f>
        <v/>
      </c>
      <c r="B3570" t="inlineStr">
        <is>
          <t>CAPRICOR THERAPEUTICS, INC.</t>
        </is>
      </c>
      <c r="C3570" t="inlineStr">
        <is>
          <t>Nasdaq</t>
        </is>
      </c>
      <c r="D3570" t="n">
        <v>1133869</v>
      </c>
      <c r="E3570" t="inlineStr">
        <is>
          <t>SEC</t>
        </is>
      </c>
    </row>
    <row r="3571">
      <c r="A3571" s="5">
        <f>HYPERLINK("https://finance.yahoo.com/quote/SCD","SCD")</f>
        <v/>
      </c>
      <c r="B3571" t="inlineStr">
        <is>
          <t>LMP CAPITAL &amp; INCOME FUND INC.</t>
        </is>
      </c>
      <c r="C3571" t="inlineStr">
        <is>
          <t>NYSE</t>
        </is>
      </c>
      <c r="D3571" t="n">
        <v>1270131</v>
      </c>
      <c r="E3571" t="inlineStr">
        <is>
          <t>SEC</t>
        </is>
      </c>
    </row>
    <row r="3572">
      <c r="A3572" s="5">
        <f>HYPERLINK("https://finance.yahoo.com/quote/SHIP","SHIP")</f>
        <v/>
      </c>
      <c r="B3572" t="inlineStr">
        <is>
          <t>Seanergy Maritime Holdings Corp.</t>
        </is>
      </c>
      <c r="C3572" t="inlineStr">
        <is>
          <t>Nasdaq</t>
        </is>
      </c>
      <c r="D3572" t="n">
        <v>1448397</v>
      </c>
      <c r="E3572" t="inlineStr">
        <is>
          <t>SEC</t>
        </is>
      </c>
    </row>
    <row r="3573">
      <c r="A3573" s="5">
        <f>HYPERLINK("https://finance.yahoo.com/quote/FLXS","FLXS")</f>
        <v/>
      </c>
      <c r="B3573" t="inlineStr">
        <is>
          <t>FLEXSTEEL INDUSTRIES INC</t>
        </is>
      </c>
      <c r="C3573" t="inlineStr">
        <is>
          <t>Nasdaq</t>
        </is>
      </c>
      <c r="D3573" t="n">
        <v>37472</v>
      </c>
      <c r="E3573" t="inlineStr">
        <is>
          <t>SEC</t>
        </is>
      </c>
    </row>
    <row r="3574">
      <c r="A3574" s="5">
        <f>HYPERLINK("https://finance.yahoo.com/quote/CGCF","CGCF")</f>
        <v/>
      </c>
      <c r="B3574" t="inlineStr">
        <is>
          <t>Cartesian Growth Corp IV</t>
        </is>
      </c>
      <c r="C3574" t="inlineStr">
        <is>
          <t>Nasdaq</t>
        </is>
      </c>
      <c r="D3574" t="n">
        <v>2126043</v>
      </c>
      <c r="E3574" t="inlineStr">
        <is>
          <t>SEC</t>
        </is>
      </c>
    </row>
    <row r="3575">
      <c r="A3575" s="5">
        <f>HYPERLINK("https://finance.yahoo.com/quote/CAII","CAII")</f>
        <v/>
      </c>
      <c r="B3575" t="inlineStr">
        <is>
          <t>Collective Acquisition Corp. II</t>
        </is>
      </c>
      <c r="C3575" t="inlineStr">
        <is>
          <t>Nasdaq</t>
        </is>
      </c>
      <c r="D3575" t="n">
        <v>2115404</v>
      </c>
      <c r="E3575" t="inlineStr">
        <is>
          <t>SEC</t>
        </is>
      </c>
    </row>
    <row r="3576">
      <c r="A3576" s="5">
        <f>HYPERLINK("https://finance.yahoo.com/quote/IPFX","IPFX")</f>
        <v/>
      </c>
      <c r="B3576" t="inlineStr">
        <is>
          <t>Inflection Point Acquisition Corp. VI</t>
        </is>
      </c>
      <c r="C3576" t="inlineStr">
        <is>
          <t>Nasdaq</t>
        </is>
      </c>
      <c r="D3576" t="n">
        <v>2102041</v>
      </c>
      <c r="E3576" t="inlineStr">
        <is>
          <t>SEC</t>
        </is>
      </c>
    </row>
    <row r="3577">
      <c r="A3577" s="5">
        <f>HYPERLINK("https://finance.yahoo.com/quote/PTOR","PTOR")</f>
        <v/>
      </c>
      <c r="B3577" t="inlineStr">
        <is>
          <t>Praetorian Acquisition Corp.</t>
        </is>
      </c>
      <c r="C3577" t="inlineStr">
        <is>
          <t>Nasdaq</t>
        </is>
      </c>
      <c r="D3577" t="n">
        <v>2093912</v>
      </c>
      <c r="E3577" t="inlineStr">
        <is>
          <t>SEC</t>
        </is>
      </c>
    </row>
    <row r="3578">
      <c r="A3578" s="5">
        <f>HYPERLINK("https://finance.yahoo.com/quote/YDES","YDES")</f>
        <v/>
      </c>
      <c r="B3578" t="inlineStr">
        <is>
          <t>YD Bio Ltd</t>
        </is>
      </c>
      <c r="C3578" t="inlineStr">
        <is>
          <t>Nasdaq</t>
        </is>
      </c>
      <c r="D3578" t="n">
        <v>2011674</v>
      </c>
      <c r="E3578" t="inlineStr">
        <is>
          <t>SEC</t>
        </is>
      </c>
    </row>
    <row r="3579">
      <c r="A3579" s="5">
        <f>HYPERLINK("https://finance.yahoo.com/quote/TCPC","TCPC")</f>
        <v/>
      </c>
      <c r="B3579" t="inlineStr">
        <is>
          <t>BlackRock TCP Capital Corp.</t>
        </is>
      </c>
      <c r="C3579" t="inlineStr">
        <is>
          <t>Nasdaq</t>
        </is>
      </c>
      <c r="D3579" t="n">
        <v>1370755</v>
      </c>
      <c r="E3579" t="inlineStr">
        <is>
          <t>SEC</t>
        </is>
      </c>
    </row>
    <row r="3580">
      <c r="A3580" s="5">
        <f>HYPERLINK("https://finance.yahoo.com/quote/LWAY","LWAY")</f>
        <v/>
      </c>
      <c r="B3580" t="inlineStr">
        <is>
          <t>Lifeway Foods, Inc.</t>
        </is>
      </c>
      <c r="C3580" t="inlineStr">
        <is>
          <t>Nasdaq</t>
        </is>
      </c>
      <c r="D3580" t="n">
        <v>814586</v>
      </c>
      <c r="E3580" t="inlineStr">
        <is>
          <t>SEC</t>
        </is>
      </c>
    </row>
    <row r="3581">
      <c r="A3581" s="5">
        <f>HYPERLINK("https://finance.yahoo.com/quote/OBIO","OBIO")</f>
        <v/>
      </c>
      <c r="B3581" t="inlineStr">
        <is>
          <t>Orchestra BioMed Holdings, Inc.</t>
        </is>
      </c>
      <c r="C3581" t="inlineStr">
        <is>
          <t>Nasdaq</t>
        </is>
      </c>
      <c r="D3581" t="n">
        <v>1814114</v>
      </c>
      <c r="E3581" t="inlineStr">
        <is>
          <t>SEC</t>
        </is>
      </c>
    </row>
    <row r="3582">
      <c r="A3582" s="5">
        <f>HYPERLINK("https://finance.yahoo.com/quote/JILL","JILL")</f>
        <v/>
      </c>
      <c r="B3582" t="inlineStr">
        <is>
          <t>J.Jill, Inc.</t>
        </is>
      </c>
      <c r="C3582" t="inlineStr">
        <is>
          <t>NYSE</t>
        </is>
      </c>
      <c r="D3582" t="n">
        <v>1687932</v>
      </c>
      <c r="E3582" t="inlineStr">
        <is>
          <t>SEC</t>
        </is>
      </c>
    </row>
    <row r="3583">
      <c r="A3583" s="5">
        <f>HYPERLINK("https://finance.yahoo.com/quote/AEF","AEF")</f>
        <v/>
      </c>
      <c r="B3583" t="inlineStr">
        <is>
          <t>abrdn Emerging Markets ex-China Fund, Inc.</t>
        </is>
      </c>
      <c r="C3583" t="inlineStr">
        <is>
          <t>NYSE</t>
        </is>
      </c>
      <c r="D3583" t="n">
        <v>846676</v>
      </c>
      <c r="E3583" t="inlineStr">
        <is>
          <t>SEC</t>
        </is>
      </c>
    </row>
    <row r="3584">
      <c r="A3584" s="5">
        <f>HYPERLINK("https://finance.yahoo.com/quote/PNRG","PNRG")</f>
        <v/>
      </c>
      <c r="B3584" t="inlineStr">
        <is>
          <t>PRIMEENERGY RESOURCES CORP</t>
        </is>
      </c>
      <c r="C3584" t="inlineStr">
        <is>
          <t>Nasdaq</t>
        </is>
      </c>
      <c r="D3584" t="n">
        <v>56868</v>
      </c>
      <c r="E3584" t="inlineStr">
        <is>
          <t>SEC</t>
        </is>
      </c>
    </row>
    <row r="3585">
      <c r="A3585" s="5">
        <f>HYPERLINK("https://finance.yahoo.com/quote/BLUW","BLUW")</f>
        <v/>
      </c>
      <c r="B3585" t="inlineStr">
        <is>
          <t>Blue Water Acquisition Corp. III</t>
        </is>
      </c>
      <c r="C3585" t="inlineStr">
        <is>
          <t>Nasdaq</t>
        </is>
      </c>
      <c r="D3585" t="n">
        <v>2050501</v>
      </c>
      <c r="E3585" t="inlineStr">
        <is>
          <t>SEC</t>
        </is>
      </c>
    </row>
    <row r="3586">
      <c r="A3586" s="5">
        <f>HYPERLINK("https://finance.yahoo.com/quote/VOXR","VOXR")</f>
        <v/>
      </c>
      <c r="B3586" t="inlineStr">
        <is>
          <t>VOX ROYALTY CORP.</t>
        </is>
      </c>
      <c r="C3586" t="inlineStr">
        <is>
          <t>Nasdaq</t>
        </is>
      </c>
      <c r="D3586" t="n">
        <v>1907909</v>
      </c>
      <c r="E3586" t="inlineStr">
        <is>
          <t>SEC</t>
        </is>
      </c>
    </row>
    <row r="3587">
      <c r="A3587" s="5">
        <f>HYPERLINK("https://finance.yahoo.com/quote/MGPI","MGPI")</f>
        <v/>
      </c>
      <c r="B3587" t="inlineStr">
        <is>
          <t>MGP INGREDIENTS INC</t>
        </is>
      </c>
      <c r="C3587" t="inlineStr">
        <is>
          <t>Nasdaq</t>
        </is>
      </c>
      <c r="D3587" t="n">
        <v>835011</v>
      </c>
      <c r="E3587" t="inlineStr">
        <is>
          <t>SEC</t>
        </is>
      </c>
    </row>
    <row r="3588">
      <c r="A3588" s="5">
        <f>HYPERLINK("https://finance.yahoo.com/quote/KREF","KREF")</f>
        <v/>
      </c>
      <c r="B3588" t="inlineStr">
        <is>
          <t>KKR Real Estate Finance Trust Inc.</t>
        </is>
      </c>
      <c r="C3588" t="inlineStr">
        <is>
          <t>NYSE</t>
        </is>
      </c>
      <c r="D3588" t="n">
        <v>1631596</v>
      </c>
      <c r="E3588" t="inlineStr">
        <is>
          <t>SEC</t>
        </is>
      </c>
    </row>
    <row r="3589">
      <c r="A3589" s="5">
        <f>HYPERLINK("https://finance.yahoo.com/quote/FOF","FOF")</f>
        <v/>
      </c>
      <c r="B3589" t="inlineStr">
        <is>
          <t>Cohen &amp; Steers Closed-End Opportunity Fund, Inc.</t>
        </is>
      </c>
      <c r="C3589" t="inlineStr">
        <is>
          <t>NYSE</t>
        </is>
      </c>
      <c r="D3589" t="n">
        <v>1375340</v>
      </c>
      <c r="E3589" t="inlineStr">
        <is>
          <t>SEC</t>
        </is>
      </c>
    </row>
    <row r="3590">
      <c r="A3590" s="5">
        <f>HYPERLINK("https://finance.yahoo.com/quote/KYTX","KYTX")</f>
        <v/>
      </c>
      <c r="B3590" t="inlineStr">
        <is>
          <t>Kyverna Therapeutics, Inc.</t>
        </is>
      </c>
      <c r="C3590" t="inlineStr">
        <is>
          <t>Nasdaq</t>
        </is>
      </c>
      <c r="D3590" t="n">
        <v>1994702</v>
      </c>
      <c r="E3590" t="inlineStr">
        <is>
          <t>SEC</t>
        </is>
      </c>
    </row>
    <row r="3591">
      <c r="A3591" s="5">
        <f>HYPERLINK("https://finance.yahoo.com/quote/JMSB","JMSB")</f>
        <v/>
      </c>
      <c r="B3591" t="inlineStr">
        <is>
          <t>John Marshall Bancorp, Inc.</t>
        </is>
      </c>
      <c r="C3591" t="inlineStr">
        <is>
          <t>Nasdaq</t>
        </is>
      </c>
      <c r="D3591" t="n">
        <v>1710482</v>
      </c>
      <c r="E3591" t="inlineStr">
        <is>
          <t>SEC</t>
        </is>
      </c>
    </row>
    <row r="3592">
      <c r="A3592" s="5">
        <f>HYPERLINK("https://finance.yahoo.com/quote/XRX","XRX")</f>
        <v/>
      </c>
      <c r="B3592" t="inlineStr">
        <is>
          <t>Xerox Holdings Corp</t>
        </is>
      </c>
      <c r="C3592" t="inlineStr">
        <is>
          <t>Nasdaq</t>
        </is>
      </c>
      <c r="D3592" t="n">
        <v>1770450</v>
      </c>
      <c r="E3592" t="inlineStr">
        <is>
          <t>SEC</t>
        </is>
      </c>
    </row>
    <row r="3593">
      <c r="A3593" s="5">
        <f>HYPERLINK("https://finance.yahoo.com/quote/ORBS","ORBS")</f>
        <v/>
      </c>
      <c r="B3593" t="inlineStr">
        <is>
          <t>Eightco Holdings Inc.</t>
        </is>
      </c>
      <c r="C3593" t="inlineStr">
        <is>
          <t>Nasdaq</t>
        </is>
      </c>
      <c r="D3593" t="n">
        <v>1892492</v>
      </c>
      <c r="E3593" t="inlineStr">
        <is>
          <t>SEC</t>
        </is>
      </c>
    </row>
    <row r="3594">
      <c r="A3594" s="5">
        <f>HYPERLINK("https://finance.yahoo.com/quote/CBNA","CBNA")</f>
        <v/>
      </c>
      <c r="B3594" t="inlineStr">
        <is>
          <t>CHAIN BRIDGE BANCORP INC</t>
        </is>
      </c>
      <c r="C3594" t="inlineStr">
        <is>
          <t>NYSE</t>
        </is>
      </c>
      <c r="D3594" t="n">
        <v>1392272</v>
      </c>
      <c r="E3594" t="inlineStr">
        <is>
          <t>SEC</t>
        </is>
      </c>
    </row>
    <row r="3595">
      <c r="A3595" s="5">
        <f>HYPERLINK("https://finance.yahoo.com/quote/SPXX","SPXX")</f>
        <v/>
      </c>
      <c r="B3595" t="inlineStr">
        <is>
          <t>Nuveen S&amp;P 500 Dynamic Overwrite Fund</t>
        </is>
      </c>
      <c r="C3595" t="inlineStr">
        <is>
          <t>NYSE</t>
        </is>
      </c>
      <c r="D3595" t="n">
        <v>1338561</v>
      </c>
      <c r="E3595" t="inlineStr">
        <is>
          <t>SEC</t>
        </is>
      </c>
    </row>
    <row r="3596">
      <c r="A3596" s="5">
        <f>HYPERLINK("https://finance.yahoo.com/quote/COSO","COSO")</f>
        <v/>
      </c>
      <c r="B3596" t="inlineStr">
        <is>
          <t>CoastalSouth Bancshares, Inc.</t>
        </is>
      </c>
      <c r="C3596" t="inlineStr">
        <is>
          <t>NYSE</t>
        </is>
      </c>
      <c r="D3596" t="n">
        <v>1297107</v>
      </c>
      <c r="E3596" t="inlineStr">
        <is>
          <t>SEC</t>
        </is>
      </c>
    </row>
    <row r="3597">
      <c r="A3597" s="5">
        <f>HYPERLINK("https://finance.yahoo.com/quote/FGOVF","FGOVF")</f>
        <v/>
      </c>
      <c r="B3597" t="inlineStr">
        <is>
          <t>FREEGOLD VENTURES LTD</t>
        </is>
      </c>
      <c r="C3597" t="inlineStr">
        <is>
          <t>OTC</t>
        </is>
      </c>
      <c r="D3597" t="n">
        <v>1064052</v>
      </c>
      <c r="E3597" t="inlineStr">
        <is>
          <t>SEC</t>
        </is>
      </c>
    </row>
    <row r="3598">
      <c r="A3598" s="5">
        <f>HYPERLINK("https://finance.yahoo.com/quote/ENTA","ENTA")</f>
        <v/>
      </c>
      <c r="B3598" t="inlineStr">
        <is>
          <t>ENANTA PHARMACEUTICALS INC</t>
        </is>
      </c>
      <c r="C3598" t="inlineStr">
        <is>
          <t>Nasdaq</t>
        </is>
      </c>
      <c r="D3598" t="n">
        <v>1177648</v>
      </c>
      <c r="E3598" t="inlineStr">
        <is>
          <t>SEC</t>
        </is>
      </c>
    </row>
    <row r="3599">
      <c r="A3599" s="5">
        <f>HYPERLINK("https://finance.yahoo.com/quote/HFRO","HFRO")</f>
        <v/>
      </c>
      <c r="B3599" t="inlineStr">
        <is>
          <t>HIGHLAND OPPORTUNITIES &amp; INCOME FUND</t>
        </is>
      </c>
      <c r="C3599" t="inlineStr">
        <is>
          <t>NYSE</t>
        </is>
      </c>
      <c r="D3599" t="n">
        <v>1710680</v>
      </c>
      <c r="E3599" t="inlineStr">
        <is>
          <t>SEC</t>
        </is>
      </c>
    </row>
    <row r="3600">
      <c r="A3600" s="5">
        <f>HYPERLINK("https://finance.yahoo.com/quote/GONYF","GONYF")</f>
        <v/>
      </c>
      <c r="B3600" t="inlineStr">
        <is>
          <t>GO Residential Real Estate Investment Trust</t>
        </is>
      </c>
      <c r="C3600" t="inlineStr">
        <is>
          <t>OTC</t>
        </is>
      </c>
      <c r="D3600" t="n">
        <v>2081438</v>
      </c>
      <c r="E3600" t="inlineStr">
        <is>
          <t>SEC</t>
        </is>
      </c>
    </row>
    <row r="3601">
      <c r="A3601" s="5">
        <f>HYPERLINK("https://finance.yahoo.com/quote/PFL","PFL")</f>
        <v/>
      </c>
      <c r="B3601" t="inlineStr">
        <is>
          <t>PIMCO INCOME STRATEGY FUND</t>
        </is>
      </c>
      <c r="C3601" t="inlineStr">
        <is>
          <t>NYSE</t>
        </is>
      </c>
      <c r="D3601" t="n">
        <v>1244183</v>
      </c>
      <c r="E3601" t="inlineStr">
        <is>
          <t>SEC</t>
        </is>
      </c>
    </row>
    <row r="3602">
      <c r="A3602" s="5">
        <f>HYPERLINK("https://finance.yahoo.com/quote/FERA","FERA")</f>
        <v/>
      </c>
      <c r="B3602" t="inlineStr">
        <is>
          <t>Fifth Era Acquisition Corp I</t>
        </is>
      </c>
      <c r="C3602" t="inlineStr">
        <is>
          <t>Nasdaq</t>
        </is>
      </c>
      <c r="D3602" t="n">
        <v>2025401</v>
      </c>
      <c r="E3602" t="inlineStr">
        <is>
          <t>SEC</t>
        </is>
      </c>
    </row>
    <row r="3603">
      <c r="A3603" s="5">
        <f>HYPERLINK("https://finance.yahoo.com/quote/RREV","RREV")</f>
        <v/>
      </c>
      <c r="B3603" t="inlineStr">
        <is>
          <t>RRE Ventures Acquisition Corp.</t>
        </is>
      </c>
      <c r="C3603" t="inlineStr">
        <is>
          <t>Nasdaq</t>
        </is>
      </c>
      <c r="D3603" t="n">
        <v>2123969</v>
      </c>
      <c r="E3603" t="inlineStr">
        <is>
          <t>SEC</t>
        </is>
      </c>
    </row>
    <row r="3604">
      <c r="A3604" s="5">
        <f>HYPERLINK("https://finance.yahoo.com/quote/DRDB","DRDB")</f>
        <v/>
      </c>
      <c r="B3604" t="inlineStr">
        <is>
          <t>Roman DBDR Acquisition Corp. II</t>
        </is>
      </c>
      <c r="C3604" t="inlineStr">
        <is>
          <t>Nasdaq</t>
        </is>
      </c>
      <c r="D3604" t="n">
        <v>2032528</v>
      </c>
      <c r="E3604" t="inlineStr">
        <is>
          <t>SEC</t>
        </is>
      </c>
    </row>
    <row r="3605">
      <c r="A3605" s="5">
        <f>HYPERLINK("https://finance.yahoo.com/quote/PCAP","PCAP")</f>
        <v/>
      </c>
      <c r="B3605" t="inlineStr">
        <is>
          <t>ProCap Acquisition Corp</t>
        </is>
      </c>
      <c r="C3605" t="inlineStr">
        <is>
          <t>Nasdaq</t>
        </is>
      </c>
      <c r="D3605" t="n">
        <v>2056634</v>
      </c>
      <c r="E3605" t="inlineStr">
        <is>
          <t>SEC</t>
        </is>
      </c>
    </row>
    <row r="3606">
      <c r="A3606" s="5">
        <f>HYPERLINK("https://finance.yahoo.com/quote/BCML","BCML")</f>
        <v/>
      </c>
      <c r="B3606" t="inlineStr">
        <is>
          <t>BayCom Corp</t>
        </is>
      </c>
      <c r="C3606" t="inlineStr">
        <is>
          <t>Nasdaq</t>
        </is>
      </c>
      <c r="D3606" t="n">
        <v>1730984</v>
      </c>
      <c r="E3606" t="inlineStr">
        <is>
          <t>SEC</t>
        </is>
      </c>
    </row>
    <row r="3607">
      <c r="A3607" s="5">
        <f>HYPERLINK("https://finance.yahoo.com/quote/MEC","MEC")</f>
        <v/>
      </c>
      <c r="B3607" t="inlineStr">
        <is>
          <t>Mayville Engineering Company, Inc.</t>
        </is>
      </c>
      <c r="C3607" t="inlineStr">
        <is>
          <t>NYSE</t>
        </is>
      </c>
      <c r="D3607" t="n">
        <v>1766368</v>
      </c>
      <c r="E3607" t="inlineStr">
        <is>
          <t>SEC</t>
        </is>
      </c>
    </row>
    <row r="3608">
      <c r="A3608" s="5">
        <f>HYPERLINK("https://finance.yahoo.com/quote/NEWT","NEWT")</f>
        <v/>
      </c>
      <c r="B3608" t="inlineStr">
        <is>
          <t>NewtekOne, Inc.</t>
        </is>
      </c>
      <c r="C3608" t="inlineStr">
        <is>
          <t>Nasdaq</t>
        </is>
      </c>
      <c r="D3608" t="n">
        <v>1587987</v>
      </c>
      <c r="E3608" t="inlineStr">
        <is>
          <t>SEC</t>
        </is>
      </c>
    </row>
    <row r="3609">
      <c r="A3609" s="5">
        <f>HYPERLINK("https://finance.yahoo.com/quote/BEAG","BEAG")</f>
        <v/>
      </c>
      <c r="B3609" t="inlineStr">
        <is>
          <t>Bold Eagle Acquisition Corp.</t>
        </is>
      </c>
      <c r="C3609" t="inlineStr">
        <is>
          <t>Nasdaq</t>
        </is>
      </c>
      <c r="D3609" t="n">
        <v>1852207</v>
      </c>
      <c r="E3609" t="inlineStr">
        <is>
          <t>SEC</t>
        </is>
      </c>
    </row>
    <row r="3610">
      <c r="A3610" s="5">
        <f>HYPERLINK("https://finance.yahoo.com/quote/NAN","NAN")</f>
        <v/>
      </c>
      <c r="B3610" t="inlineStr">
        <is>
          <t>NUVEEN NEW YORK QUALITY MUNICIPAL INCOME FUND</t>
        </is>
      </c>
      <c r="C3610" t="inlineStr">
        <is>
          <t>NYSE</t>
        </is>
      </c>
      <c r="D3610" t="n">
        <v>1074769</v>
      </c>
      <c r="E3610" t="inlineStr">
        <is>
          <t>SEC</t>
        </is>
      </c>
    </row>
    <row r="3611">
      <c r="A3611" s="5">
        <f>HYPERLINK("https://finance.yahoo.com/quote/LVWR","LVWR")</f>
        <v/>
      </c>
      <c r="B3611" t="inlineStr">
        <is>
          <t>LiveWire Group, Inc.</t>
        </is>
      </c>
      <c r="C3611" t="inlineStr">
        <is>
          <t>NYSE</t>
        </is>
      </c>
      <c r="D3611" t="n">
        <v>1898795</v>
      </c>
      <c r="E3611" t="inlineStr">
        <is>
          <t>SEC</t>
        </is>
      </c>
    </row>
    <row r="3612">
      <c r="A3612" s="5">
        <f>HYPERLINK("https://finance.yahoo.com/quote/SZZL","SZZL")</f>
        <v/>
      </c>
      <c r="B3612" t="inlineStr">
        <is>
          <t>Sizzle Acquisition Corp. II</t>
        </is>
      </c>
      <c r="C3612" t="inlineStr">
        <is>
          <t>Nasdaq</t>
        </is>
      </c>
      <c r="D3612" t="n">
        <v>2030663</v>
      </c>
      <c r="E3612" t="inlineStr">
        <is>
          <t>SEC</t>
        </is>
      </c>
    </row>
    <row r="3613">
      <c r="A3613" s="5">
        <f>HYPERLINK("https://finance.yahoo.com/quote/ALDF","ALDF")</f>
        <v/>
      </c>
      <c r="B3613" t="inlineStr">
        <is>
          <t>Aldel Financial II Inc.</t>
        </is>
      </c>
      <c r="C3613" t="inlineStr">
        <is>
          <t>Nasdaq</t>
        </is>
      </c>
      <c r="D3613" t="n">
        <v>2031561</v>
      </c>
      <c r="E3613" t="inlineStr">
        <is>
          <t>SEC</t>
        </is>
      </c>
    </row>
    <row r="3614">
      <c r="A3614" s="5">
        <f>HYPERLINK("https://finance.yahoo.com/quote/PACH","PACH")</f>
        <v/>
      </c>
      <c r="B3614" t="inlineStr">
        <is>
          <t>Pioneer Acquisition I Corp</t>
        </is>
      </c>
      <c r="C3614" t="inlineStr">
        <is>
          <t>Nasdaq</t>
        </is>
      </c>
      <c r="D3614" t="n">
        <v>2040381</v>
      </c>
      <c r="E3614" t="inlineStr">
        <is>
          <t>SEC</t>
        </is>
      </c>
    </row>
    <row r="3615">
      <c r="A3615" s="5">
        <f>HYPERLINK("https://finance.yahoo.com/quote/OBA","OBA")</f>
        <v/>
      </c>
      <c r="B3615" t="inlineStr">
        <is>
          <t>Oxley Bridge Acquisition Ltd</t>
        </is>
      </c>
      <c r="C3615" t="inlineStr">
        <is>
          <t>Nasdaq</t>
        </is>
      </c>
      <c r="D3615" t="n">
        <v>2034313</v>
      </c>
      <c r="E3615" t="inlineStr">
        <is>
          <t>SEC</t>
        </is>
      </c>
    </row>
    <row r="3616">
      <c r="A3616" s="5">
        <f>HYPERLINK("https://finance.yahoo.com/quote/URG","URG")</f>
        <v/>
      </c>
      <c r="B3616" t="inlineStr">
        <is>
          <t>UR-ENERGY INC</t>
        </is>
      </c>
      <c r="C3616" t="inlineStr">
        <is>
          <t>NYSE</t>
        </is>
      </c>
      <c r="D3616" t="n">
        <v>1375205</v>
      </c>
      <c r="E3616" t="inlineStr">
        <is>
          <t>SEC</t>
        </is>
      </c>
    </row>
    <row r="3617">
      <c r="A3617" s="5">
        <f>HYPERLINK("https://finance.yahoo.com/quote/BETR","BETR")</f>
        <v/>
      </c>
      <c r="B3617" t="inlineStr">
        <is>
          <t>Better Home &amp; Finance Holding Co</t>
        </is>
      </c>
      <c r="C3617" t="inlineStr">
        <is>
          <t>Nasdaq</t>
        </is>
      </c>
      <c r="D3617" t="n">
        <v>1835856</v>
      </c>
      <c r="E3617" t="inlineStr">
        <is>
          <t>SEC</t>
        </is>
      </c>
    </row>
    <row r="3618">
      <c r="A3618" s="5">
        <f>HYPERLINK("https://finance.yahoo.com/quote/RTAC","RTAC")</f>
        <v/>
      </c>
      <c r="B3618" t="inlineStr">
        <is>
          <t>Renatus Tactical Acquisition Corp I</t>
        </is>
      </c>
      <c r="C3618" t="inlineStr">
        <is>
          <t>Nasdaq</t>
        </is>
      </c>
      <c r="D3618" t="n">
        <v>2035173</v>
      </c>
      <c r="E3618" t="inlineStr">
        <is>
          <t>SEC</t>
        </is>
      </c>
    </row>
    <row r="3619">
      <c r="A3619" s="5">
        <f>HYPERLINK("https://finance.yahoo.com/quote/CRAQ","CRAQ")</f>
        <v/>
      </c>
      <c r="B3619" t="inlineStr">
        <is>
          <t>Cal Redwood Acquisition Corp.</t>
        </is>
      </c>
      <c r="C3619" t="inlineStr">
        <is>
          <t>Nasdaq</t>
        </is>
      </c>
      <c r="D3619" t="n">
        <v>2058359</v>
      </c>
      <c r="E3619" t="inlineStr">
        <is>
          <t>SEC</t>
        </is>
      </c>
    </row>
    <row r="3620">
      <c r="A3620" s="5">
        <f>HYPERLINK("https://finance.yahoo.com/quote/CEPV","CEPV")</f>
        <v/>
      </c>
      <c r="B3620" t="inlineStr">
        <is>
          <t>Cantor Equity Partners V, Inc.</t>
        </is>
      </c>
      <c r="C3620" t="inlineStr">
        <is>
          <t>Nasdaq</t>
        </is>
      </c>
      <c r="D3620" t="n">
        <v>2034266</v>
      </c>
      <c r="E3620" t="inlineStr">
        <is>
          <t>SEC</t>
        </is>
      </c>
    </row>
    <row r="3621">
      <c r="A3621" s="5">
        <f>HYPERLINK("https://finance.yahoo.com/quote/EVOX","EVOX")</f>
        <v/>
      </c>
      <c r="B3621" t="inlineStr">
        <is>
          <t>Evolution Global Acquisition Corp</t>
        </is>
      </c>
      <c r="C3621" t="inlineStr">
        <is>
          <t>Nasdaq</t>
        </is>
      </c>
      <c r="D3621" t="n">
        <v>2077954</v>
      </c>
      <c r="E3621" t="inlineStr">
        <is>
          <t>SEC</t>
        </is>
      </c>
    </row>
    <row r="3622">
      <c r="A3622" s="5">
        <f>HYPERLINK("https://finance.yahoo.com/quote/ECX","ECX")</f>
        <v/>
      </c>
      <c r="B3622" t="inlineStr">
        <is>
          <t>ECARX Holdings Inc.</t>
        </is>
      </c>
      <c r="C3622" t="inlineStr">
        <is>
          <t>Nasdaq</t>
        </is>
      </c>
      <c r="D3622" t="n">
        <v>1861974</v>
      </c>
      <c r="E3622" t="inlineStr">
        <is>
          <t>SEC</t>
        </is>
      </c>
    </row>
    <row r="3623">
      <c r="A3623" s="5">
        <f>HYPERLINK("https://finance.yahoo.com/quote/KOYN","KOYN")</f>
        <v/>
      </c>
      <c r="B3623" t="inlineStr">
        <is>
          <t>CSLM Digital Asset Acquisition Corp III, Ltd</t>
        </is>
      </c>
      <c r="C3623" t="inlineStr">
        <is>
          <t>Nasdaq</t>
        </is>
      </c>
      <c r="D3623" t="n">
        <v>2068454</v>
      </c>
      <c r="E3623" t="inlineStr">
        <is>
          <t>SEC</t>
        </is>
      </c>
    </row>
    <row r="3624">
      <c r="A3624" s="5">
        <f>HYPERLINK("https://finance.yahoo.com/quote/TRX","TRX")</f>
        <v/>
      </c>
      <c r="B3624" t="inlineStr">
        <is>
          <t>TRX GOLD Corp</t>
        </is>
      </c>
      <c r="C3624" t="inlineStr">
        <is>
          <t>NYSE</t>
        </is>
      </c>
      <c r="D3624" t="n">
        <v>1173643</v>
      </c>
      <c r="E3624" t="inlineStr">
        <is>
          <t>SEC</t>
        </is>
      </c>
    </row>
    <row r="3625">
      <c r="A3625" s="5">
        <f>HYPERLINK("https://finance.yahoo.com/quote/DBI","DBI")</f>
        <v/>
      </c>
      <c r="B3625" t="inlineStr">
        <is>
          <t>Designer Brands Inc.</t>
        </is>
      </c>
      <c r="C3625" t="inlineStr">
        <is>
          <t>NYSE</t>
        </is>
      </c>
      <c r="D3625" t="n">
        <v>1319947</v>
      </c>
      <c r="E3625" t="inlineStr">
        <is>
          <t>SEC</t>
        </is>
      </c>
    </row>
    <row r="3626">
      <c r="A3626" s="5">
        <f>HYPERLINK("https://finance.yahoo.com/quote/NXG","NXG")</f>
        <v/>
      </c>
      <c r="B3626" t="inlineStr">
        <is>
          <t>NXG NextGen Infrastructure Income Fund</t>
        </is>
      </c>
      <c r="C3626" t="inlineStr">
        <is>
          <t>NYSE</t>
        </is>
      </c>
      <c r="D3626" t="n">
        <v>1506488</v>
      </c>
      <c r="E3626" t="inlineStr">
        <is>
          <t>SEC</t>
        </is>
      </c>
    </row>
    <row r="3627">
      <c r="A3627" s="5">
        <f>HYPERLINK("https://finance.yahoo.com/quote/AFRI","AFRI")</f>
        <v/>
      </c>
      <c r="B3627" t="inlineStr">
        <is>
          <t>Forafric Global PLC</t>
        </is>
      </c>
      <c r="C3627" t="inlineStr">
        <is>
          <t>Nasdaq</t>
        </is>
      </c>
      <c r="D3627" t="n">
        <v>1903870</v>
      </c>
      <c r="E3627" t="inlineStr">
        <is>
          <t>SEC</t>
        </is>
      </c>
    </row>
    <row r="3628">
      <c r="A3628" s="5">
        <f>HYPERLINK("https://finance.yahoo.com/quote/FTW","FTW")</f>
        <v/>
      </c>
      <c r="B3628" t="inlineStr">
        <is>
          <t>PRESIDIO PRODUCTION Co</t>
        </is>
      </c>
      <c r="C3628" t="inlineStr">
        <is>
          <t>NYSE</t>
        </is>
      </c>
      <c r="D3628" t="n">
        <v>2083125</v>
      </c>
      <c r="E3628" t="inlineStr">
        <is>
          <t>SEC</t>
        </is>
      </c>
    </row>
    <row r="3629">
      <c r="A3629" s="5">
        <f>HYPERLINK("https://finance.yahoo.com/quote/PMTR","PMTR")</f>
        <v/>
      </c>
      <c r="B3629" t="inlineStr">
        <is>
          <t>Perimeter Acquisition Corp. I</t>
        </is>
      </c>
      <c r="C3629" t="inlineStr">
        <is>
          <t>Nasdaq</t>
        </is>
      </c>
      <c r="D3629" t="n">
        <v>2061473</v>
      </c>
      <c r="E3629" t="inlineStr">
        <is>
          <t>SEC</t>
        </is>
      </c>
    </row>
    <row r="3630">
      <c r="A3630" s="5">
        <f>HYPERLINK("https://finance.yahoo.com/quote/TJGC","TJGC")</f>
        <v/>
      </c>
      <c r="B3630" t="inlineStr">
        <is>
          <t>TJGC GROUP Ltd</t>
        </is>
      </c>
      <c r="C3630" t="inlineStr">
        <is>
          <t>Nasdaq</t>
        </is>
      </c>
      <c r="D3630" t="n">
        <v>1969928</v>
      </c>
      <c r="E3630" t="inlineStr">
        <is>
          <t>SEC</t>
        </is>
      </c>
    </row>
    <row r="3631">
      <c r="A3631" s="5">
        <f>HYPERLINK("https://finance.yahoo.com/quote/CLNE","CLNE")</f>
        <v/>
      </c>
      <c r="B3631" t="inlineStr">
        <is>
          <t>Clean Energy Fuels Corp.</t>
        </is>
      </c>
      <c r="C3631" t="inlineStr">
        <is>
          <t>Nasdaq</t>
        </is>
      </c>
      <c r="D3631" t="n">
        <v>1368265</v>
      </c>
      <c r="E3631" t="inlineStr">
        <is>
          <t>SEC</t>
        </is>
      </c>
    </row>
    <row r="3632">
      <c r="A3632" s="5">
        <f>HYPERLINK("https://finance.yahoo.com/quote/GALT","GALT")</f>
        <v/>
      </c>
      <c r="B3632" t="inlineStr">
        <is>
          <t>GALECTIN THERAPEUTICS INC</t>
        </is>
      </c>
      <c r="C3632" t="inlineStr">
        <is>
          <t>Nasdaq</t>
        </is>
      </c>
      <c r="D3632" t="n">
        <v>1133416</v>
      </c>
      <c r="E3632" t="inlineStr">
        <is>
          <t>SEC</t>
        </is>
      </c>
    </row>
    <row r="3633">
      <c r="A3633" s="5">
        <f>HYPERLINK("https://finance.yahoo.com/quote/ZTR","ZTR")</f>
        <v/>
      </c>
      <c r="B3633" t="inlineStr">
        <is>
          <t>Virtus Total Return Fund Inc.</t>
        </is>
      </c>
      <c r="C3633" t="inlineStr">
        <is>
          <t>NYSE</t>
        </is>
      </c>
      <c r="D3633" t="n">
        <v>836412</v>
      </c>
      <c r="E3633" t="inlineStr">
        <is>
          <t>SEC</t>
        </is>
      </c>
    </row>
    <row r="3634">
      <c r="A3634" s="5">
        <f>HYPERLINK("https://finance.yahoo.com/quote/LAW","LAW")</f>
        <v/>
      </c>
      <c r="B3634" t="inlineStr">
        <is>
          <t>CS Disco, Inc.</t>
        </is>
      </c>
      <c r="C3634" t="inlineStr">
        <is>
          <t>NYSE</t>
        </is>
      </c>
      <c r="D3634" t="n">
        <v>1625641</v>
      </c>
      <c r="E3634" t="inlineStr">
        <is>
          <t>SEC</t>
        </is>
      </c>
    </row>
    <row r="3635">
      <c r="A3635" s="5">
        <f>HYPERLINK("https://finance.yahoo.com/quote/AVIR","AVIR")</f>
        <v/>
      </c>
      <c r="B3635" t="inlineStr">
        <is>
          <t>Atea Pharmaceuticals, Inc.</t>
        </is>
      </c>
      <c r="C3635" t="inlineStr">
        <is>
          <t>Nasdaq</t>
        </is>
      </c>
      <c r="D3635" t="n">
        <v>1593899</v>
      </c>
      <c r="E3635" t="inlineStr">
        <is>
          <t>SEC</t>
        </is>
      </c>
    </row>
    <row r="3636">
      <c r="A3636" s="5">
        <f>HYPERLINK("https://finance.yahoo.com/quote/CCFN","CCFN")</f>
        <v/>
      </c>
      <c r="B3636" t="inlineStr">
        <is>
          <t>MUNCY COLUMBIA FINANCIAL Corp</t>
        </is>
      </c>
      <c r="C3636" t="inlineStr">
        <is>
          <t>OTC</t>
        </is>
      </c>
      <c r="D3636" t="n">
        <v>731122</v>
      </c>
      <c r="E3636" t="inlineStr">
        <is>
          <t>SEC</t>
        </is>
      </c>
    </row>
    <row r="3637">
      <c r="A3637" s="5">
        <f>HYPERLINK("https://finance.yahoo.com/quote/EVGO","EVGO")</f>
        <v/>
      </c>
      <c r="B3637" t="inlineStr">
        <is>
          <t>EVgo Inc.</t>
        </is>
      </c>
      <c r="C3637" t="inlineStr">
        <is>
          <t>Nasdaq</t>
        </is>
      </c>
      <c r="D3637" t="n">
        <v>1821159</v>
      </c>
      <c r="E3637" t="inlineStr">
        <is>
          <t>SEC</t>
        </is>
      </c>
    </row>
    <row r="3638">
      <c r="A3638" s="5">
        <f>HYPERLINK("https://finance.yahoo.com/quote/JACS","JACS")</f>
        <v/>
      </c>
      <c r="B3638" t="inlineStr">
        <is>
          <t>Jackson Acquisition Co II</t>
        </is>
      </c>
      <c r="C3638" t="inlineStr">
        <is>
          <t>NYSE</t>
        </is>
      </c>
      <c r="D3638" t="n">
        <v>2039058</v>
      </c>
      <c r="E3638" t="inlineStr">
        <is>
          <t>SEC</t>
        </is>
      </c>
    </row>
    <row r="3639">
      <c r="A3639" s="5">
        <f>HYPERLINK("https://finance.yahoo.com/quote/PUSA","PUSA")</f>
        <v/>
      </c>
      <c r="B3639" t="inlineStr">
        <is>
          <t>Powerus Corp</t>
        </is>
      </c>
      <c r="C3639" t="inlineStr">
        <is>
          <t>Nasdaq</t>
        </is>
      </c>
      <c r="D3639" t="n">
        <v>2009312</v>
      </c>
      <c r="E3639" t="inlineStr">
        <is>
          <t>SEC</t>
        </is>
      </c>
    </row>
    <row r="3640">
      <c r="A3640" s="5">
        <f>HYPERLINK("https://finance.yahoo.com/quote/LOT","LOT")</f>
        <v/>
      </c>
      <c r="B3640" t="inlineStr">
        <is>
          <t>Lotus Technology Inc.</t>
        </is>
      </c>
      <c r="C3640" t="inlineStr">
        <is>
          <t>Nasdaq</t>
        </is>
      </c>
      <c r="D3640" t="n">
        <v>1962746</v>
      </c>
      <c r="E3640" t="inlineStr">
        <is>
          <t>SEC</t>
        </is>
      </c>
    </row>
    <row r="3641">
      <c r="A3641" s="5">
        <f>HYPERLINK("https://finance.yahoo.com/quote/IACQ","IACQ")</f>
        <v/>
      </c>
      <c r="B3641" t="inlineStr">
        <is>
          <t>Irenic Acquisition Corp.</t>
        </is>
      </c>
      <c r="C3641" t="inlineStr">
        <is>
          <t>Nasdaq</t>
        </is>
      </c>
      <c r="D3641" t="n">
        <v>2122505</v>
      </c>
      <c r="E3641" t="inlineStr">
        <is>
          <t>SEC</t>
        </is>
      </c>
    </row>
    <row r="3642">
      <c r="A3642" s="5">
        <f>HYPERLINK("https://finance.yahoo.com/quote/ZURA","ZURA")</f>
        <v/>
      </c>
      <c r="B3642" t="inlineStr">
        <is>
          <t>Zura Bio Ltd</t>
        </is>
      </c>
      <c r="C3642" t="inlineStr">
        <is>
          <t>Nasdaq</t>
        </is>
      </c>
      <c r="D3642" t="n">
        <v>1855644</v>
      </c>
      <c r="E3642" t="inlineStr">
        <is>
          <t>SEC</t>
        </is>
      </c>
    </row>
    <row r="3643">
      <c r="A3643" s="5">
        <f>HYPERLINK("https://finance.yahoo.com/quote/KTF","KTF")</f>
        <v/>
      </c>
      <c r="B3643" t="inlineStr">
        <is>
          <t>DWS MUNICIPAL INCOME TRUST</t>
        </is>
      </c>
      <c r="C3643" t="inlineStr">
        <is>
          <t>NYSE</t>
        </is>
      </c>
      <c r="D3643" t="n">
        <v>839533</v>
      </c>
      <c r="E3643" t="inlineStr">
        <is>
          <t>SEC</t>
        </is>
      </c>
    </row>
    <row r="3644">
      <c r="A3644" s="5">
        <f>HYPERLINK("https://finance.yahoo.com/quote/CION","CION")</f>
        <v/>
      </c>
      <c r="B3644" t="inlineStr">
        <is>
          <t>CION Investment Corp</t>
        </is>
      </c>
      <c r="C3644" t="inlineStr">
        <is>
          <t>NYSE</t>
        </is>
      </c>
      <c r="D3644" t="n">
        <v>1534254</v>
      </c>
      <c r="E3644" t="inlineStr">
        <is>
          <t>SEC</t>
        </is>
      </c>
    </row>
    <row r="3645">
      <c r="A3645" s="5">
        <f>HYPERLINK("https://finance.yahoo.com/quote/TVA","TVA")</f>
        <v/>
      </c>
      <c r="B3645" t="inlineStr">
        <is>
          <t>Texas Ventures Acquisition III Corp</t>
        </is>
      </c>
      <c r="C3645" t="inlineStr">
        <is>
          <t>Nasdaq</t>
        </is>
      </c>
      <c r="D3645" t="n">
        <v>2033991</v>
      </c>
      <c r="E3645" t="inlineStr">
        <is>
          <t>SEC</t>
        </is>
      </c>
    </row>
    <row r="3646">
      <c r="A3646" s="5">
        <f>HYPERLINK("https://finance.yahoo.com/quote/CAES","CAES")</f>
        <v/>
      </c>
      <c r="B3646" t="inlineStr">
        <is>
          <t>Cantor Equity Partners VII, Inc.</t>
        </is>
      </c>
      <c r="C3646" t="inlineStr">
        <is>
          <t>Nasdaq</t>
        </is>
      </c>
      <c r="D3646" t="n">
        <v>2087965</v>
      </c>
      <c r="E3646" t="inlineStr">
        <is>
          <t>SEC</t>
        </is>
      </c>
    </row>
    <row r="3647">
      <c r="A3647" s="5">
        <f>HYPERLINK("https://finance.yahoo.com/quote/XFOR","XFOR")</f>
        <v/>
      </c>
      <c r="B3647" t="inlineStr">
        <is>
          <t>X4 Pharmaceuticals, Inc</t>
        </is>
      </c>
      <c r="C3647" t="inlineStr">
        <is>
          <t>Nasdaq</t>
        </is>
      </c>
      <c r="D3647" t="n">
        <v>1501697</v>
      </c>
      <c r="E3647" t="inlineStr">
        <is>
          <t>SEC</t>
        </is>
      </c>
    </row>
    <row r="3648">
      <c r="A3648" s="5">
        <f>HYPERLINK("https://finance.yahoo.com/quote/CCAP","CCAP")</f>
        <v/>
      </c>
      <c r="B3648" t="inlineStr">
        <is>
          <t>Crescent Capital BDC, Inc.</t>
        </is>
      </c>
      <c r="C3648" t="inlineStr">
        <is>
          <t>Nasdaq</t>
        </is>
      </c>
      <c r="D3648" t="n">
        <v>1633336</v>
      </c>
      <c r="E3648" t="inlineStr">
        <is>
          <t>SEC</t>
        </is>
      </c>
    </row>
    <row r="3649">
      <c r="A3649" s="5">
        <f>HYPERLINK("https://finance.yahoo.com/quote/RNGT","RNGT")</f>
        <v/>
      </c>
      <c r="B3649" t="inlineStr">
        <is>
          <t>Range Capital Acquisition Corp II</t>
        </is>
      </c>
      <c r="C3649" t="inlineStr">
        <is>
          <t>Nasdaq</t>
        </is>
      </c>
      <c r="D3649" t="n">
        <v>2078653</v>
      </c>
      <c r="E3649" t="inlineStr">
        <is>
          <t>SEC</t>
        </is>
      </c>
    </row>
    <row r="3650">
      <c r="A3650" s="5">
        <f>HYPERLINK("https://finance.yahoo.com/quote/BUKS","BUKS")</f>
        <v/>
      </c>
      <c r="B3650" t="inlineStr">
        <is>
          <t>BUTLER NATIONAL CORP</t>
        </is>
      </c>
      <c r="C3650" t="inlineStr">
        <is>
          <t>OTC</t>
        </is>
      </c>
      <c r="D3650" t="n">
        <v>15847</v>
      </c>
      <c r="E3650" t="inlineStr">
        <is>
          <t>SEC</t>
        </is>
      </c>
    </row>
    <row r="3651">
      <c r="A3651" s="5">
        <f>HYPERLINK("https://finance.yahoo.com/quote/EBS","EBS")</f>
        <v/>
      </c>
      <c r="B3651" t="inlineStr">
        <is>
          <t>Emergent BioSolutions Inc.</t>
        </is>
      </c>
      <c r="C3651" t="inlineStr">
        <is>
          <t>NYSE</t>
        </is>
      </c>
      <c r="D3651" t="n">
        <v>1367644</v>
      </c>
      <c r="E3651" t="inlineStr">
        <is>
          <t>SEC</t>
        </is>
      </c>
    </row>
    <row r="3652">
      <c r="A3652" s="5">
        <f>HYPERLINK("https://finance.yahoo.com/quote/SNDL","SNDL")</f>
        <v/>
      </c>
      <c r="B3652" t="inlineStr">
        <is>
          <t>SNDL Inc.</t>
        </is>
      </c>
      <c r="C3652" t="inlineStr">
        <is>
          <t>Nasdaq</t>
        </is>
      </c>
      <c r="D3652" t="n">
        <v>1766600</v>
      </c>
      <c r="E3652" t="inlineStr">
        <is>
          <t>SEC</t>
        </is>
      </c>
    </row>
    <row r="3653">
      <c r="A3653" s="5">
        <f>HYPERLINK("https://finance.yahoo.com/quote/VFF","VFF")</f>
        <v/>
      </c>
      <c r="B3653" t="inlineStr">
        <is>
          <t>Village Farms International, Inc.</t>
        </is>
      </c>
      <c r="C3653" t="inlineStr">
        <is>
          <t>Nasdaq</t>
        </is>
      </c>
      <c r="D3653" t="n">
        <v>1584549</v>
      </c>
      <c r="E3653" t="inlineStr">
        <is>
          <t>SEC</t>
        </is>
      </c>
    </row>
    <row r="3654">
      <c r="A3654" s="5">
        <f>HYPERLINK("https://finance.yahoo.com/quote/JGH","JGH")</f>
        <v/>
      </c>
      <c r="B3654" t="inlineStr">
        <is>
          <t>Nuveen Global High Income Fund</t>
        </is>
      </c>
      <c r="C3654" t="inlineStr">
        <is>
          <t>NYSE</t>
        </is>
      </c>
      <c r="D3654" t="n">
        <v>1615905</v>
      </c>
      <c r="E3654" t="inlineStr">
        <is>
          <t>SEC</t>
        </is>
      </c>
    </row>
    <row r="3655">
      <c r="A3655" s="5">
        <f>HYPERLINK("https://finance.yahoo.com/quote/SAC","SAC")</f>
        <v/>
      </c>
      <c r="B3655" t="inlineStr">
        <is>
          <t>Safeguard Acquisition Corp.</t>
        </is>
      </c>
      <c r="C3655" t="inlineStr">
        <is>
          <t>NYSE</t>
        </is>
      </c>
      <c r="D3655" t="n">
        <v>2082844</v>
      </c>
      <c r="E3655" t="inlineStr">
        <is>
          <t>SEC</t>
        </is>
      </c>
    </row>
    <row r="3656">
      <c r="A3656" s="5">
        <f>HYPERLINK("https://finance.yahoo.com/quote/IPXG","IPXG")</f>
        <v/>
      </c>
      <c r="B3656" t="inlineStr">
        <is>
          <t>Inflection Point Acquisition Corp. VII</t>
        </is>
      </c>
      <c r="C3656" t="inlineStr">
        <is>
          <t>Nasdaq</t>
        </is>
      </c>
      <c r="D3656" t="n">
        <v>2088805</v>
      </c>
      <c r="E3656" t="inlineStr">
        <is>
          <t>SEC</t>
        </is>
      </c>
    </row>
    <row r="3657">
      <c r="A3657" s="5">
        <f>HYPERLINK("https://finance.yahoo.com/quote/EMF","EMF")</f>
        <v/>
      </c>
      <c r="B3657" t="inlineStr">
        <is>
          <t>TEMPLETON EMERGING MARKETS FUND</t>
        </is>
      </c>
      <c r="C3657" t="inlineStr">
        <is>
          <t>NYSE</t>
        </is>
      </c>
      <c r="D3657" t="n">
        <v>809708</v>
      </c>
      <c r="E3657" t="inlineStr">
        <is>
          <t>SEC</t>
        </is>
      </c>
    </row>
    <row r="3658">
      <c r="A3658" s="5">
        <f>HYPERLINK("https://finance.yahoo.com/quote/AEAQ","AEAQ")</f>
        <v/>
      </c>
      <c r="B3658" t="inlineStr">
        <is>
          <t>Activate Energy Acquisition Corp.</t>
        </is>
      </c>
      <c r="C3658" t="inlineStr">
        <is>
          <t>Nasdaq</t>
        </is>
      </c>
      <c r="D3658" t="n">
        <v>2083689</v>
      </c>
      <c r="E3658" t="inlineStr">
        <is>
          <t>SEC</t>
        </is>
      </c>
    </row>
    <row r="3659">
      <c r="A3659" s="5">
        <f>HYPERLINK("https://finance.yahoo.com/quote/PINE","PINE")</f>
        <v/>
      </c>
      <c r="B3659" t="inlineStr">
        <is>
          <t>Alpine Income Property Trust, Inc.</t>
        </is>
      </c>
      <c r="C3659" t="inlineStr">
        <is>
          <t>NYSE</t>
        </is>
      </c>
      <c r="D3659" t="n">
        <v>1786117</v>
      </c>
      <c r="E3659" t="inlineStr">
        <is>
          <t>SEC</t>
        </is>
      </c>
    </row>
    <row r="3660">
      <c r="A3660" s="5">
        <f>HYPERLINK("https://finance.yahoo.com/quote/DSX","DSX")</f>
        <v/>
      </c>
      <c r="B3660" t="inlineStr">
        <is>
          <t>DIANA SHIPPING INC.</t>
        </is>
      </c>
      <c r="C3660" t="inlineStr">
        <is>
          <t>NYSE</t>
        </is>
      </c>
      <c r="D3660" t="n">
        <v>1318885</v>
      </c>
      <c r="E3660" t="inlineStr">
        <is>
          <t>SEC</t>
        </is>
      </c>
    </row>
    <row r="3661">
      <c r="A3661" s="5">
        <f>HYPERLINK("https://finance.yahoo.com/quote/SAAQ","SAAQ")</f>
        <v/>
      </c>
      <c r="B3661" t="inlineStr">
        <is>
          <t>Space Asset Acquisition Corp.</t>
        </is>
      </c>
      <c r="C3661" t="inlineStr">
        <is>
          <t>Nasdaq</t>
        </is>
      </c>
      <c r="D3661" t="n">
        <v>2091222</v>
      </c>
      <c r="E3661" t="inlineStr">
        <is>
          <t>SEC</t>
        </is>
      </c>
    </row>
    <row r="3662">
      <c r="A3662" s="5">
        <f>HYPERLINK("https://finance.yahoo.com/quote/PACK","PACK")</f>
        <v/>
      </c>
      <c r="B3662" t="inlineStr">
        <is>
          <t>Ranpak Holdings Corp.</t>
        </is>
      </c>
      <c r="C3662" t="inlineStr">
        <is>
          <t>NYSE</t>
        </is>
      </c>
      <c r="D3662" t="n">
        <v>1712463</v>
      </c>
      <c r="E3662" t="inlineStr">
        <is>
          <t>SEC</t>
        </is>
      </c>
    </row>
    <row r="3663">
      <c r="A3663" s="5">
        <f>HYPERLINK("https://finance.yahoo.com/quote/BTBT","BTBT")</f>
        <v/>
      </c>
      <c r="B3663" t="inlineStr">
        <is>
          <t>Bit Digital, Inc</t>
        </is>
      </c>
      <c r="C3663" t="inlineStr">
        <is>
          <t>Nasdaq</t>
        </is>
      </c>
      <c r="D3663" t="n">
        <v>1710350</v>
      </c>
      <c r="E3663" t="inlineStr">
        <is>
          <t>SEC</t>
        </is>
      </c>
    </row>
    <row r="3664">
      <c r="A3664" s="5">
        <f>HYPERLINK("https://finance.yahoo.com/quote/TTRX","TTRX")</f>
        <v/>
      </c>
      <c r="B3664" t="inlineStr">
        <is>
          <t>Turn Therapeutics Inc.</t>
        </is>
      </c>
      <c r="C3664" t="inlineStr">
        <is>
          <t>Nasdaq</t>
        </is>
      </c>
      <c r="D3664" t="n">
        <v>2023016</v>
      </c>
      <c r="E3664" t="inlineStr">
        <is>
          <t>SEC</t>
        </is>
      </c>
    </row>
    <row r="3665">
      <c r="A3665" s="5">
        <f>HYPERLINK("https://finance.yahoo.com/quote/ASG","ASG")</f>
        <v/>
      </c>
      <c r="B3665" t="inlineStr">
        <is>
          <t>LIBERTY ALL STAR GROWTH FUND INC.</t>
        </is>
      </c>
      <c r="C3665" t="inlineStr">
        <is>
          <t>NYSE</t>
        </is>
      </c>
      <c r="D3665" t="n">
        <v>786035</v>
      </c>
      <c r="E3665" t="inlineStr">
        <is>
          <t>SEC</t>
        </is>
      </c>
    </row>
    <row r="3666">
      <c r="A3666" s="5">
        <f>HYPERLINK("https://finance.yahoo.com/quote/PMTS","PMTS")</f>
        <v/>
      </c>
      <c r="B3666" t="inlineStr">
        <is>
          <t>CPI Card Group Inc.</t>
        </is>
      </c>
      <c r="C3666" t="inlineStr">
        <is>
          <t>Nasdaq</t>
        </is>
      </c>
      <c r="D3666" t="n">
        <v>1641614</v>
      </c>
      <c r="E3666" t="inlineStr">
        <is>
          <t>SEC</t>
        </is>
      </c>
    </row>
    <row r="3667">
      <c r="A3667" s="5">
        <f>HYPERLINK("https://finance.yahoo.com/quote/HYAC","HYAC")</f>
        <v/>
      </c>
      <c r="B3667" t="inlineStr">
        <is>
          <t>Haymaker Acquisition Corp V</t>
        </is>
      </c>
      <c r="C3667" t="inlineStr"/>
      <c r="D3667" t="n">
        <v>2111838</v>
      </c>
      <c r="E3667" t="inlineStr">
        <is>
          <t>SEC</t>
        </is>
      </c>
    </row>
    <row r="3668">
      <c r="A3668" s="5">
        <f>HYPERLINK("https://finance.yahoo.com/quote/AACO","AACO")</f>
        <v/>
      </c>
      <c r="B3668" t="inlineStr">
        <is>
          <t>Abony Acquisition Corp. I</t>
        </is>
      </c>
      <c r="C3668" t="inlineStr">
        <is>
          <t>Nasdaq</t>
        </is>
      </c>
      <c r="D3668" t="n">
        <v>2099906</v>
      </c>
      <c r="E3668" t="inlineStr">
        <is>
          <t>SEC</t>
        </is>
      </c>
    </row>
    <row r="3669">
      <c r="A3669" s="5">
        <f>HYPERLINK("https://finance.yahoo.com/quote/BKT","BKT")</f>
        <v/>
      </c>
      <c r="B3669" t="inlineStr">
        <is>
          <t>BLACKROCK INCOME TRUST, INC.</t>
        </is>
      </c>
      <c r="C3669" t="inlineStr">
        <is>
          <t>NYSE</t>
        </is>
      </c>
      <c r="D3669" t="n">
        <v>832327</v>
      </c>
      <c r="E3669" t="inlineStr">
        <is>
          <t>SEC</t>
        </is>
      </c>
    </row>
    <row r="3670">
      <c r="A3670" s="5">
        <f>HYPERLINK("https://finance.yahoo.com/quote/CAQ","CAQ")</f>
        <v/>
      </c>
      <c r="B3670" t="inlineStr">
        <is>
          <t>Cambridge Acquisition Corp.</t>
        </is>
      </c>
      <c r="C3670" t="inlineStr">
        <is>
          <t>Nasdaq</t>
        </is>
      </c>
      <c r="D3670" t="n">
        <v>2100125</v>
      </c>
      <c r="E3670" t="inlineStr">
        <is>
          <t>SEC</t>
        </is>
      </c>
    </row>
    <row r="3671">
      <c r="A3671" s="5">
        <f>HYPERLINK("https://finance.yahoo.com/quote/NNBR","NNBR")</f>
        <v/>
      </c>
      <c r="B3671" t="inlineStr">
        <is>
          <t>NN INC</t>
        </is>
      </c>
      <c r="C3671" t="inlineStr">
        <is>
          <t>Nasdaq</t>
        </is>
      </c>
      <c r="D3671" t="n">
        <v>918541</v>
      </c>
      <c r="E3671" t="inlineStr">
        <is>
          <t>SEC</t>
        </is>
      </c>
    </row>
    <row r="3672">
      <c r="A3672" s="5">
        <f>HYPERLINK("https://finance.yahoo.com/quote/BORAY","BORAY")</f>
        <v/>
      </c>
      <c r="B3672" t="inlineStr">
        <is>
          <t>Bora Pharmaceuticals Co., Ltd./ADR</t>
        </is>
      </c>
      <c r="C3672" t="inlineStr">
        <is>
          <t>OTC</t>
        </is>
      </c>
      <c r="D3672" t="n">
        <v>2097461</v>
      </c>
      <c r="E3672" t="inlineStr">
        <is>
          <t>SEC</t>
        </is>
      </c>
    </row>
    <row r="3673">
      <c r="A3673" s="5">
        <f>HYPERLINK("https://finance.yahoo.com/quote/LEGO","LEGO")</f>
        <v/>
      </c>
      <c r="B3673" t="inlineStr">
        <is>
          <t>Legato Merger Corp. IV</t>
        </is>
      </c>
      <c r="C3673" t="inlineStr">
        <is>
          <t>NYSE</t>
        </is>
      </c>
      <c r="D3673" t="n">
        <v>2087450</v>
      </c>
      <c r="E3673" t="inlineStr">
        <is>
          <t>SEC</t>
        </is>
      </c>
    </row>
    <row r="3674">
      <c r="A3674" s="5">
        <f>HYPERLINK("https://finance.yahoo.com/quote/NMG","NMG")</f>
        <v/>
      </c>
      <c r="B3674" t="inlineStr">
        <is>
          <t>Nouveau Monde Graphite Inc.</t>
        </is>
      </c>
      <c r="C3674" t="inlineStr">
        <is>
          <t>NYSE</t>
        </is>
      </c>
      <c r="D3674" t="n">
        <v>1649752</v>
      </c>
      <c r="E3674" t="inlineStr">
        <is>
          <t>SEC</t>
        </is>
      </c>
    </row>
    <row r="3675">
      <c r="A3675" s="5">
        <f>HYPERLINK("https://finance.yahoo.com/quote/ILLU","ILLU")</f>
        <v/>
      </c>
      <c r="B3675" t="inlineStr">
        <is>
          <t>Illumination Acquisition Corp. I</t>
        </is>
      </c>
      <c r="C3675" t="inlineStr">
        <is>
          <t>Nasdaq</t>
        </is>
      </c>
      <c r="D3675" t="n">
        <v>2101135</v>
      </c>
      <c r="E3675" t="inlineStr">
        <is>
          <t>SEC</t>
        </is>
      </c>
    </row>
    <row r="3676">
      <c r="A3676" s="5">
        <f>HYPERLINK("https://finance.yahoo.com/quote/LWAC","LWAC")</f>
        <v/>
      </c>
      <c r="B3676" t="inlineStr">
        <is>
          <t>LightWave Acquisition Corp.</t>
        </is>
      </c>
      <c r="C3676" t="inlineStr">
        <is>
          <t>Nasdaq</t>
        </is>
      </c>
      <c r="D3676" t="n">
        <v>2061379</v>
      </c>
      <c r="E3676" t="inlineStr">
        <is>
          <t>SEC</t>
        </is>
      </c>
    </row>
    <row r="3677">
      <c r="A3677" s="5">
        <f>HYPERLINK("https://finance.yahoo.com/quote/RAC","RAC")</f>
        <v/>
      </c>
      <c r="B3677" t="inlineStr">
        <is>
          <t>Rithm Acquisition Corp.</t>
        </is>
      </c>
      <c r="C3677" t="inlineStr">
        <is>
          <t>NYSE</t>
        </is>
      </c>
      <c r="D3677" t="n">
        <v>2047497</v>
      </c>
      <c r="E3677" t="inlineStr">
        <is>
          <t>SEC</t>
        </is>
      </c>
    </row>
    <row r="3678">
      <c r="A3678" s="5">
        <f>HYPERLINK("https://finance.yahoo.com/quote/IDR","IDR")</f>
        <v/>
      </c>
      <c r="B3678" t="inlineStr">
        <is>
          <t>Idaho Strategic Resources, Inc.</t>
        </is>
      </c>
      <c r="C3678" t="inlineStr">
        <is>
          <t>NYSE</t>
        </is>
      </c>
      <c r="D3678" t="n">
        <v>1030192</v>
      </c>
      <c r="E3678" t="inlineStr">
        <is>
          <t>SEC</t>
        </is>
      </c>
    </row>
    <row r="3679">
      <c r="A3679" s="5">
        <f>HYPERLINK("https://finance.yahoo.com/quote/HTT","HTT")</f>
        <v/>
      </c>
      <c r="B3679" t="inlineStr">
        <is>
          <t>High Templar Tech Ltd</t>
        </is>
      </c>
      <c r="C3679" t="inlineStr">
        <is>
          <t>NYSE</t>
        </is>
      </c>
      <c r="D3679" t="n">
        <v>1692705</v>
      </c>
      <c r="E3679" t="inlineStr">
        <is>
          <t>SEC</t>
        </is>
      </c>
    </row>
    <row r="3680">
      <c r="A3680" s="5">
        <f>HYPERLINK("https://finance.yahoo.com/quote/CLW","CLW")</f>
        <v/>
      </c>
      <c r="B3680" t="inlineStr">
        <is>
          <t>Clearwater Paper Corp</t>
        </is>
      </c>
      <c r="C3680" t="inlineStr">
        <is>
          <t>NYSE</t>
        </is>
      </c>
      <c r="D3680" t="n">
        <v>1441236</v>
      </c>
      <c r="E3680" t="inlineStr">
        <is>
          <t>SEC</t>
        </is>
      </c>
    </row>
    <row r="3681">
      <c r="A3681" s="5">
        <f>HYPERLINK("https://finance.yahoo.com/quote/CTNM","CTNM")</f>
        <v/>
      </c>
      <c r="B3681" t="inlineStr">
        <is>
          <t>Contineum Therapeutics, Inc.</t>
        </is>
      </c>
      <c r="C3681" t="inlineStr">
        <is>
          <t>Nasdaq</t>
        </is>
      </c>
      <c r="D3681" t="n">
        <v>1855175</v>
      </c>
      <c r="E3681" t="inlineStr">
        <is>
          <t>SEC</t>
        </is>
      </c>
    </row>
    <row r="3682">
      <c r="A3682" s="5">
        <f>HYPERLINK("https://finance.yahoo.com/quote/LPBB","LPBB")</f>
        <v/>
      </c>
      <c r="B3682" t="inlineStr">
        <is>
          <t>Launch Two Acquisition Corp.</t>
        </is>
      </c>
      <c r="C3682" t="inlineStr">
        <is>
          <t>Nasdaq</t>
        </is>
      </c>
      <c r="D3682" t="n">
        <v>2023676</v>
      </c>
      <c r="E3682" t="inlineStr">
        <is>
          <t>SEC</t>
        </is>
      </c>
    </row>
    <row r="3683">
      <c r="A3683" s="5">
        <f>HYPERLINK("https://finance.yahoo.com/quote/MRAM","MRAM")</f>
        <v/>
      </c>
      <c r="B3683" t="inlineStr">
        <is>
          <t>EVERSPIN TECHNOLOGIES INC.</t>
        </is>
      </c>
      <c r="C3683" t="inlineStr">
        <is>
          <t>Nasdaq</t>
        </is>
      </c>
      <c r="D3683" t="n">
        <v>1438423</v>
      </c>
      <c r="E3683" t="inlineStr">
        <is>
          <t>SEC</t>
        </is>
      </c>
    </row>
    <row r="3684">
      <c r="A3684" s="5">
        <f>HYPERLINK("https://finance.yahoo.com/quote/GASS","GASS")</f>
        <v/>
      </c>
      <c r="B3684" t="inlineStr">
        <is>
          <t>StealthGas Inc.</t>
        </is>
      </c>
      <c r="C3684" t="inlineStr">
        <is>
          <t>Nasdaq</t>
        </is>
      </c>
      <c r="D3684" t="n">
        <v>1328919</v>
      </c>
      <c r="E3684" t="inlineStr">
        <is>
          <t>SEC</t>
        </is>
      </c>
    </row>
    <row r="3685">
      <c r="A3685" s="5">
        <f>HYPERLINK("https://finance.yahoo.com/quote/AWP","AWP")</f>
        <v/>
      </c>
      <c r="B3685" t="inlineStr">
        <is>
          <t>abrdn Global Premier Properties Fund</t>
        </is>
      </c>
      <c r="C3685" t="inlineStr">
        <is>
          <t>NYSE</t>
        </is>
      </c>
      <c r="D3685" t="n">
        <v>1390195</v>
      </c>
      <c r="E3685" t="inlineStr">
        <is>
          <t>SEC</t>
        </is>
      </c>
    </row>
    <row r="3686">
      <c r="A3686" s="5">
        <f>HYPERLINK("https://finance.yahoo.com/quote/MTAL","MTAL")</f>
        <v/>
      </c>
      <c r="B3686" t="inlineStr">
        <is>
          <t>Metals Acquisition Corp. II</t>
        </is>
      </c>
      <c r="C3686" t="inlineStr">
        <is>
          <t>NYSE</t>
        </is>
      </c>
      <c r="D3686" t="n">
        <v>2107724</v>
      </c>
      <c r="E3686" t="inlineStr">
        <is>
          <t>SEC</t>
        </is>
      </c>
    </row>
    <row r="3687">
      <c r="A3687" s="5">
        <f>HYPERLINK("https://finance.yahoo.com/quote/LZM","LZM")</f>
        <v/>
      </c>
      <c r="B3687" t="inlineStr">
        <is>
          <t>Lifezone Metals Ltd</t>
        </is>
      </c>
      <c r="C3687" t="inlineStr">
        <is>
          <t>NYSE</t>
        </is>
      </c>
      <c r="D3687" t="n">
        <v>1958217</v>
      </c>
      <c r="E3687" t="inlineStr">
        <is>
          <t>SEC</t>
        </is>
      </c>
    </row>
    <row r="3688">
      <c r="A3688" s="5">
        <f>HYPERLINK("https://finance.yahoo.com/quote/PTLO","PTLO")</f>
        <v/>
      </c>
      <c r="B3688" t="inlineStr">
        <is>
          <t>Portillo's Inc.</t>
        </is>
      </c>
      <c r="C3688" t="inlineStr">
        <is>
          <t>Nasdaq</t>
        </is>
      </c>
      <c r="D3688" t="n">
        <v>1871509</v>
      </c>
      <c r="E3688" t="inlineStr">
        <is>
          <t>SEC</t>
        </is>
      </c>
    </row>
    <row r="3689">
      <c r="A3689" s="5">
        <f>HYPERLINK("https://finance.yahoo.com/quote/SVIV","SVIV")</f>
        <v/>
      </c>
      <c r="B3689" t="inlineStr">
        <is>
          <t>Spring Valley Acquisition Corp. IV</t>
        </is>
      </c>
      <c r="C3689" t="inlineStr">
        <is>
          <t>Nasdaq</t>
        </is>
      </c>
      <c r="D3689" t="n">
        <v>2098242</v>
      </c>
      <c r="E3689" t="inlineStr">
        <is>
          <t>SEC</t>
        </is>
      </c>
    </row>
    <row r="3690">
      <c r="A3690" s="5">
        <f>HYPERLINK("https://finance.yahoo.com/quote/FCCO","FCCO")</f>
        <v/>
      </c>
      <c r="B3690" t="inlineStr">
        <is>
          <t>FIRST COMMUNITY CORP /SC/</t>
        </is>
      </c>
      <c r="C3690" t="inlineStr">
        <is>
          <t>Nasdaq</t>
        </is>
      </c>
      <c r="D3690" t="n">
        <v>932781</v>
      </c>
      <c r="E3690" t="inlineStr">
        <is>
          <t>SEC</t>
        </is>
      </c>
    </row>
    <row r="3691">
      <c r="A3691" s="5">
        <f>HYPERLINK("https://finance.yahoo.com/quote/ITHA","ITHA")</f>
        <v/>
      </c>
      <c r="B3691" t="inlineStr">
        <is>
          <t>ITHAX Acquisition Corp III</t>
        </is>
      </c>
      <c r="C3691" t="inlineStr">
        <is>
          <t>Nasdaq</t>
        </is>
      </c>
      <c r="D3691" t="n">
        <v>2080985</v>
      </c>
      <c r="E3691" t="inlineStr">
        <is>
          <t>SEC</t>
        </is>
      </c>
    </row>
    <row r="3692">
      <c r="A3692" s="5">
        <f>HYPERLINK("https://finance.yahoo.com/quote/VHCP","VHCP")</f>
        <v/>
      </c>
      <c r="B3692" t="inlineStr">
        <is>
          <t>Vine Hill Capital Investment Corp. II</t>
        </is>
      </c>
      <c r="C3692" t="inlineStr">
        <is>
          <t>Nasdaq</t>
        </is>
      </c>
      <c r="D3692" t="n">
        <v>2086264</v>
      </c>
      <c r="E3692" t="inlineStr">
        <is>
          <t>SEC</t>
        </is>
      </c>
    </row>
    <row r="3693">
      <c r="A3693" s="5">
        <f>HYPERLINK("https://finance.yahoo.com/quote/QSI","QSI")</f>
        <v/>
      </c>
      <c r="B3693" t="inlineStr">
        <is>
          <t>Quantum-Si Inc</t>
        </is>
      </c>
      <c r="C3693" t="inlineStr">
        <is>
          <t>Nasdaq</t>
        </is>
      </c>
      <c r="D3693" t="n">
        <v>1816431</v>
      </c>
      <c r="E3693" t="inlineStr">
        <is>
          <t>SEC</t>
        </is>
      </c>
    </row>
    <row r="3694">
      <c r="A3694" s="5">
        <f>HYPERLINK("https://finance.yahoo.com/quote/TMTS","TMTS")</f>
        <v/>
      </c>
      <c r="B3694" t="inlineStr">
        <is>
          <t>Spartacus Acquisition Corp. II</t>
        </is>
      </c>
      <c r="C3694" t="inlineStr">
        <is>
          <t>Nasdaq</t>
        </is>
      </c>
      <c r="D3694" t="n">
        <v>2097364</v>
      </c>
      <c r="E3694" t="inlineStr">
        <is>
          <t>SEC</t>
        </is>
      </c>
    </row>
    <row r="3695">
      <c r="A3695" s="5">
        <f>HYPERLINK("https://finance.yahoo.com/quote/HCKT","HCKT")</f>
        <v/>
      </c>
      <c r="B3695" t="inlineStr">
        <is>
          <t>HACKETT GROUP, INC.</t>
        </is>
      </c>
      <c r="C3695" t="inlineStr">
        <is>
          <t>Nasdaq</t>
        </is>
      </c>
      <c r="D3695" t="n">
        <v>1057379</v>
      </c>
      <c r="E3695" t="inlineStr">
        <is>
          <t>SEC</t>
        </is>
      </c>
    </row>
    <row r="3696">
      <c r="A3696" s="5">
        <f>HYPERLINK("https://finance.yahoo.com/quote/NOA","NOA")</f>
        <v/>
      </c>
      <c r="B3696" t="inlineStr">
        <is>
          <t>North American Construction Group Ltd.</t>
        </is>
      </c>
      <c r="C3696" t="inlineStr">
        <is>
          <t>NYSE</t>
        </is>
      </c>
      <c r="D3696" t="n">
        <v>1368519</v>
      </c>
      <c r="E3696" t="inlineStr">
        <is>
          <t>SEC</t>
        </is>
      </c>
    </row>
    <row r="3697">
      <c r="A3697" s="5">
        <f>HYPERLINK("https://finance.yahoo.com/quote/FVRR","FVRR")</f>
        <v/>
      </c>
      <c r="B3697" t="inlineStr">
        <is>
          <t>Fiverr International Ltd.</t>
        </is>
      </c>
      <c r="C3697" t="inlineStr">
        <is>
          <t>NYSE</t>
        </is>
      </c>
      <c r="D3697" t="n">
        <v>1762301</v>
      </c>
      <c r="E3697" t="inlineStr">
        <is>
          <t>SEC</t>
        </is>
      </c>
    </row>
    <row r="3698">
      <c r="A3698" s="5">
        <f>HYPERLINK("https://finance.yahoo.com/quote/SICOF","SICOF")</f>
        <v/>
      </c>
      <c r="B3698" t="inlineStr">
        <is>
          <t>Silverco Mining Ltd.</t>
        </is>
      </c>
      <c r="C3698" t="inlineStr">
        <is>
          <t>OTC</t>
        </is>
      </c>
      <c r="D3698" t="n">
        <v>2117702</v>
      </c>
      <c r="E3698" t="inlineStr">
        <is>
          <t>SEC</t>
        </is>
      </c>
    </row>
    <row r="3699">
      <c r="A3699" s="5">
        <f>HYPERLINK("https://finance.yahoo.com/quote/BPRN","BPRN")</f>
        <v/>
      </c>
      <c r="B3699" t="inlineStr">
        <is>
          <t>Princeton Bancorp, Inc.</t>
        </is>
      </c>
      <c r="C3699" t="inlineStr">
        <is>
          <t>Nasdaq</t>
        </is>
      </c>
      <c r="D3699" t="n">
        <v>1913971</v>
      </c>
      <c r="E3699" t="inlineStr">
        <is>
          <t>SEC</t>
        </is>
      </c>
    </row>
    <row r="3700">
      <c r="A3700" s="5">
        <f>HYPERLINK("https://finance.yahoo.com/quote/CYPH","CYPH")</f>
        <v/>
      </c>
      <c r="B3700" t="inlineStr">
        <is>
          <t>CYPHERPUNK TECHNOLOGIES INC.</t>
        </is>
      </c>
      <c r="C3700" t="inlineStr">
        <is>
          <t>Nasdaq</t>
        </is>
      </c>
      <c r="D3700" t="n">
        <v>1509745</v>
      </c>
      <c r="E3700" t="inlineStr">
        <is>
          <t>SEC</t>
        </is>
      </c>
    </row>
    <row r="3701">
      <c r="A3701" s="5">
        <f>HYPERLINK("https://finance.yahoo.com/quote/FVCB","FVCB")</f>
        <v/>
      </c>
      <c r="B3701" t="inlineStr">
        <is>
          <t>FVCBankcorp, Inc.</t>
        </is>
      </c>
      <c r="C3701" t="inlineStr">
        <is>
          <t>Nasdaq</t>
        </is>
      </c>
      <c r="D3701" t="n">
        <v>1675644</v>
      </c>
      <c r="E3701" t="inlineStr">
        <is>
          <t>SEC</t>
        </is>
      </c>
    </row>
    <row r="3702">
      <c r="A3702" s="5">
        <f>HYPERLINK("https://finance.yahoo.com/quote/MNTK","MNTK")</f>
        <v/>
      </c>
      <c r="B3702" t="inlineStr">
        <is>
          <t>Montauk Renewables, Inc.</t>
        </is>
      </c>
      <c r="C3702" t="inlineStr">
        <is>
          <t>Nasdaq</t>
        </is>
      </c>
      <c r="D3702" t="n">
        <v>1826600</v>
      </c>
      <c r="E3702" t="inlineStr">
        <is>
          <t>SEC</t>
        </is>
      </c>
    </row>
    <row r="3703">
      <c r="A3703" s="5">
        <f>HYPERLINK("https://finance.yahoo.com/quote/BIXI","BIXI")</f>
        <v/>
      </c>
      <c r="B3703" t="inlineStr">
        <is>
          <t>Bitcoin Infrastructure Acquisition Corp Ltd</t>
        </is>
      </c>
      <c r="C3703" t="inlineStr">
        <is>
          <t>Nasdaq</t>
        </is>
      </c>
      <c r="D3703" t="n">
        <v>2082542</v>
      </c>
      <c r="E3703" t="inlineStr">
        <is>
          <t>SEC</t>
        </is>
      </c>
    </row>
    <row r="3704">
      <c r="A3704" s="5">
        <f>HYPERLINK("https://finance.yahoo.com/quote/EGHT","EGHT")</f>
        <v/>
      </c>
      <c r="B3704" t="inlineStr">
        <is>
          <t>8X8 INC /DE/</t>
        </is>
      </c>
      <c r="C3704" t="inlineStr">
        <is>
          <t>Nasdaq</t>
        </is>
      </c>
      <c r="D3704" t="n">
        <v>1023731</v>
      </c>
      <c r="E3704" t="inlineStr">
        <is>
          <t>SEC</t>
        </is>
      </c>
    </row>
    <row r="3705">
      <c r="A3705" s="5">
        <f>HYPERLINK("https://finance.yahoo.com/quote/CFSU","CFSU")</f>
        <v/>
      </c>
      <c r="B3705" t="inlineStr">
        <is>
          <t>Complete Financial Solutions Inc.</t>
        </is>
      </c>
      <c r="C3705" t="inlineStr">
        <is>
          <t>OTC</t>
        </is>
      </c>
      <c r="D3705" t="n">
        <v>1621888</v>
      </c>
      <c r="E3705" t="inlineStr">
        <is>
          <t>SEC</t>
        </is>
      </c>
    </row>
    <row r="3706">
      <c r="A3706" s="5">
        <f>HYPERLINK("https://finance.yahoo.com/quote/RIV","RIV")</f>
        <v/>
      </c>
      <c r="B3706" t="inlineStr">
        <is>
          <t>RIVERNORTH OPPORTUNITIES FUND, INC.</t>
        </is>
      </c>
      <c r="C3706" t="inlineStr">
        <is>
          <t>NYSE</t>
        </is>
      </c>
      <c r="D3706" t="n">
        <v>1501072</v>
      </c>
      <c r="E3706" t="inlineStr">
        <is>
          <t>SEC</t>
        </is>
      </c>
    </row>
    <row r="3707">
      <c r="A3707" s="5">
        <f>HYPERLINK("https://finance.yahoo.com/quote/OEC","OEC")</f>
        <v/>
      </c>
      <c r="B3707" t="inlineStr">
        <is>
          <t>Orion S.A.</t>
        </is>
      </c>
      <c r="C3707" t="inlineStr">
        <is>
          <t>NYSE</t>
        </is>
      </c>
      <c r="D3707" t="n">
        <v>1609804</v>
      </c>
      <c r="E3707" t="inlineStr">
        <is>
          <t>SEC</t>
        </is>
      </c>
    </row>
    <row r="3708">
      <c r="A3708" s="5">
        <f>HYPERLINK("https://finance.yahoo.com/quote/CDNL","CDNL")</f>
        <v/>
      </c>
      <c r="B3708" t="inlineStr">
        <is>
          <t>Cardinal Infrastructure Group Inc.</t>
        </is>
      </c>
      <c r="C3708" t="inlineStr">
        <is>
          <t>Nasdaq</t>
        </is>
      </c>
      <c r="D3708" t="n">
        <v>2079999</v>
      </c>
      <c r="E3708" t="inlineStr">
        <is>
          <t>SEC</t>
        </is>
      </c>
    </row>
    <row r="3709">
      <c r="A3709" s="5">
        <f>HYPERLINK("https://finance.yahoo.com/quote/SRZN","SRZN")</f>
        <v/>
      </c>
      <c r="B3709" t="inlineStr">
        <is>
          <t>Surrozen, Inc./DE</t>
        </is>
      </c>
      <c r="C3709" t="inlineStr">
        <is>
          <t>Nasdaq</t>
        </is>
      </c>
      <c r="D3709" t="n">
        <v>1824893</v>
      </c>
      <c r="E3709" t="inlineStr">
        <is>
          <t>SEC</t>
        </is>
      </c>
    </row>
    <row r="3710">
      <c r="A3710" s="5">
        <f>HYPERLINK("https://finance.yahoo.com/quote/OTGA","OTGA")</f>
        <v/>
      </c>
      <c r="B3710" t="inlineStr">
        <is>
          <t>OTG Acquisition Corp. I</t>
        </is>
      </c>
      <c r="C3710" t="inlineStr">
        <is>
          <t>Nasdaq</t>
        </is>
      </c>
      <c r="D3710" t="n">
        <v>2077010</v>
      </c>
      <c r="E3710" t="inlineStr">
        <is>
          <t>SEC</t>
        </is>
      </c>
    </row>
    <row r="3711">
      <c r="A3711" s="5">
        <f>HYPERLINK("https://finance.yahoo.com/quote/HVMC","HVMC")</f>
        <v/>
      </c>
      <c r="B3711" t="inlineStr">
        <is>
          <t>Highview Merger Corp.</t>
        </is>
      </c>
      <c r="C3711" t="inlineStr">
        <is>
          <t>Nasdaq</t>
        </is>
      </c>
      <c r="D3711" t="n">
        <v>2070602</v>
      </c>
      <c r="E3711" t="inlineStr">
        <is>
          <t>SEC</t>
        </is>
      </c>
    </row>
    <row r="3712">
      <c r="A3712" s="5">
        <f>HYPERLINK("https://finance.yahoo.com/quote/NODK","NODK")</f>
        <v/>
      </c>
      <c r="B3712" t="inlineStr">
        <is>
          <t>NI Holdings, Inc.</t>
        </is>
      </c>
      <c r="C3712" t="inlineStr">
        <is>
          <t>Nasdaq</t>
        </is>
      </c>
      <c r="D3712" t="n">
        <v>1681206</v>
      </c>
      <c r="E3712" t="inlineStr">
        <is>
          <t>SEC</t>
        </is>
      </c>
    </row>
    <row r="3713">
      <c r="A3713" s="5">
        <f>HYPERLINK("https://finance.yahoo.com/quote/HIX","HIX")</f>
        <v/>
      </c>
      <c r="B3713" t="inlineStr">
        <is>
          <t>WESTERN ASSET HIGH INCOME FUND II INC.</t>
        </is>
      </c>
      <c r="C3713" t="inlineStr">
        <is>
          <t>NYSE</t>
        </is>
      </c>
      <c r="D3713" t="n">
        <v>1058239</v>
      </c>
      <c r="E3713" t="inlineStr">
        <is>
          <t>SEC</t>
        </is>
      </c>
    </row>
    <row r="3714">
      <c r="A3714" s="5">
        <f>HYPERLINK("https://finance.yahoo.com/quote/GSRF","GSRF")</f>
        <v/>
      </c>
      <c r="B3714" t="inlineStr">
        <is>
          <t>GSR IV Acquisition Corp.</t>
        </is>
      </c>
      <c r="C3714" t="inlineStr">
        <is>
          <t>Nasdaq</t>
        </is>
      </c>
      <c r="D3714" t="n">
        <v>2072404</v>
      </c>
      <c r="E3714" t="inlineStr">
        <is>
          <t>SEC</t>
        </is>
      </c>
    </row>
    <row r="3715">
      <c r="A3715" s="5">
        <f>HYPERLINK("https://finance.yahoo.com/quote/JENA","JENA")</f>
        <v/>
      </c>
      <c r="B3715" t="inlineStr">
        <is>
          <t>JENA ACQUISITION Corp II</t>
        </is>
      </c>
      <c r="C3715" t="inlineStr">
        <is>
          <t>NYSE</t>
        </is>
      </c>
      <c r="D3715" t="n">
        <v>2060337</v>
      </c>
      <c r="E3715" t="inlineStr">
        <is>
          <t>SEC</t>
        </is>
      </c>
    </row>
    <row r="3716">
      <c r="A3716" s="5">
        <f>HYPERLINK("https://finance.yahoo.com/quote/QLEP","QLEP")</f>
        <v/>
      </c>
      <c r="B3716" t="inlineStr">
        <is>
          <t>Quantum Leap Acquisition Corp</t>
        </is>
      </c>
      <c r="C3716" t="inlineStr">
        <is>
          <t>NYSE</t>
        </is>
      </c>
      <c r="D3716" t="n">
        <v>2102155</v>
      </c>
      <c r="E3716" t="inlineStr">
        <is>
          <t>SEC</t>
        </is>
      </c>
    </row>
    <row r="3717">
      <c r="A3717" s="5">
        <f>HYPERLINK("https://finance.yahoo.com/quote/HLLY","HLLY")</f>
        <v/>
      </c>
      <c r="B3717" t="inlineStr">
        <is>
          <t>Holley Inc.</t>
        </is>
      </c>
      <c r="C3717" t="inlineStr">
        <is>
          <t>NYSE</t>
        </is>
      </c>
      <c r="D3717" t="n">
        <v>1822928</v>
      </c>
      <c r="E3717" t="inlineStr">
        <is>
          <t>SEC</t>
        </is>
      </c>
    </row>
    <row r="3718">
      <c r="A3718" s="5">
        <f>HYPERLINK("https://finance.yahoo.com/quote/ASPI","ASPI")</f>
        <v/>
      </c>
      <c r="B3718" t="inlineStr">
        <is>
          <t>ASP Isotopes Inc.</t>
        </is>
      </c>
      <c r="C3718" t="inlineStr">
        <is>
          <t>Nasdaq</t>
        </is>
      </c>
      <c r="D3718" t="n">
        <v>1921865</v>
      </c>
      <c r="E3718" t="inlineStr">
        <is>
          <t>SEC</t>
        </is>
      </c>
    </row>
    <row r="3719">
      <c r="A3719" s="5">
        <f>HYPERLINK("https://finance.yahoo.com/quote/CGC","CGC")</f>
        <v/>
      </c>
      <c r="B3719" t="inlineStr">
        <is>
          <t>Canopy Growth Corp</t>
        </is>
      </c>
      <c r="C3719" t="inlineStr">
        <is>
          <t>Nasdaq</t>
        </is>
      </c>
      <c r="D3719" t="n">
        <v>1737927</v>
      </c>
      <c r="E3719" t="inlineStr">
        <is>
          <t>SEC</t>
        </is>
      </c>
    </row>
    <row r="3720">
      <c r="A3720" s="5">
        <f>HYPERLINK("https://finance.yahoo.com/quote/GSRV","GSRV")</f>
        <v/>
      </c>
      <c r="B3720" t="inlineStr">
        <is>
          <t>GSR V Acquisition Corp.</t>
        </is>
      </c>
      <c r="C3720" t="inlineStr">
        <is>
          <t>Nasdaq</t>
        </is>
      </c>
      <c r="D3720" t="n">
        <v>2111762</v>
      </c>
      <c r="E3720" t="inlineStr">
        <is>
          <t>SEC</t>
        </is>
      </c>
    </row>
    <row r="3721">
      <c r="A3721" s="5">
        <f>HYPERLINK("https://finance.yahoo.com/quote/FIP","FIP")</f>
        <v/>
      </c>
      <c r="B3721" t="inlineStr">
        <is>
          <t>FTAI Infrastructure Inc.</t>
        </is>
      </c>
      <c r="C3721" t="inlineStr">
        <is>
          <t>Nasdaq</t>
        </is>
      </c>
      <c r="D3721" t="n">
        <v>1899883</v>
      </c>
      <c r="E3721" t="inlineStr">
        <is>
          <t>SEC</t>
        </is>
      </c>
    </row>
    <row r="3722">
      <c r="A3722" s="5">
        <f>HYPERLINK("https://finance.yahoo.com/quote/PSFE","PSFE")</f>
        <v/>
      </c>
      <c r="B3722" t="inlineStr">
        <is>
          <t>Paysafe Ltd</t>
        </is>
      </c>
      <c r="C3722" t="inlineStr">
        <is>
          <t>NYSE</t>
        </is>
      </c>
      <c r="D3722" t="n">
        <v>1833835</v>
      </c>
      <c r="E3722" t="inlineStr">
        <is>
          <t>SEC</t>
        </is>
      </c>
    </row>
    <row r="3723">
      <c r="A3723" s="5">
        <f>HYPERLINK("https://finance.yahoo.com/quote/SMTI","SMTI")</f>
        <v/>
      </c>
      <c r="B3723" t="inlineStr">
        <is>
          <t>Sanara MedTech Inc.</t>
        </is>
      </c>
      <c r="C3723" t="inlineStr">
        <is>
          <t>Nasdaq</t>
        </is>
      </c>
      <c r="D3723" t="n">
        <v>714256</v>
      </c>
      <c r="E3723" t="inlineStr">
        <is>
          <t>SEC</t>
        </is>
      </c>
    </row>
    <row r="3724">
      <c r="A3724" s="5">
        <f>HYPERLINK("https://finance.yahoo.com/quote/FRD","FRD")</f>
        <v/>
      </c>
      <c r="B3724" t="inlineStr">
        <is>
          <t>FRIEDMAN INDUSTRIES INC</t>
        </is>
      </c>
      <c r="C3724" t="inlineStr">
        <is>
          <t>Nasdaq</t>
        </is>
      </c>
      <c r="D3724" t="n">
        <v>39092</v>
      </c>
      <c r="E3724" t="inlineStr">
        <is>
          <t>SEC</t>
        </is>
      </c>
    </row>
    <row r="3725">
      <c r="A3725" s="5">
        <f>HYPERLINK("https://finance.yahoo.com/quote/BNTC","BNTC")</f>
        <v/>
      </c>
      <c r="B3725" t="inlineStr">
        <is>
          <t>Benitec Biopharma Inc.</t>
        </is>
      </c>
      <c r="C3725" t="inlineStr">
        <is>
          <t>Nasdaq</t>
        </is>
      </c>
      <c r="D3725" t="n">
        <v>1808898</v>
      </c>
      <c r="E3725" t="inlineStr">
        <is>
          <t>SEC</t>
        </is>
      </c>
    </row>
    <row r="3726">
      <c r="A3726" s="5">
        <f>HYPERLINK("https://finance.yahoo.com/quote/TBCH","TBCH")</f>
        <v/>
      </c>
      <c r="B3726" t="inlineStr">
        <is>
          <t>Turtle Beach Corp</t>
        </is>
      </c>
      <c r="C3726" t="inlineStr">
        <is>
          <t>Nasdaq</t>
        </is>
      </c>
      <c r="D3726" t="n">
        <v>1493761</v>
      </c>
      <c r="E3726" t="inlineStr">
        <is>
          <t>SEC</t>
        </is>
      </c>
    </row>
    <row r="3727">
      <c r="A3727" s="5">
        <f>HYPERLINK("https://finance.yahoo.com/quote/NLCP","NLCP")</f>
        <v/>
      </c>
      <c r="B3727" t="inlineStr">
        <is>
          <t>NewLake Capital Partners, Inc.</t>
        </is>
      </c>
      <c r="C3727" t="inlineStr">
        <is>
          <t>OTC</t>
        </is>
      </c>
      <c r="D3727" t="n">
        <v>1854964</v>
      </c>
      <c r="E3727" t="inlineStr">
        <is>
          <t>SEC</t>
        </is>
      </c>
    </row>
    <row r="3728">
      <c r="A3728" s="5">
        <f>HYPERLINK("https://finance.yahoo.com/quote/RM","RM")</f>
        <v/>
      </c>
      <c r="B3728" t="inlineStr">
        <is>
          <t>Regional Management Corp.</t>
        </is>
      </c>
      <c r="C3728" t="inlineStr">
        <is>
          <t>NYSE</t>
        </is>
      </c>
      <c r="D3728" t="n">
        <v>1519401</v>
      </c>
      <c r="E3728" t="inlineStr">
        <is>
          <t>SEC</t>
        </is>
      </c>
    </row>
    <row r="3729">
      <c r="A3729" s="5">
        <f>HYPERLINK("https://finance.yahoo.com/quote/IMSR","IMSR")</f>
        <v/>
      </c>
      <c r="B3729" t="inlineStr">
        <is>
          <t>Terrestrial Energy Inc. /DE/</t>
        </is>
      </c>
      <c r="C3729" t="inlineStr">
        <is>
          <t>Nasdaq</t>
        </is>
      </c>
      <c r="D3729" t="n">
        <v>2019804</v>
      </c>
      <c r="E3729" t="inlineStr">
        <is>
          <t>SEC</t>
        </is>
      </c>
    </row>
    <row r="3730">
      <c r="A3730" s="5">
        <f>HYPERLINK("https://finance.yahoo.com/quote/RMR","RMR")</f>
        <v/>
      </c>
      <c r="B3730" t="inlineStr">
        <is>
          <t>RMR GROUP INC.</t>
        </is>
      </c>
      <c r="C3730" t="inlineStr">
        <is>
          <t>Nasdaq</t>
        </is>
      </c>
      <c r="D3730" t="n">
        <v>1644378</v>
      </c>
      <c r="E3730" t="inlineStr">
        <is>
          <t>SEC</t>
        </is>
      </c>
    </row>
    <row r="3731">
      <c r="A3731" s="5">
        <f>HYPERLINK("https://finance.yahoo.com/quote/BRW","BRW")</f>
        <v/>
      </c>
      <c r="B3731" t="inlineStr">
        <is>
          <t>Saba Capital Income &amp; Opportunities Fund</t>
        </is>
      </c>
      <c r="C3731" t="inlineStr">
        <is>
          <t>NYSE</t>
        </is>
      </c>
      <c r="D3731" t="n">
        <v>826020</v>
      </c>
      <c r="E3731" t="inlineStr">
        <is>
          <t>SEC</t>
        </is>
      </c>
    </row>
    <row r="3732">
      <c r="A3732" s="5">
        <f>HYPERLINK("https://finance.yahoo.com/quote/SVAQ","SVAQ")</f>
        <v/>
      </c>
      <c r="B3732" t="inlineStr">
        <is>
          <t>Silicon Valley Acquisition Corp.</t>
        </is>
      </c>
      <c r="C3732" t="inlineStr">
        <is>
          <t>Nasdaq</t>
        </is>
      </c>
      <c r="D3732" t="n">
        <v>2085659</v>
      </c>
      <c r="E3732" t="inlineStr">
        <is>
          <t>SEC</t>
        </is>
      </c>
    </row>
    <row r="3733">
      <c r="A3733" s="5">
        <f>HYPERLINK("https://finance.yahoo.com/quote/PSBD","PSBD")</f>
        <v/>
      </c>
      <c r="B3733" t="inlineStr">
        <is>
          <t>Palmer Square Capital BDC Inc.</t>
        </is>
      </c>
      <c r="C3733" t="inlineStr">
        <is>
          <t>NYSE</t>
        </is>
      </c>
      <c r="D3733" t="n">
        <v>1794776</v>
      </c>
      <c r="E3733" t="inlineStr">
        <is>
          <t>SEC</t>
        </is>
      </c>
    </row>
    <row r="3734">
      <c r="A3734" s="5">
        <f>HYPERLINK("https://finance.yahoo.com/quote/III","III")</f>
        <v/>
      </c>
      <c r="B3734" t="inlineStr">
        <is>
          <t>Information Services Group Inc.</t>
        </is>
      </c>
      <c r="C3734" t="inlineStr">
        <is>
          <t>Nasdaq</t>
        </is>
      </c>
      <c r="D3734" t="n">
        <v>1371489</v>
      </c>
      <c r="E3734" t="inlineStr">
        <is>
          <t>SEC</t>
        </is>
      </c>
    </row>
    <row r="3735">
      <c r="A3735" s="5">
        <f>HYPERLINK("https://finance.yahoo.com/quote/GPAC","GPAC")</f>
        <v/>
      </c>
      <c r="B3735" t="inlineStr">
        <is>
          <t>General Purpose Acquisition Corp.</t>
        </is>
      </c>
      <c r="C3735" t="inlineStr">
        <is>
          <t>Nasdaq</t>
        </is>
      </c>
      <c r="D3735" t="n">
        <v>2085408</v>
      </c>
      <c r="E3735" t="inlineStr">
        <is>
          <t>SEC</t>
        </is>
      </c>
    </row>
    <row r="3736">
      <c r="A3736" s="5">
        <f>HYPERLINK("https://finance.yahoo.com/quote/ISBA","ISBA")</f>
        <v/>
      </c>
      <c r="B3736" t="inlineStr">
        <is>
          <t>ISABELLA BANK CORP</t>
        </is>
      </c>
      <c r="C3736" t="inlineStr">
        <is>
          <t>Nasdaq</t>
        </is>
      </c>
      <c r="D3736" t="n">
        <v>842517</v>
      </c>
      <c r="E3736" t="inlineStr">
        <is>
          <t>SEC</t>
        </is>
      </c>
    </row>
    <row r="3737">
      <c r="A3737" s="5">
        <f>HYPERLINK("https://finance.yahoo.com/quote/FUNC","FUNC")</f>
        <v/>
      </c>
      <c r="B3737" t="inlineStr">
        <is>
          <t>FIRST UNITED CORP/MD/</t>
        </is>
      </c>
      <c r="C3737" t="inlineStr">
        <is>
          <t>Nasdaq</t>
        </is>
      </c>
      <c r="D3737" t="n">
        <v>763907</v>
      </c>
      <c r="E3737" t="inlineStr">
        <is>
          <t>SEC</t>
        </is>
      </c>
    </row>
    <row r="3738">
      <c r="A3738" s="5">
        <f>HYPERLINK("https://finance.yahoo.com/quote/ARTV","ARTV")</f>
        <v/>
      </c>
      <c r="B3738" t="inlineStr">
        <is>
          <t>Artiva Biotherapeutics, Inc.</t>
        </is>
      </c>
      <c r="C3738" t="inlineStr">
        <is>
          <t>Nasdaq</t>
        </is>
      </c>
      <c r="D3738" t="n">
        <v>1817241</v>
      </c>
      <c r="E3738" t="inlineStr">
        <is>
          <t>SEC</t>
        </is>
      </c>
    </row>
    <row r="3739">
      <c r="A3739" s="5">
        <f>HYPERLINK("https://finance.yahoo.com/quote/ATLO","ATLO")</f>
        <v/>
      </c>
      <c r="B3739" t="inlineStr">
        <is>
          <t>AMES NATIONAL CORP</t>
        </is>
      </c>
      <c r="C3739" t="inlineStr">
        <is>
          <t>Nasdaq</t>
        </is>
      </c>
      <c r="D3739" t="n">
        <v>1132651</v>
      </c>
      <c r="E3739" t="inlineStr">
        <is>
          <t>SEC</t>
        </is>
      </c>
    </row>
    <row r="3740">
      <c r="A3740" s="5">
        <f>HYPERLINK("https://finance.yahoo.com/quote/SCTX","SCTX")</f>
        <v/>
      </c>
      <c r="B3740" t="inlineStr">
        <is>
          <t>Scribe Therapeutics, Inc.</t>
        </is>
      </c>
      <c r="C3740" t="inlineStr">
        <is>
          <t>Nasdaq</t>
        </is>
      </c>
      <c r="D3740" t="n">
        <v>1853921</v>
      </c>
      <c r="E3740" t="inlineStr">
        <is>
          <t>SEC</t>
        </is>
      </c>
    </row>
    <row r="3741">
      <c r="A3741" s="5">
        <f>HYPERLINK("https://finance.yahoo.com/quote/CMRC","CMRC")</f>
        <v/>
      </c>
      <c r="B3741" t="inlineStr">
        <is>
          <t>Commerce.com, Inc.</t>
        </is>
      </c>
      <c r="C3741" t="inlineStr">
        <is>
          <t>Nasdaq</t>
        </is>
      </c>
      <c r="D3741" t="n">
        <v>1626450</v>
      </c>
      <c r="E3741" t="inlineStr">
        <is>
          <t>SEC</t>
        </is>
      </c>
    </row>
    <row r="3742">
      <c r="A3742" s="5">
        <f>HYPERLINK("https://finance.yahoo.com/quote/HCAC","HCAC")</f>
        <v/>
      </c>
      <c r="B3742" t="inlineStr">
        <is>
          <t>Hall Chadwick Acquisition Corp</t>
        </is>
      </c>
      <c r="C3742" t="inlineStr">
        <is>
          <t>Nasdaq</t>
        </is>
      </c>
      <c r="D3742" t="n">
        <v>2079013</v>
      </c>
      <c r="E3742" t="inlineStr">
        <is>
          <t>SEC</t>
        </is>
      </c>
    </row>
    <row r="3743">
      <c r="A3743" s="5">
        <f>HYPERLINK("https://finance.yahoo.com/quote/IRHO","IRHO")</f>
        <v/>
      </c>
      <c r="B3743" t="inlineStr">
        <is>
          <t>Iron Horse Acquisition II Corp.</t>
        </is>
      </c>
      <c r="C3743" t="inlineStr">
        <is>
          <t>Nasdaq</t>
        </is>
      </c>
      <c r="D3743" t="n">
        <v>2051985</v>
      </c>
      <c r="E3743" t="inlineStr">
        <is>
          <t>SEC</t>
        </is>
      </c>
    </row>
    <row r="3744">
      <c r="A3744" s="5">
        <f>HYPERLINK("https://finance.yahoo.com/quote/EFR","EFR")</f>
        <v/>
      </c>
      <c r="B3744" t="inlineStr">
        <is>
          <t>Eaton Vance Senior Floating-Rate Trust</t>
        </is>
      </c>
      <c r="C3744" t="inlineStr">
        <is>
          <t>NYSE</t>
        </is>
      </c>
      <c r="D3744" t="n">
        <v>1258623</v>
      </c>
      <c r="E3744" t="inlineStr">
        <is>
          <t>SEC</t>
        </is>
      </c>
    </row>
    <row r="3745">
      <c r="A3745" s="5">
        <f>HYPERLINK("https://finance.yahoo.com/quote/SCTH","SCTH")</f>
        <v/>
      </c>
      <c r="B3745" t="inlineStr">
        <is>
          <t>Securetech Innovations, Inc.</t>
        </is>
      </c>
      <c r="C3745" t="inlineStr">
        <is>
          <t>OTC</t>
        </is>
      </c>
      <c r="D3745" t="n">
        <v>1703157</v>
      </c>
      <c r="E3745" t="inlineStr">
        <is>
          <t>SEC</t>
        </is>
      </c>
    </row>
    <row r="3746">
      <c r="A3746" s="5">
        <f>HYPERLINK("https://finance.yahoo.com/quote/ANVI","ANVI")</f>
        <v/>
      </c>
      <c r="B3746" t="inlineStr">
        <is>
          <t>ANVI GLOBAL HOLDINGS, INC.</t>
        </is>
      </c>
      <c r="C3746" t="inlineStr">
        <is>
          <t>OTC</t>
        </is>
      </c>
      <c r="D3746" t="n">
        <v>1570132</v>
      </c>
      <c r="E3746" t="inlineStr">
        <is>
          <t>SEC</t>
        </is>
      </c>
    </row>
    <row r="3747">
      <c r="A3747" s="5">
        <f>HYPERLINK("https://finance.yahoo.com/quote/BTQ","BTQ")</f>
        <v/>
      </c>
      <c r="B3747" t="inlineStr">
        <is>
          <t>BTQ Technologies Corp.</t>
        </is>
      </c>
      <c r="C3747" t="inlineStr">
        <is>
          <t>Nasdaq</t>
        </is>
      </c>
      <c r="D3747" t="n">
        <v>1821866</v>
      </c>
      <c r="E3747" t="inlineStr">
        <is>
          <t>SEC</t>
        </is>
      </c>
    </row>
    <row r="3748">
      <c r="A3748" s="5">
        <f>HYPERLINK("https://finance.yahoo.com/quote/TBCV","TBCV")</f>
        <v/>
      </c>
      <c r="B3748" t="inlineStr">
        <is>
          <t>Thunder Bridge Capital Partners V, Ltd.</t>
        </is>
      </c>
      <c r="C3748" t="inlineStr">
        <is>
          <t>Nasdaq</t>
        </is>
      </c>
      <c r="D3748" t="n">
        <v>2140030</v>
      </c>
      <c r="E3748" t="inlineStr">
        <is>
          <t>SEC</t>
        </is>
      </c>
    </row>
    <row r="3749">
      <c r="A3749" s="5">
        <f>HYPERLINK("https://finance.yahoo.com/quote/CDPMF","CDPMF")</f>
        <v/>
      </c>
      <c r="B3749" t="inlineStr">
        <is>
          <t>Cerro de Pasco Resources Inc.</t>
        </is>
      </c>
      <c r="C3749" t="inlineStr">
        <is>
          <t>OTC</t>
        </is>
      </c>
      <c r="D3749" t="n">
        <v>2046223</v>
      </c>
      <c r="E3749" t="inlineStr">
        <is>
          <t>SEC</t>
        </is>
      </c>
    </row>
    <row r="3750">
      <c r="A3750" s="5">
        <f>HYPERLINK("https://finance.yahoo.com/quote/BGT","BGT")</f>
        <v/>
      </c>
      <c r="B3750" t="inlineStr">
        <is>
          <t>BLACKROCK FLOATING RATE INCOME TRUST</t>
        </is>
      </c>
      <c r="C3750" t="inlineStr">
        <is>
          <t>NYSE</t>
        </is>
      </c>
      <c r="D3750" t="n">
        <v>1287480</v>
      </c>
      <c r="E3750" t="inlineStr">
        <is>
          <t>SEC</t>
        </is>
      </c>
    </row>
    <row r="3751">
      <c r="A3751" s="5">
        <f>HYPERLINK("https://finance.yahoo.com/quote/MTNE","MTNE")</f>
        <v/>
      </c>
      <c r="B3751" t="inlineStr">
        <is>
          <t>CH4 Natural Solutions Corp</t>
        </is>
      </c>
      <c r="C3751" t="inlineStr">
        <is>
          <t>NYSE</t>
        </is>
      </c>
      <c r="D3751" t="n">
        <v>2044817</v>
      </c>
      <c r="E3751" t="inlineStr">
        <is>
          <t>SEC</t>
        </is>
      </c>
    </row>
    <row r="3752">
      <c r="A3752" s="5">
        <f>HYPERLINK("https://finance.yahoo.com/quote/BACC","BACC")</f>
        <v/>
      </c>
      <c r="B3752" t="inlineStr">
        <is>
          <t>Blue Acquisition Corp/Cayman</t>
        </is>
      </c>
      <c r="C3752" t="inlineStr">
        <is>
          <t>Nasdaq</t>
        </is>
      </c>
      <c r="D3752" t="n">
        <v>2059654</v>
      </c>
      <c r="E3752" t="inlineStr">
        <is>
          <t>SEC</t>
        </is>
      </c>
    </row>
    <row r="3753">
      <c r="A3753" s="5">
        <f>HYPERLINK("https://finance.yahoo.com/quote/ACGC","ACGC")</f>
        <v/>
      </c>
      <c r="B3753" t="inlineStr">
        <is>
          <t>ACP Holdings Acquisition Corp.</t>
        </is>
      </c>
      <c r="C3753" t="inlineStr">
        <is>
          <t>Nasdaq</t>
        </is>
      </c>
      <c r="D3753" t="n">
        <v>2111542</v>
      </c>
      <c r="E3753" t="inlineStr">
        <is>
          <t>SEC</t>
        </is>
      </c>
    </row>
    <row r="3754">
      <c r="A3754" s="5">
        <f>HYPERLINK("https://finance.yahoo.com/quote/MYFW","MYFW")</f>
        <v/>
      </c>
      <c r="B3754" t="inlineStr">
        <is>
          <t>First Western Financial Inc</t>
        </is>
      </c>
      <c r="C3754" t="inlineStr">
        <is>
          <t>Nasdaq</t>
        </is>
      </c>
      <c r="D3754" t="n">
        <v>1327607</v>
      </c>
      <c r="E3754" t="inlineStr">
        <is>
          <t>SEC</t>
        </is>
      </c>
    </row>
    <row r="3755">
      <c r="A3755" s="5">
        <f>HYPERLINK("https://finance.yahoo.com/quote/MXF","MXF")</f>
        <v/>
      </c>
      <c r="B3755" t="inlineStr">
        <is>
          <t>MEXICO FUND INC</t>
        </is>
      </c>
      <c r="C3755" t="inlineStr">
        <is>
          <t>NYSE</t>
        </is>
      </c>
      <c r="D3755" t="n">
        <v>65433</v>
      </c>
      <c r="E3755" t="inlineStr">
        <is>
          <t>SEC</t>
        </is>
      </c>
    </row>
    <row r="3756">
      <c r="A3756" s="5">
        <f>HYPERLINK("https://finance.yahoo.com/quote/ARQQ","ARQQ")</f>
        <v/>
      </c>
      <c r="B3756" t="inlineStr">
        <is>
          <t>Arqit Quantum Inc.</t>
        </is>
      </c>
      <c r="C3756" t="inlineStr">
        <is>
          <t>Nasdaq</t>
        </is>
      </c>
      <c r="D3756" t="n">
        <v>1859690</v>
      </c>
      <c r="E3756" t="inlineStr">
        <is>
          <t>SEC</t>
        </is>
      </c>
    </row>
    <row r="3757">
      <c r="A3757" s="5">
        <f>HYPERLINK("https://finance.yahoo.com/quote/PPHC","PPHC")</f>
        <v/>
      </c>
      <c r="B3757" t="inlineStr">
        <is>
          <t>Public Policy Holding Company, Inc.</t>
        </is>
      </c>
      <c r="C3757" t="inlineStr">
        <is>
          <t>Nasdaq</t>
        </is>
      </c>
      <c r="D3757" t="n">
        <v>1903508</v>
      </c>
      <c r="E3757" t="inlineStr">
        <is>
          <t>SEC</t>
        </is>
      </c>
    </row>
    <row r="3758">
      <c r="A3758" s="5">
        <f>HYPERLINK("https://finance.yahoo.com/quote/ELA","ELA")</f>
        <v/>
      </c>
      <c r="B3758" t="inlineStr">
        <is>
          <t>Envela Corp</t>
        </is>
      </c>
      <c r="C3758" t="inlineStr">
        <is>
          <t>NYSE</t>
        </is>
      </c>
      <c r="D3758" t="n">
        <v>701719</v>
      </c>
      <c r="E3758" t="inlineStr">
        <is>
          <t>SEC</t>
        </is>
      </c>
    </row>
    <row r="3759">
      <c r="A3759" s="5">
        <f>HYPERLINK("https://finance.yahoo.com/quote/LPCV","LPCV")</f>
        <v/>
      </c>
      <c r="B3759" t="inlineStr">
        <is>
          <t>Launchpad Cadenza Acquisition Corp I</t>
        </is>
      </c>
      <c r="C3759" t="inlineStr">
        <is>
          <t>Nasdaq</t>
        </is>
      </c>
      <c r="D3759" t="n">
        <v>2083728</v>
      </c>
      <c r="E3759" t="inlineStr">
        <is>
          <t>SEC</t>
        </is>
      </c>
    </row>
    <row r="3760">
      <c r="A3760" s="5">
        <f>HYPERLINK("https://finance.yahoo.com/quote/BBW","BBW")</f>
        <v/>
      </c>
      <c r="B3760" t="inlineStr">
        <is>
          <t>BUILD-A-BEAR WORKSHOP INC</t>
        </is>
      </c>
      <c r="C3760" t="inlineStr">
        <is>
          <t>NYSE</t>
        </is>
      </c>
      <c r="D3760" t="n">
        <v>1113809</v>
      </c>
      <c r="E3760" t="inlineStr">
        <is>
          <t>SEC</t>
        </is>
      </c>
    </row>
    <row r="3761">
      <c r="A3761" s="5">
        <f>HYPERLINK("https://finance.yahoo.com/quote/PRLD","PRLD")</f>
        <v/>
      </c>
      <c r="B3761" t="inlineStr">
        <is>
          <t>Prelude Therapeutics Inc</t>
        </is>
      </c>
      <c r="C3761" t="inlineStr">
        <is>
          <t>Nasdaq</t>
        </is>
      </c>
      <c r="D3761" t="n">
        <v>1678660</v>
      </c>
      <c r="E3761" t="inlineStr">
        <is>
          <t>SEC</t>
        </is>
      </c>
    </row>
    <row r="3762">
      <c r="A3762" s="5">
        <f>HYPERLINK("https://finance.yahoo.com/quote/FGII","FGII")</f>
        <v/>
      </c>
      <c r="B3762" t="inlineStr">
        <is>
          <t>FG Imperii Acquisition Corp.</t>
        </is>
      </c>
      <c r="C3762" t="inlineStr">
        <is>
          <t>Nasdaq</t>
        </is>
      </c>
      <c r="D3762" t="n">
        <v>2090452</v>
      </c>
      <c r="E3762" t="inlineStr">
        <is>
          <t>SEC</t>
        </is>
      </c>
    </row>
    <row r="3763">
      <c r="A3763" s="5">
        <f>HYPERLINK("https://finance.yahoo.com/quote/JWSMF","JWSMF")</f>
        <v/>
      </c>
      <c r="B3763" t="inlineStr">
        <is>
          <t>Jaws Mustang Acquisition Corp</t>
        </is>
      </c>
      <c r="C3763" t="inlineStr">
        <is>
          <t>OTC</t>
        </is>
      </c>
      <c r="D3763" t="n">
        <v>1831359</v>
      </c>
      <c r="E3763" t="inlineStr">
        <is>
          <t>SEC</t>
        </is>
      </c>
    </row>
    <row r="3764">
      <c r="A3764" s="5">
        <f>HYPERLINK("https://finance.yahoo.com/quote/KPET","KPET")</f>
        <v/>
      </c>
      <c r="B3764" t="inlineStr">
        <is>
          <t>KPET Ultra Paceline Corp</t>
        </is>
      </c>
      <c r="C3764" t="inlineStr">
        <is>
          <t>NYSE</t>
        </is>
      </c>
      <c r="D3764" t="n">
        <v>2095297</v>
      </c>
      <c r="E3764" t="inlineStr">
        <is>
          <t>SEC</t>
        </is>
      </c>
    </row>
    <row r="3765">
      <c r="A3765" s="5">
        <f>HYPERLINK("https://finance.yahoo.com/quote/RFMZ","RFMZ")</f>
        <v/>
      </c>
      <c r="B3765" t="inlineStr">
        <is>
          <t>RiverNorth Flexible Municipal Income Fund II, Inc.</t>
        </is>
      </c>
      <c r="C3765" t="inlineStr">
        <is>
          <t>NYSE</t>
        </is>
      </c>
      <c r="D3765" t="n">
        <v>1817159</v>
      </c>
      <c r="E3765" t="inlineStr">
        <is>
          <t>SEC</t>
        </is>
      </c>
    </row>
    <row r="3766">
      <c r="A3766" s="5">
        <f>HYPERLINK("https://finance.yahoo.com/quote/ADAC","ADAC")</f>
        <v/>
      </c>
      <c r="B3766" t="inlineStr">
        <is>
          <t>American Drive Acquisition Co</t>
        </is>
      </c>
      <c r="C3766" t="inlineStr">
        <is>
          <t>Nasdaq</t>
        </is>
      </c>
      <c r="D3766" t="n">
        <v>2083002</v>
      </c>
      <c r="E3766" t="inlineStr">
        <is>
          <t>SEC</t>
        </is>
      </c>
    </row>
    <row r="3767">
      <c r="A3767" s="5">
        <f>HYPERLINK("https://finance.yahoo.com/quote/KINS","KINS")</f>
        <v/>
      </c>
      <c r="B3767" t="inlineStr">
        <is>
          <t>KINGSTONE COMPANIES, INC.</t>
        </is>
      </c>
      <c r="C3767" t="inlineStr">
        <is>
          <t>Nasdaq</t>
        </is>
      </c>
      <c r="D3767" t="n">
        <v>33992</v>
      </c>
      <c r="E3767" t="inlineStr">
        <is>
          <t>SEC</t>
        </is>
      </c>
    </row>
    <row r="3768">
      <c r="A3768" s="5">
        <f>HYPERLINK("https://finance.yahoo.com/quote/SEG","SEG")</f>
        <v/>
      </c>
      <c r="B3768" t="inlineStr">
        <is>
          <t>Seaport Entertainment Group Inc.</t>
        </is>
      </c>
      <c r="C3768" t="inlineStr">
        <is>
          <t>NYSE</t>
        </is>
      </c>
      <c r="D3768" t="n">
        <v>2009684</v>
      </c>
      <c r="E3768" t="inlineStr">
        <is>
          <t>SEC</t>
        </is>
      </c>
    </row>
    <row r="3769">
      <c r="A3769" s="5">
        <f>HYPERLINK("https://finance.yahoo.com/quote/FUND","FUND")</f>
        <v/>
      </c>
      <c r="B3769" t="inlineStr">
        <is>
          <t>SPROTT FOCUS TRUST INC.</t>
        </is>
      </c>
      <c r="C3769" t="inlineStr">
        <is>
          <t>Nasdaq</t>
        </is>
      </c>
      <c r="D3769" t="n">
        <v>825202</v>
      </c>
      <c r="E3769" t="inlineStr">
        <is>
          <t>SEC</t>
        </is>
      </c>
    </row>
    <row r="3770">
      <c r="A3770" s="5">
        <f>HYPERLINK("https://finance.yahoo.com/quote/IRD","IRD")</f>
        <v/>
      </c>
      <c r="B3770" t="inlineStr">
        <is>
          <t>Opus Genetics, Inc.</t>
        </is>
      </c>
      <c r="C3770" t="inlineStr">
        <is>
          <t>Nasdaq</t>
        </is>
      </c>
      <c r="D3770" t="n">
        <v>1228627</v>
      </c>
      <c r="E3770" t="inlineStr">
        <is>
          <t>SEC</t>
        </is>
      </c>
    </row>
    <row r="3771">
      <c r="A3771" s="5">
        <f>HYPERLINK("https://finance.yahoo.com/quote/UCFI","UCFI")</f>
        <v/>
      </c>
      <c r="B3771" t="inlineStr">
        <is>
          <t>CN Healthy Food Tech Group Corp.</t>
        </is>
      </c>
      <c r="C3771" t="inlineStr">
        <is>
          <t>Nasdaq</t>
        </is>
      </c>
      <c r="D3771" t="n">
        <v>1901203</v>
      </c>
      <c r="E3771" t="inlineStr">
        <is>
          <t>SEC</t>
        </is>
      </c>
    </row>
    <row r="3772">
      <c r="A3772" s="5">
        <f>HYPERLINK("https://finance.yahoo.com/quote/POWW","POWW")</f>
        <v/>
      </c>
      <c r="B3772" t="inlineStr">
        <is>
          <t>Outdoor Holding Co</t>
        </is>
      </c>
      <c r="C3772" t="inlineStr">
        <is>
          <t>Nasdaq</t>
        </is>
      </c>
      <c r="D3772" t="n">
        <v>1015383</v>
      </c>
      <c r="E3772" t="inlineStr">
        <is>
          <t>SEC</t>
        </is>
      </c>
    </row>
    <row r="3773">
      <c r="A3773" s="5">
        <f>HYPERLINK("https://finance.yahoo.com/quote/SHOT","SHOT")</f>
        <v/>
      </c>
      <c r="B3773" t="inlineStr">
        <is>
          <t>RMG ML Sports Holdings</t>
        </is>
      </c>
      <c r="C3773" t="inlineStr">
        <is>
          <t>Nasdaq</t>
        </is>
      </c>
      <c r="D3773" t="n">
        <v>2104879</v>
      </c>
      <c r="E3773" t="inlineStr">
        <is>
          <t>SEC</t>
        </is>
      </c>
    </row>
    <row r="3774">
      <c r="A3774" s="5">
        <f>HYPERLINK("https://finance.yahoo.com/quote/TROO","TROO")</f>
        <v/>
      </c>
      <c r="B3774" t="inlineStr">
        <is>
          <t>Troops, Inc. /Cayman Islands/</t>
        </is>
      </c>
      <c r="C3774" t="inlineStr">
        <is>
          <t>Nasdaq</t>
        </is>
      </c>
      <c r="D3774" t="n">
        <v>1412095</v>
      </c>
      <c r="E3774" t="inlineStr">
        <is>
          <t>SEC</t>
        </is>
      </c>
    </row>
    <row r="3775">
      <c r="A3775" s="5">
        <f>HYPERLINK("https://finance.yahoo.com/quote/AGEN","AGEN")</f>
        <v/>
      </c>
      <c r="B3775" t="inlineStr">
        <is>
          <t>AGENUS INC</t>
        </is>
      </c>
      <c r="C3775" t="inlineStr">
        <is>
          <t>Nasdaq</t>
        </is>
      </c>
      <c r="D3775" t="n">
        <v>1098972</v>
      </c>
      <c r="E3775" t="inlineStr">
        <is>
          <t>SEC</t>
        </is>
      </c>
    </row>
    <row r="3776">
      <c r="A3776" s="5">
        <f>HYPERLINK("https://finance.yahoo.com/quote/HWBK","HWBK")</f>
        <v/>
      </c>
      <c r="B3776" t="inlineStr">
        <is>
          <t>HAWTHORN BANCSHARES, INC.</t>
        </is>
      </c>
      <c r="C3776" t="inlineStr">
        <is>
          <t>Nasdaq</t>
        </is>
      </c>
      <c r="D3776" t="n">
        <v>893847</v>
      </c>
      <c r="E3776" t="inlineStr">
        <is>
          <t>SEC</t>
        </is>
      </c>
    </row>
    <row r="3777">
      <c r="A3777" s="5">
        <f>HYPERLINK("https://finance.yahoo.com/quote/FRAF","FRAF")</f>
        <v/>
      </c>
      <c r="B3777" t="inlineStr">
        <is>
          <t>FRANKLIN FINANCIAL SERVICES CORP /PA/</t>
        </is>
      </c>
      <c r="C3777" t="inlineStr">
        <is>
          <t>Nasdaq</t>
        </is>
      </c>
      <c r="D3777" t="n">
        <v>723646</v>
      </c>
      <c r="E3777" t="inlineStr">
        <is>
          <t>SEC</t>
        </is>
      </c>
    </row>
    <row r="3778">
      <c r="A3778" s="5">
        <f>HYPERLINK("https://finance.yahoo.com/quote/GOGO","GOGO")</f>
        <v/>
      </c>
      <c r="B3778" t="inlineStr">
        <is>
          <t>Gogo Inc.</t>
        </is>
      </c>
      <c r="C3778" t="inlineStr">
        <is>
          <t>Nasdaq</t>
        </is>
      </c>
      <c r="D3778" t="n">
        <v>1537054</v>
      </c>
      <c r="E3778" t="inlineStr">
        <is>
          <t>SEC</t>
        </is>
      </c>
    </row>
    <row r="3779">
      <c r="A3779" s="5">
        <f>HYPERLINK("https://finance.yahoo.com/quote/TEI","TEI")</f>
        <v/>
      </c>
      <c r="B3779" t="inlineStr">
        <is>
          <t>TEMPLETON EMERGING MARKETS INCOME FUND</t>
        </is>
      </c>
      <c r="C3779" t="inlineStr">
        <is>
          <t>NYSE</t>
        </is>
      </c>
      <c r="D3779" t="n">
        <v>909112</v>
      </c>
      <c r="E3779" t="inlineStr">
        <is>
          <t>SEC</t>
        </is>
      </c>
    </row>
    <row r="3780">
      <c r="A3780" s="5">
        <f>HYPERLINK("https://finance.yahoo.com/quote/KWY","KWY")</f>
        <v/>
      </c>
      <c r="B3780" t="inlineStr">
        <is>
          <t>KINGSWAY Corp</t>
        </is>
      </c>
      <c r="C3780" t="inlineStr">
        <is>
          <t>NYSE</t>
        </is>
      </c>
      <c r="D3780" t="n">
        <v>1072627</v>
      </c>
      <c r="E3780" t="inlineStr">
        <is>
          <t>SEC</t>
        </is>
      </c>
    </row>
    <row r="3781">
      <c r="A3781" s="5">
        <f>HYPERLINK("https://finance.yahoo.com/quote/CUB","CUB")</f>
        <v/>
      </c>
      <c r="B3781" t="inlineStr">
        <is>
          <t>Lionheart Holdings</t>
        </is>
      </c>
      <c r="C3781" t="inlineStr">
        <is>
          <t>Nasdaq</t>
        </is>
      </c>
      <c r="D3781" t="n">
        <v>2015955</v>
      </c>
      <c r="E3781" t="inlineStr">
        <is>
          <t>SEC</t>
        </is>
      </c>
    </row>
    <row r="3782">
      <c r="A3782" s="5">
        <f>HYPERLINK("https://finance.yahoo.com/quote/IHRT","IHRT")</f>
        <v/>
      </c>
      <c r="B3782" t="inlineStr">
        <is>
          <t>iHeartMedia, Inc.</t>
        </is>
      </c>
      <c r="C3782" t="inlineStr">
        <is>
          <t>Nasdaq</t>
        </is>
      </c>
      <c r="D3782" t="n">
        <v>1400891</v>
      </c>
      <c r="E3782" t="inlineStr">
        <is>
          <t>SEC</t>
        </is>
      </c>
    </row>
    <row r="3783">
      <c r="A3783" s="5">
        <f>HYPERLINK("https://finance.yahoo.com/quote/QNBC","QNBC")</f>
        <v/>
      </c>
      <c r="B3783" t="inlineStr">
        <is>
          <t>QNB CORP.</t>
        </is>
      </c>
      <c r="C3783" t="inlineStr">
        <is>
          <t>Nasdaq</t>
        </is>
      </c>
      <c r="D3783" t="n">
        <v>750558</v>
      </c>
      <c r="E3783" t="inlineStr">
        <is>
          <t>SEC</t>
        </is>
      </c>
    </row>
    <row r="3784">
      <c r="A3784" s="5">
        <f>HYPERLINK("https://finance.yahoo.com/quote/GEVO","GEVO")</f>
        <v/>
      </c>
      <c r="B3784" t="inlineStr">
        <is>
          <t>Gevo, Inc.</t>
        </is>
      </c>
      <c r="C3784" t="inlineStr">
        <is>
          <t>Nasdaq</t>
        </is>
      </c>
      <c r="D3784" t="n">
        <v>1392380</v>
      </c>
      <c r="E3784" t="inlineStr">
        <is>
          <t>SEC</t>
        </is>
      </c>
    </row>
    <row r="3785">
      <c r="A3785" s="5">
        <f>HYPERLINK("https://finance.yahoo.com/quote/OVLY","OVLY")</f>
        <v/>
      </c>
      <c r="B3785" t="inlineStr">
        <is>
          <t>Oak Valley Bancorp</t>
        </is>
      </c>
      <c r="C3785" t="inlineStr">
        <is>
          <t>Nasdaq</t>
        </is>
      </c>
      <c r="D3785" t="n">
        <v>1431567</v>
      </c>
      <c r="E3785" t="inlineStr">
        <is>
          <t>SEC</t>
        </is>
      </c>
    </row>
    <row r="3786">
      <c r="A3786" s="5">
        <f>HYPERLINK("https://finance.yahoo.com/quote/ARCT","ARCT")</f>
        <v/>
      </c>
      <c r="B3786" t="inlineStr">
        <is>
          <t>Arcturus Therapeutics Holdings Inc.</t>
        </is>
      </c>
      <c r="C3786" t="inlineStr">
        <is>
          <t>Nasdaq</t>
        </is>
      </c>
      <c r="D3786" t="n">
        <v>1768224</v>
      </c>
      <c r="E3786" t="inlineStr">
        <is>
          <t>SEC</t>
        </is>
      </c>
    </row>
    <row r="3787">
      <c r="A3787" s="5">
        <f>HYPERLINK("https://finance.yahoo.com/quote/ATLQ","ATLQ")</f>
        <v/>
      </c>
      <c r="B3787" t="inlineStr">
        <is>
          <t>JAB Acquisition Corp I</t>
        </is>
      </c>
      <c r="C3787" t="inlineStr">
        <is>
          <t>Nasdaq</t>
        </is>
      </c>
      <c r="D3787" t="n">
        <v>2128739</v>
      </c>
      <c r="E3787" t="inlineStr">
        <is>
          <t>SEC</t>
        </is>
      </c>
    </row>
    <row r="3788">
      <c r="A3788" s="5">
        <f>HYPERLINK("https://finance.yahoo.com/quote/SVIA","SVIA")</f>
        <v/>
      </c>
      <c r="B3788" t="inlineStr">
        <is>
          <t>Silvia, Inc.</t>
        </is>
      </c>
      <c r="C3788" t="inlineStr">
        <is>
          <t>Nasdaq</t>
        </is>
      </c>
      <c r="D3788" t="n">
        <v>2076163</v>
      </c>
      <c r="E3788" t="inlineStr">
        <is>
          <t>SEC</t>
        </is>
      </c>
    </row>
    <row r="3789">
      <c r="A3789" s="5">
        <f>HYPERLINK("https://finance.yahoo.com/quote/ANIK","ANIK")</f>
        <v/>
      </c>
      <c r="B3789" t="inlineStr">
        <is>
          <t>Anika Therapeutics, Inc.</t>
        </is>
      </c>
      <c r="C3789" t="inlineStr">
        <is>
          <t>Nasdaq</t>
        </is>
      </c>
      <c r="D3789" t="n">
        <v>898437</v>
      </c>
      <c r="E3789" t="inlineStr">
        <is>
          <t>SEC</t>
        </is>
      </c>
    </row>
    <row r="3790">
      <c r="A3790" s="5">
        <f>HYPERLINK("https://finance.yahoo.com/quote/ELLO","ELLO")</f>
        <v/>
      </c>
      <c r="B3790" t="inlineStr">
        <is>
          <t>Ellomay Capital Ltd.</t>
        </is>
      </c>
      <c r="C3790" t="inlineStr">
        <is>
          <t>NYSE</t>
        </is>
      </c>
      <c r="D3790" t="n">
        <v>946394</v>
      </c>
      <c r="E3790" t="inlineStr">
        <is>
          <t>SEC</t>
        </is>
      </c>
    </row>
    <row r="3791">
      <c r="A3791" s="5">
        <f>HYPERLINK("https://finance.yahoo.com/quote/CVEO","CVEO")</f>
        <v/>
      </c>
      <c r="B3791" t="inlineStr">
        <is>
          <t>Civeo Corp</t>
        </is>
      </c>
      <c r="C3791" t="inlineStr">
        <is>
          <t>NYSE</t>
        </is>
      </c>
      <c r="D3791" t="n">
        <v>1590584</v>
      </c>
      <c r="E3791" t="inlineStr">
        <is>
          <t>SEC</t>
        </is>
      </c>
    </row>
    <row r="3792">
      <c r="A3792" s="5">
        <f>HYPERLINK("https://finance.yahoo.com/quote/MPTI","MPTI")</f>
        <v/>
      </c>
      <c r="B3792" t="inlineStr">
        <is>
          <t>M-tron Industries, Inc.</t>
        </is>
      </c>
      <c r="C3792" t="inlineStr">
        <is>
          <t>NYSE</t>
        </is>
      </c>
      <c r="D3792" t="n">
        <v>1902314</v>
      </c>
      <c r="E3792" t="inlineStr">
        <is>
          <t>SEC</t>
        </is>
      </c>
    </row>
    <row r="3793">
      <c r="A3793" s="5">
        <f>HYPERLINK("https://finance.yahoo.com/quote/OSUR","OSUR")</f>
        <v/>
      </c>
      <c r="B3793" t="inlineStr">
        <is>
          <t>ORASURE TECHNOLOGIES INC</t>
        </is>
      </c>
      <c r="C3793" t="inlineStr">
        <is>
          <t>Nasdaq</t>
        </is>
      </c>
      <c r="D3793" t="n">
        <v>1116463</v>
      </c>
      <c r="E3793" t="inlineStr">
        <is>
          <t>SEC</t>
        </is>
      </c>
    </row>
    <row r="3794">
      <c r="A3794" s="5">
        <f>HYPERLINK("https://finance.yahoo.com/quote/TVAI","TVAI")</f>
        <v/>
      </c>
      <c r="B3794" t="inlineStr">
        <is>
          <t>Thayer Ventures Acquisition Corp II</t>
        </is>
      </c>
      <c r="C3794" t="inlineStr">
        <is>
          <t>Nasdaq</t>
        </is>
      </c>
      <c r="D3794" t="n">
        <v>1872228</v>
      </c>
      <c r="E3794" t="inlineStr">
        <is>
          <t>SEC</t>
        </is>
      </c>
    </row>
    <row r="3795">
      <c r="A3795" s="5">
        <f>HYPERLINK("https://finance.yahoo.com/quote/ZH","ZH")</f>
        <v/>
      </c>
      <c r="B3795" t="inlineStr">
        <is>
          <t>Zhihu Inc.</t>
        </is>
      </c>
      <c r="C3795" t="inlineStr">
        <is>
          <t>NYSE</t>
        </is>
      </c>
      <c r="D3795" t="n">
        <v>1835724</v>
      </c>
      <c r="E3795" t="inlineStr">
        <is>
          <t>SEC</t>
        </is>
      </c>
    </row>
    <row r="3796">
      <c r="A3796" s="5">
        <f>HYPERLINK("https://finance.yahoo.com/quote/AXIN","AXIN")</f>
        <v/>
      </c>
      <c r="B3796" t="inlineStr">
        <is>
          <t>Axiom Intelligence Acquisition Corp 1</t>
        </is>
      </c>
      <c r="C3796" t="inlineStr">
        <is>
          <t>Nasdaq</t>
        </is>
      </c>
      <c r="D3796" t="n">
        <v>2057030</v>
      </c>
      <c r="E3796" t="inlineStr">
        <is>
          <t>SEC</t>
        </is>
      </c>
    </row>
    <row r="3797">
      <c r="A3797" s="5">
        <f>HYPERLINK("https://finance.yahoo.com/quote/MLP","MLP")</f>
        <v/>
      </c>
      <c r="B3797" t="inlineStr">
        <is>
          <t>MAUI LAND &amp; PINEAPPLE CO INC</t>
        </is>
      </c>
      <c r="C3797" t="inlineStr">
        <is>
          <t>NYSE</t>
        </is>
      </c>
      <c r="D3797" t="n">
        <v>63330</v>
      </c>
      <c r="E3797" t="inlineStr">
        <is>
          <t>SEC</t>
        </is>
      </c>
    </row>
    <row r="3798">
      <c r="A3798" s="5">
        <f>HYPERLINK("https://finance.yahoo.com/quote/WLCO","WLCO")</f>
        <v/>
      </c>
      <c r="B3798" t="inlineStr">
        <is>
          <t>Wilco 63 Corp</t>
        </is>
      </c>
      <c r="C3798" t="inlineStr">
        <is>
          <t>Nasdaq</t>
        </is>
      </c>
      <c r="D3798" t="n">
        <v>2101470</v>
      </c>
      <c r="E3798" t="inlineStr">
        <is>
          <t>SEC</t>
        </is>
      </c>
    </row>
    <row r="3799">
      <c r="A3799" s="5">
        <f>HYPERLINK("https://finance.yahoo.com/quote/XCBE","XCBE")</f>
        <v/>
      </c>
      <c r="B3799" t="inlineStr">
        <is>
          <t>X3 Acquisition Corp. Ltd.</t>
        </is>
      </c>
      <c r="C3799" t="inlineStr">
        <is>
          <t>Nasdaq</t>
        </is>
      </c>
      <c r="D3799" t="n">
        <v>2083493</v>
      </c>
      <c r="E3799" t="inlineStr">
        <is>
          <t>SEC</t>
        </is>
      </c>
    </row>
    <row r="3800">
      <c r="A3800" s="5">
        <f>HYPERLINK("https://finance.yahoo.com/quote/SAMO","SAMO")</f>
        <v/>
      </c>
      <c r="B3800" t="inlineStr">
        <is>
          <t>Samos Energy Acquisition Corp</t>
        </is>
      </c>
      <c r="C3800" t="inlineStr">
        <is>
          <t>NYSE</t>
        </is>
      </c>
      <c r="D3800" t="n">
        <v>2125567</v>
      </c>
      <c r="E3800" t="inlineStr">
        <is>
          <t>SEC</t>
        </is>
      </c>
    </row>
    <row r="3801">
      <c r="A3801" s="5">
        <f>HYPERLINK("https://finance.yahoo.com/quote/TBI","TBI")</f>
        <v/>
      </c>
      <c r="B3801" t="inlineStr">
        <is>
          <t>TrueBlue, Inc.</t>
        </is>
      </c>
      <c r="C3801" t="inlineStr">
        <is>
          <t>NYSE</t>
        </is>
      </c>
      <c r="D3801" t="n">
        <v>768899</v>
      </c>
      <c r="E3801" t="inlineStr">
        <is>
          <t>SEC</t>
        </is>
      </c>
    </row>
    <row r="3802">
      <c r="A3802" s="5">
        <f>HYPERLINK("https://finance.yahoo.com/quote/PAII","PAII")</f>
        <v/>
      </c>
      <c r="B3802" t="inlineStr">
        <is>
          <t>Pyrophyte Acquisition Corp. II</t>
        </is>
      </c>
      <c r="C3802" t="inlineStr">
        <is>
          <t>NYSE</t>
        </is>
      </c>
      <c r="D3802" t="n">
        <v>2069238</v>
      </c>
      <c r="E3802" t="inlineStr">
        <is>
          <t>SEC</t>
        </is>
      </c>
    </row>
    <row r="3803">
      <c r="A3803" s="5">
        <f>HYPERLINK("https://finance.yahoo.com/quote/LCNB","LCNB")</f>
        <v/>
      </c>
      <c r="B3803" t="inlineStr">
        <is>
          <t>LCNB CORP</t>
        </is>
      </c>
      <c r="C3803" t="inlineStr">
        <is>
          <t>Nasdaq</t>
        </is>
      </c>
      <c r="D3803" t="n">
        <v>1074902</v>
      </c>
      <c r="E3803" t="inlineStr">
        <is>
          <t>SEC</t>
        </is>
      </c>
    </row>
    <row r="3804">
      <c r="A3804" s="5">
        <f>HYPERLINK("https://finance.yahoo.com/quote/LE","LE")</f>
        <v/>
      </c>
      <c r="B3804" t="inlineStr">
        <is>
          <t>LANDS' END, INC.</t>
        </is>
      </c>
      <c r="C3804" t="inlineStr">
        <is>
          <t>Nasdaq</t>
        </is>
      </c>
      <c r="D3804" t="n">
        <v>799288</v>
      </c>
      <c r="E3804" t="inlineStr">
        <is>
          <t>SEC</t>
        </is>
      </c>
    </row>
    <row r="3805">
      <c r="A3805" s="5">
        <f>HYPERLINK("https://finance.yahoo.com/quote/BSAI","BSAI")</f>
        <v/>
      </c>
      <c r="B3805" t="inlineStr">
        <is>
          <t>BLUSKY AI INC.</t>
        </is>
      </c>
      <c r="C3805" t="inlineStr">
        <is>
          <t>OTC</t>
        </is>
      </c>
      <c r="D3805" t="n">
        <v>1416090</v>
      </c>
      <c r="E3805" t="inlineStr">
        <is>
          <t>SEC</t>
        </is>
      </c>
    </row>
    <row r="3806">
      <c r="A3806" s="5">
        <f>HYPERLINK("https://finance.yahoo.com/quote/FULC","FULC")</f>
        <v/>
      </c>
      <c r="B3806" t="inlineStr">
        <is>
          <t>Fulcrum Therapeutics, Inc.</t>
        </is>
      </c>
      <c r="C3806" t="inlineStr">
        <is>
          <t>Nasdaq</t>
        </is>
      </c>
      <c r="D3806" t="n">
        <v>1680581</v>
      </c>
      <c r="E3806" t="inlineStr">
        <is>
          <t>SEC</t>
        </is>
      </c>
    </row>
    <row r="3807">
      <c r="A3807" s="5">
        <f>HYPERLINK("https://finance.yahoo.com/quote/ALTO","ALTO")</f>
        <v/>
      </c>
      <c r="B3807" t="inlineStr">
        <is>
          <t>Alto Ingredients, Inc.</t>
        </is>
      </c>
      <c r="C3807" t="inlineStr">
        <is>
          <t>Nasdaq</t>
        </is>
      </c>
      <c r="D3807" t="n">
        <v>778164</v>
      </c>
      <c r="E3807" t="inlineStr">
        <is>
          <t>SEC</t>
        </is>
      </c>
    </row>
    <row r="3808">
      <c r="A3808" s="5">
        <f>HYPERLINK("https://finance.yahoo.com/quote/ISNR","ISNR")</f>
        <v/>
      </c>
      <c r="B3808" t="inlineStr">
        <is>
          <t>Snow Rothschild Acquisition Corp.</t>
        </is>
      </c>
      <c r="C3808" t="inlineStr">
        <is>
          <t>Nasdaq</t>
        </is>
      </c>
      <c r="D3808" t="n">
        <v>2123475</v>
      </c>
      <c r="E3808" t="inlineStr">
        <is>
          <t>SEC</t>
        </is>
      </c>
    </row>
    <row r="3809">
      <c r="A3809" s="5">
        <f>HYPERLINK("https://finance.yahoo.com/quote/HPF","HPF")</f>
        <v/>
      </c>
      <c r="B3809" t="inlineStr">
        <is>
          <t>JOHN HANCOCK PREFERRED INCOME FUND II</t>
        </is>
      </c>
      <c r="C3809" t="inlineStr">
        <is>
          <t>NYSE</t>
        </is>
      </c>
      <c r="D3809" t="n">
        <v>1189740</v>
      </c>
      <c r="E3809" t="inlineStr">
        <is>
          <t>SEC</t>
        </is>
      </c>
    </row>
    <row r="3810">
      <c r="A3810" s="5">
        <f>HYPERLINK("https://finance.yahoo.com/quote/BSCL","BSCL")</f>
        <v/>
      </c>
      <c r="B3810" t="inlineStr">
        <is>
          <t>BILI Social International, Inc.</t>
        </is>
      </c>
      <c r="C3810" t="inlineStr">
        <is>
          <t>OTC</t>
        </is>
      </c>
      <c r="D3810" t="n">
        <v>1109262</v>
      </c>
      <c r="E3810" t="inlineStr">
        <is>
          <t>SEC</t>
        </is>
      </c>
    </row>
    <row r="3811">
      <c r="A3811" s="5">
        <f>HYPERLINK("https://finance.yahoo.com/quote/GLOO","GLOO")</f>
        <v/>
      </c>
      <c r="B3811" t="inlineStr">
        <is>
          <t>Gloo Holdings, Inc.</t>
        </is>
      </c>
      <c r="C3811" t="inlineStr">
        <is>
          <t>Nasdaq</t>
        </is>
      </c>
      <c r="D3811" t="n">
        <v>2069785</v>
      </c>
      <c r="E3811" t="inlineStr">
        <is>
          <t>SEC</t>
        </is>
      </c>
    </row>
    <row r="3812">
      <c r="A3812" s="5">
        <f>HYPERLINK("https://finance.yahoo.com/quote/CLPT","CLPT")</f>
        <v/>
      </c>
      <c r="B3812" t="inlineStr">
        <is>
          <t>ClearPoint Neuro, Inc.</t>
        </is>
      </c>
      <c r="C3812" t="inlineStr">
        <is>
          <t>Nasdaq</t>
        </is>
      </c>
      <c r="D3812" t="n">
        <v>1285550</v>
      </c>
      <c r="E3812" t="inlineStr">
        <is>
          <t>SEC</t>
        </is>
      </c>
    </row>
    <row r="3813">
      <c r="A3813" s="5">
        <f>HYPERLINK("https://finance.yahoo.com/quote/XSLL","XSLL")</f>
        <v/>
      </c>
      <c r="B3813" t="inlineStr">
        <is>
          <t>Xsolla SPAC 1</t>
        </is>
      </c>
      <c r="C3813" t="inlineStr">
        <is>
          <t>Nasdaq</t>
        </is>
      </c>
      <c r="D3813" t="n">
        <v>2088807</v>
      </c>
      <c r="E3813" t="inlineStr">
        <is>
          <t>SEC</t>
        </is>
      </c>
    </row>
    <row r="3814">
      <c r="A3814" s="5">
        <f>HYPERLINK("https://finance.yahoo.com/quote/WNEB","WNEB")</f>
        <v/>
      </c>
      <c r="B3814" t="inlineStr">
        <is>
          <t>Western New England Bancorp, Inc.</t>
        </is>
      </c>
      <c r="C3814" t="inlineStr">
        <is>
          <t>Nasdaq</t>
        </is>
      </c>
      <c r="D3814" t="n">
        <v>1157647</v>
      </c>
      <c r="E3814" t="inlineStr">
        <is>
          <t>SEC</t>
        </is>
      </c>
    </row>
    <row r="3815">
      <c r="A3815" s="5">
        <f>HYPERLINK("https://finance.yahoo.com/quote/MTAK","MTAK")</f>
        <v/>
      </c>
      <c r="B3815" t="inlineStr">
        <is>
          <t>Market Technology Acquisition Corp</t>
        </is>
      </c>
      <c r="C3815" t="inlineStr">
        <is>
          <t>Nasdaq</t>
        </is>
      </c>
      <c r="D3815" t="n">
        <v>2133136</v>
      </c>
      <c r="E3815" t="inlineStr">
        <is>
          <t>SEC</t>
        </is>
      </c>
    </row>
    <row r="3816">
      <c r="A3816" s="5">
        <f>HYPERLINK("https://finance.yahoo.com/quote/IMXI","IMXI")</f>
        <v/>
      </c>
      <c r="B3816" t="inlineStr">
        <is>
          <t>International Money Express, Inc.</t>
        </is>
      </c>
      <c r="C3816" t="inlineStr">
        <is>
          <t>Nasdaq</t>
        </is>
      </c>
      <c r="D3816" t="n">
        <v>1683695</v>
      </c>
      <c r="E3816" t="inlineStr">
        <is>
          <t>SEC</t>
        </is>
      </c>
    </row>
    <row r="3817">
      <c r="A3817" s="5">
        <f>HYPERLINK("https://finance.yahoo.com/quote/BFNH","BFNH")</f>
        <v/>
      </c>
      <c r="B3817" t="inlineStr">
        <is>
          <t>BIOFORCE NANOSCIENCES HOLDINGS, INC.</t>
        </is>
      </c>
      <c r="C3817" t="inlineStr">
        <is>
          <t>OTC</t>
        </is>
      </c>
      <c r="D3817" t="n">
        <v>1310488</v>
      </c>
      <c r="E3817" t="inlineStr">
        <is>
          <t>SEC</t>
        </is>
      </c>
    </row>
    <row r="3818">
      <c r="A3818" s="5">
        <f>HYPERLINK("https://finance.yahoo.com/quote/NHIV","NHIV")</f>
        <v/>
      </c>
      <c r="B3818" t="inlineStr">
        <is>
          <t>NewHold Investment Corp IV</t>
        </is>
      </c>
      <c r="C3818" t="inlineStr">
        <is>
          <t>Nasdaq</t>
        </is>
      </c>
      <c r="D3818" t="n">
        <v>2099767</v>
      </c>
      <c r="E3818" t="inlineStr">
        <is>
          <t>SEC</t>
        </is>
      </c>
    </row>
    <row r="3819">
      <c r="A3819" s="5">
        <f>HYPERLINK("https://finance.yahoo.com/quote/AUDC","AUDC")</f>
        <v/>
      </c>
      <c r="B3819" t="inlineStr">
        <is>
          <t>AUDIOCODES LTD</t>
        </is>
      </c>
      <c r="C3819" t="inlineStr">
        <is>
          <t>Nasdaq</t>
        </is>
      </c>
      <c r="D3819" t="n">
        <v>1086434</v>
      </c>
      <c r="E3819" t="inlineStr">
        <is>
          <t>SEC</t>
        </is>
      </c>
    </row>
    <row r="3820">
      <c r="A3820" s="5">
        <f>HYPERLINK("https://finance.yahoo.com/quote/INFU","INFU")</f>
        <v/>
      </c>
      <c r="B3820" t="inlineStr">
        <is>
          <t>InfuSystem Holdings, Inc</t>
        </is>
      </c>
      <c r="C3820" t="inlineStr">
        <is>
          <t>NYSE</t>
        </is>
      </c>
      <c r="D3820" t="n">
        <v>1337013</v>
      </c>
      <c r="E3820" t="inlineStr">
        <is>
          <t>SEC</t>
        </is>
      </c>
    </row>
    <row r="3821">
      <c r="A3821" s="5">
        <f>HYPERLINK("https://finance.yahoo.com/quote/OIA","OIA")</f>
        <v/>
      </c>
      <c r="B3821" t="inlineStr">
        <is>
          <t>Invesco Municipal Income Opportunities Trust</t>
        </is>
      </c>
      <c r="C3821" t="inlineStr">
        <is>
          <t>NYSE</t>
        </is>
      </c>
      <c r="D3821" t="n">
        <v>835333</v>
      </c>
      <c r="E3821" t="inlineStr">
        <is>
          <t>SEC</t>
        </is>
      </c>
    </row>
    <row r="3822">
      <c r="A3822" s="5">
        <f>HYPERLINK("https://finance.yahoo.com/quote/RFI","RFI")</f>
        <v/>
      </c>
      <c r="B3822" t="inlineStr">
        <is>
          <t>COHEN &amp; STEERS TOTAL RETURN REALTY FUND INC</t>
        </is>
      </c>
      <c r="C3822" t="inlineStr">
        <is>
          <t>NYSE</t>
        </is>
      </c>
      <c r="D3822" t="n">
        <v>891290</v>
      </c>
      <c r="E3822" t="inlineStr">
        <is>
          <t>SEC</t>
        </is>
      </c>
    </row>
    <row r="3823">
      <c r="A3823" s="5">
        <f>HYPERLINK("https://finance.yahoo.com/quote/MTRX","MTRX")</f>
        <v/>
      </c>
      <c r="B3823" t="inlineStr">
        <is>
          <t>MATRIX SERVICE CO</t>
        </is>
      </c>
      <c r="C3823" t="inlineStr">
        <is>
          <t>Nasdaq</t>
        </is>
      </c>
      <c r="D3823" t="n">
        <v>866273</v>
      </c>
      <c r="E3823" t="inlineStr">
        <is>
          <t>SEC</t>
        </is>
      </c>
    </row>
    <row r="3824">
      <c r="A3824" s="5">
        <f>HYPERLINK("https://finance.yahoo.com/quote/CEPO","CEPO")</f>
        <v/>
      </c>
      <c r="B3824" t="inlineStr">
        <is>
          <t>Cantor Equity Partners I, Inc.</t>
        </is>
      </c>
      <c r="C3824" t="inlineStr">
        <is>
          <t>Nasdaq</t>
        </is>
      </c>
      <c r="D3824" t="n">
        <v>2027708</v>
      </c>
      <c r="E3824" t="inlineStr">
        <is>
          <t>SEC</t>
        </is>
      </c>
    </row>
    <row r="3825">
      <c r="A3825" s="5">
        <f>HYPERLINK("https://finance.yahoo.com/quote/PC","PC")</f>
        <v/>
      </c>
      <c r="B3825" t="inlineStr">
        <is>
          <t>Premium Catering (Holdings) Ltd</t>
        </is>
      </c>
      <c r="C3825" t="inlineStr">
        <is>
          <t>Nasdaq</t>
        </is>
      </c>
      <c r="D3825" t="n">
        <v>1998056</v>
      </c>
      <c r="E3825" t="inlineStr">
        <is>
          <t>SEC</t>
        </is>
      </c>
    </row>
    <row r="3826">
      <c r="A3826" s="5">
        <f>HYPERLINK("https://finance.yahoo.com/quote/BLND","BLND")</f>
        <v/>
      </c>
      <c r="B3826" t="inlineStr">
        <is>
          <t>Blend Labs, Inc.</t>
        </is>
      </c>
      <c r="C3826" t="inlineStr">
        <is>
          <t>NYSE</t>
        </is>
      </c>
      <c r="D3826" t="n">
        <v>1855747</v>
      </c>
      <c r="E3826" t="inlineStr">
        <is>
          <t>SEC</t>
        </is>
      </c>
    </row>
    <row r="3827">
      <c r="A3827" s="5">
        <f>HYPERLINK("https://finance.yahoo.com/quote/ALCO","ALCO")</f>
        <v/>
      </c>
      <c r="B3827" t="inlineStr">
        <is>
          <t>ALICO, INC.</t>
        </is>
      </c>
      <c r="C3827" t="inlineStr">
        <is>
          <t>Nasdaq</t>
        </is>
      </c>
      <c r="D3827" t="n">
        <v>3545</v>
      </c>
      <c r="E3827" t="inlineStr">
        <is>
          <t>SEC</t>
        </is>
      </c>
    </row>
    <row r="3828">
      <c r="A3828" s="5">
        <f>HYPERLINK("https://finance.yahoo.com/quote/ARDC","ARDC")</f>
        <v/>
      </c>
      <c r="B3828" t="inlineStr">
        <is>
          <t>Ares Dynamic Credit Allocation Fund, Inc.</t>
        </is>
      </c>
      <c r="C3828" t="inlineStr">
        <is>
          <t>NYSE</t>
        </is>
      </c>
      <c r="D3828" t="n">
        <v>1515324</v>
      </c>
      <c r="E3828" t="inlineStr">
        <is>
          <t>SEC</t>
        </is>
      </c>
    </row>
    <row r="3829">
      <c r="A3829" s="5">
        <f>HYPERLINK("https://finance.yahoo.com/quote/MUZE","MUZE")</f>
        <v/>
      </c>
      <c r="B3829" t="inlineStr">
        <is>
          <t>Muzero Acquisition Corp</t>
        </is>
      </c>
      <c r="C3829" t="inlineStr">
        <is>
          <t>Nasdaq</t>
        </is>
      </c>
      <c r="D3829" t="n">
        <v>2093484</v>
      </c>
      <c r="E3829" t="inlineStr">
        <is>
          <t>SEC</t>
        </is>
      </c>
    </row>
    <row r="3830">
      <c r="A3830" s="5">
        <f>HYPERLINK("https://finance.yahoo.com/quote/SUPX","SUPX")</f>
        <v/>
      </c>
      <c r="B3830" t="inlineStr">
        <is>
          <t>SuperX AI Technology Ltd</t>
        </is>
      </c>
      <c r="C3830" t="inlineStr">
        <is>
          <t>Nasdaq</t>
        </is>
      </c>
      <c r="D3830" t="n">
        <v>1897087</v>
      </c>
      <c r="E3830" t="inlineStr">
        <is>
          <t>SEC</t>
        </is>
      </c>
    </row>
    <row r="3831">
      <c r="A3831" s="5">
        <f>HYPERLINK("https://finance.yahoo.com/quote/FNRN","FNRN")</f>
        <v/>
      </c>
      <c r="B3831" t="inlineStr">
        <is>
          <t>FIRST NORTHERN COMMUNITY BANCORP</t>
        </is>
      </c>
      <c r="C3831" t="inlineStr">
        <is>
          <t>Nasdaq</t>
        </is>
      </c>
      <c r="D3831" t="n">
        <v>1114927</v>
      </c>
      <c r="E3831" t="inlineStr">
        <is>
          <t>SEC</t>
        </is>
      </c>
    </row>
    <row r="3832">
      <c r="A3832" s="5">
        <f>HYPERLINK("https://finance.yahoo.com/quote/OPI","OPI")</f>
        <v/>
      </c>
      <c r="B3832" t="inlineStr">
        <is>
          <t>OFFICE PROPERTIES INCOME TRUST</t>
        </is>
      </c>
      <c r="C3832" t="inlineStr">
        <is>
          <t>Nasdaq</t>
        </is>
      </c>
      <c r="D3832" t="n">
        <v>1456772</v>
      </c>
      <c r="E3832" t="inlineStr">
        <is>
          <t>SEC</t>
        </is>
      </c>
    </row>
    <row r="3833">
      <c r="A3833" s="5">
        <f>HYPERLINK("https://finance.yahoo.com/quote/TMCI","TMCI")</f>
        <v/>
      </c>
      <c r="B3833" t="inlineStr">
        <is>
          <t>TREACE MEDICAL CONCEPTS, INC.</t>
        </is>
      </c>
      <c r="C3833" t="inlineStr">
        <is>
          <t>Nasdaq</t>
        </is>
      </c>
      <c r="D3833" t="n">
        <v>1630627</v>
      </c>
      <c r="E3833" t="inlineStr">
        <is>
          <t>SEC</t>
        </is>
      </c>
    </row>
    <row r="3834">
      <c r="A3834" s="5">
        <f>HYPERLINK("https://finance.yahoo.com/quote/FXNC","FXNC")</f>
        <v/>
      </c>
      <c r="B3834" t="inlineStr">
        <is>
          <t>FIRST NATIONAL CORP /VA/</t>
        </is>
      </c>
      <c r="C3834" t="inlineStr">
        <is>
          <t>Nasdaq</t>
        </is>
      </c>
      <c r="D3834" t="n">
        <v>719402</v>
      </c>
      <c r="E3834" t="inlineStr">
        <is>
          <t>SEC</t>
        </is>
      </c>
    </row>
    <row r="3835">
      <c r="A3835" s="5">
        <f>HYPERLINK("https://finance.yahoo.com/quote/LTRX","LTRX")</f>
        <v/>
      </c>
      <c r="B3835" t="inlineStr">
        <is>
          <t>LANTRONIX INC</t>
        </is>
      </c>
      <c r="C3835" t="inlineStr">
        <is>
          <t>Nasdaq</t>
        </is>
      </c>
      <c r="D3835" t="n">
        <v>1114925</v>
      </c>
      <c r="E3835" t="inlineStr">
        <is>
          <t>SEC</t>
        </is>
      </c>
    </row>
    <row r="3836">
      <c r="A3836" s="5">
        <f>HYPERLINK("https://finance.yahoo.com/quote/OPTX","OPTX")</f>
        <v/>
      </c>
      <c r="B3836" t="inlineStr">
        <is>
          <t>SYNTEC OPTICS HOLDINGS, INC.</t>
        </is>
      </c>
      <c r="C3836" t="inlineStr">
        <is>
          <t>Nasdaq</t>
        </is>
      </c>
      <c r="D3836" t="n">
        <v>1866816</v>
      </c>
      <c r="E3836" t="inlineStr">
        <is>
          <t>SEC</t>
        </is>
      </c>
    </row>
    <row r="3837">
      <c r="A3837" s="5">
        <f>HYPERLINK("https://finance.yahoo.com/quote/DNMX","DNMX")</f>
        <v/>
      </c>
      <c r="B3837" t="inlineStr">
        <is>
          <t>Dynamix Corp III</t>
        </is>
      </c>
      <c r="C3837" t="inlineStr">
        <is>
          <t>Nasdaq</t>
        </is>
      </c>
      <c r="D3837" t="n">
        <v>2081125</v>
      </c>
      <c r="E3837" t="inlineStr">
        <is>
          <t>SEC</t>
        </is>
      </c>
    </row>
    <row r="3838">
      <c r="A3838" s="5">
        <f>HYPERLINK("https://finance.yahoo.com/quote/BRCC","BRCC")</f>
        <v/>
      </c>
      <c r="B3838" t="inlineStr">
        <is>
          <t>BRC Inc.</t>
        </is>
      </c>
      <c r="C3838" t="inlineStr">
        <is>
          <t>NYSE</t>
        </is>
      </c>
      <c r="D3838" t="n">
        <v>1891101</v>
      </c>
      <c r="E3838" t="inlineStr">
        <is>
          <t>SEC</t>
        </is>
      </c>
    </row>
    <row r="3839">
      <c r="A3839" s="5">
        <f>HYPERLINK("https://finance.yahoo.com/quote/RWAY","RWAY")</f>
        <v/>
      </c>
      <c r="B3839" t="inlineStr">
        <is>
          <t>Runway Growth Finance Corp.</t>
        </is>
      </c>
      <c r="C3839" t="inlineStr">
        <is>
          <t>Nasdaq</t>
        </is>
      </c>
      <c r="D3839" t="n">
        <v>1653384</v>
      </c>
      <c r="E3839" t="inlineStr">
        <is>
          <t>SEC</t>
        </is>
      </c>
    </row>
    <row r="3840">
      <c r="A3840" s="5">
        <f>HYPERLINK("https://finance.yahoo.com/quote/CFNB","CFNB")</f>
        <v/>
      </c>
      <c r="B3840" t="inlineStr">
        <is>
          <t>CALIFORNIA FIRST LEASING CORP</t>
        </is>
      </c>
      <c r="C3840" t="inlineStr">
        <is>
          <t>OTC</t>
        </is>
      </c>
      <c r="D3840" t="n">
        <v>803016</v>
      </c>
      <c r="E3840" t="inlineStr">
        <is>
          <t>SEC</t>
        </is>
      </c>
    </row>
    <row r="3841">
      <c r="A3841" s="5">
        <f>HYPERLINK("https://finance.yahoo.com/quote/ELTP","ELTP")</f>
        <v/>
      </c>
      <c r="B3841" t="inlineStr">
        <is>
          <t>ELITE PHARMACEUTICALS INC /NV/</t>
        </is>
      </c>
      <c r="C3841" t="inlineStr">
        <is>
          <t>OTC</t>
        </is>
      </c>
      <c r="D3841" t="n">
        <v>1053369</v>
      </c>
      <c r="E3841" t="inlineStr">
        <is>
          <t>SEC</t>
        </is>
      </c>
    </row>
    <row r="3842">
      <c r="A3842" s="5">
        <f>HYPERLINK("https://finance.yahoo.com/quote/VABK","VABK")</f>
        <v/>
      </c>
      <c r="B3842" t="inlineStr">
        <is>
          <t>Virginia National Bankshares Corp</t>
        </is>
      </c>
      <c r="C3842" t="inlineStr">
        <is>
          <t>Nasdaq</t>
        </is>
      </c>
      <c r="D3842" t="n">
        <v>1572334</v>
      </c>
      <c r="E3842" t="inlineStr">
        <is>
          <t>SEC</t>
        </is>
      </c>
    </row>
    <row r="3843">
      <c r="A3843" s="5">
        <f>HYPERLINK("https://finance.yahoo.com/quote/TSI","TSI")</f>
        <v/>
      </c>
      <c r="B3843" t="inlineStr">
        <is>
          <t>TCW STRATEGIC INCOME FUND INC</t>
        </is>
      </c>
      <c r="C3843" t="inlineStr">
        <is>
          <t>NYSE</t>
        </is>
      </c>
      <c r="D3843" t="n">
        <v>809559</v>
      </c>
      <c r="E3843" t="inlineStr">
        <is>
          <t>SEC</t>
        </is>
      </c>
    </row>
    <row r="3844">
      <c r="A3844" s="5">
        <f>HYPERLINK("https://finance.yahoo.com/quote/TDUP","TDUP")</f>
        <v/>
      </c>
      <c r="B3844" t="inlineStr">
        <is>
          <t>ThredUp Inc.</t>
        </is>
      </c>
      <c r="C3844" t="inlineStr">
        <is>
          <t>Nasdaq</t>
        </is>
      </c>
      <c r="D3844" t="n">
        <v>1484778</v>
      </c>
      <c r="E3844" t="inlineStr">
        <is>
          <t>SEC</t>
        </is>
      </c>
    </row>
    <row r="3845">
      <c r="A3845" s="5">
        <f>HYPERLINK("https://finance.yahoo.com/quote/ANGI","ANGI")</f>
        <v/>
      </c>
      <c r="B3845" t="inlineStr">
        <is>
          <t>Angi Inc.</t>
        </is>
      </c>
      <c r="C3845" t="inlineStr">
        <is>
          <t>Nasdaq</t>
        </is>
      </c>
      <c r="D3845" t="n">
        <v>1705110</v>
      </c>
      <c r="E3845" t="inlineStr">
        <is>
          <t>SEC</t>
        </is>
      </c>
    </row>
    <row r="3846">
      <c r="A3846" s="5">
        <f>HYPERLINK("https://finance.yahoo.com/quote/TRVG","TRVG")</f>
        <v/>
      </c>
      <c r="B3846" t="inlineStr">
        <is>
          <t>trivago N.V.</t>
        </is>
      </c>
      <c r="C3846" t="inlineStr">
        <is>
          <t>Nasdaq</t>
        </is>
      </c>
      <c r="D3846" t="n">
        <v>1683825</v>
      </c>
      <c r="E3846" t="inlineStr">
        <is>
          <t>SEC</t>
        </is>
      </c>
    </row>
    <row r="3847">
      <c r="A3847" s="5">
        <f>HYPERLINK("https://finance.yahoo.com/quote/OPAL","OPAL")</f>
        <v/>
      </c>
      <c r="B3847" t="inlineStr">
        <is>
          <t>OPAL Fuels Inc.</t>
        </is>
      </c>
      <c r="C3847" t="inlineStr">
        <is>
          <t>Nasdaq</t>
        </is>
      </c>
      <c r="D3847" t="n">
        <v>1842279</v>
      </c>
      <c r="E3847" t="inlineStr">
        <is>
          <t>SEC</t>
        </is>
      </c>
    </row>
    <row r="3848">
      <c r="A3848" s="5">
        <f>HYPERLINK("https://finance.yahoo.com/quote/XTER","XTER")</f>
        <v/>
      </c>
      <c r="B3848" t="inlineStr">
        <is>
          <t>Xterax Corp II</t>
        </is>
      </c>
      <c r="C3848" t="inlineStr">
        <is>
          <t>Nasdaq</t>
        </is>
      </c>
      <c r="D3848" t="n">
        <v>2134856</v>
      </c>
      <c r="E3848" t="inlineStr">
        <is>
          <t>SEC</t>
        </is>
      </c>
    </row>
    <row r="3849">
      <c r="A3849" s="5">
        <f>HYPERLINK("https://finance.yahoo.com/quote/INR","INR")</f>
        <v/>
      </c>
      <c r="B3849" t="inlineStr">
        <is>
          <t>INFINITY NATURAL RESOURCES, INC.</t>
        </is>
      </c>
      <c r="C3849" t="inlineStr">
        <is>
          <t>NYSE</t>
        </is>
      </c>
      <c r="D3849" t="n">
        <v>2029118</v>
      </c>
      <c r="E3849" t="inlineStr">
        <is>
          <t>SEC</t>
        </is>
      </c>
    </row>
    <row r="3850">
      <c r="A3850" s="5">
        <f>HYPERLINK("https://finance.yahoo.com/quote/BNC","BNC")</f>
        <v/>
      </c>
      <c r="B3850" t="inlineStr">
        <is>
          <t>BNB Standard Corp</t>
        </is>
      </c>
      <c r="C3850" t="inlineStr">
        <is>
          <t>Nasdaq</t>
        </is>
      </c>
      <c r="D3850" t="n">
        <v>1482541</v>
      </c>
      <c r="E3850" t="inlineStr">
        <is>
          <t>SEC</t>
        </is>
      </c>
    </row>
    <row r="3851">
      <c r="A3851" s="5">
        <f>HYPERLINK("https://finance.yahoo.com/quote/EOD","EOD")</f>
        <v/>
      </c>
      <c r="B3851" t="inlineStr">
        <is>
          <t>ALLSPRING GLOBAL DIVIDEND OPPORTUNITY FUND</t>
        </is>
      </c>
      <c r="C3851" t="inlineStr">
        <is>
          <t>NYSE</t>
        </is>
      </c>
      <c r="D3851" t="n">
        <v>1386067</v>
      </c>
      <c r="E3851" t="inlineStr">
        <is>
          <t>SEC</t>
        </is>
      </c>
    </row>
    <row r="3852">
      <c r="A3852" s="5">
        <f>HYPERLINK("https://finance.yahoo.com/quote/VOGX","VOGX")</f>
        <v/>
      </c>
      <c r="B3852" t="inlineStr">
        <is>
          <t>Vogenx, Inc.</t>
        </is>
      </c>
      <c r="C3852" t="inlineStr">
        <is>
          <t>Nasdaq</t>
        </is>
      </c>
      <c r="D3852" t="n">
        <v>1903784</v>
      </c>
      <c r="E3852" t="inlineStr">
        <is>
          <t>SEC</t>
        </is>
      </c>
    </row>
    <row r="3853">
      <c r="A3853" s="5">
        <f>HYPERLINK("https://finance.yahoo.com/quote/VCRE","VCRE")</f>
        <v/>
      </c>
      <c r="B3853" t="inlineStr">
        <is>
          <t>Vicore Pharma Holding AB</t>
        </is>
      </c>
      <c r="C3853" t="inlineStr">
        <is>
          <t>Nasdaq</t>
        </is>
      </c>
      <c r="D3853" t="n">
        <v>2124403</v>
      </c>
      <c r="E3853" t="inlineStr">
        <is>
          <t>SEC</t>
        </is>
      </c>
    </row>
    <row r="3854">
      <c r="A3854" s="5">
        <f>HYPERLINK("https://finance.yahoo.com/quote/CWH","CWH")</f>
        <v/>
      </c>
      <c r="B3854" t="inlineStr">
        <is>
          <t>Camping World Holdings, Inc.</t>
        </is>
      </c>
      <c r="C3854" t="inlineStr">
        <is>
          <t>NYSE</t>
        </is>
      </c>
      <c r="D3854" t="n">
        <v>1669779</v>
      </c>
      <c r="E3854" t="inlineStr">
        <is>
          <t>SEC</t>
        </is>
      </c>
    </row>
    <row r="3855">
      <c r="A3855" s="5">
        <f>HYPERLINK("https://finance.yahoo.com/quote/TTGT","TTGT")</f>
        <v/>
      </c>
      <c r="B3855" t="inlineStr">
        <is>
          <t>TechTarget, Inc.</t>
        </is>
      </c>
      <c r="C3855" t="inlineStr">
        <is>
          <t>Nasdaq</t>
        </is>
      </c>
      <c r="D3855" t="n">
        <v>2018064</v>
      </c>
      <c r="E3855" t="inlineStr">
        <is>
          <t>SEC</t>
        </is>
      </c>
    </row>
    <row r="3856">
      <c r="A3856" s="5">
        <f>HYPERLINK("https://finance.yahoo.com/quote/CATL","CATL")</f>
        <v/>
      </c>
      <c r="B3856" t="inlineStr">
        <is>
          <t>Catalyst Acquisition Corp.</t>
        </is>
      </c>
      <c r="C3856" t="inlineStr">
        <is>
          <t>Nasdaq</t>
        </is>
      </c>
      <c r="D3856" t="n">
        <v>2104391</v>
      </c>
      <c r="E3856" t="inlineStr">
        <is>
          <t>SEC</t>
        </is>
      </c>
    </row>
    <row r="3857">
      <c r="A3857" s="5">
        <f>HYPERLINK("https://finance.yahoo.com/quote/BCBP","BCBP")</f>
        <v/>
      </c>
      <c r="B3857" t="inlineStr">
        <is>
          <t>BCB BANCORP INC</t>
        </is>
      </c>
      <c r="C3857" t="inlineStr">
        <is>
          <t>Nasdaq</t>
        </is>
      </c>
      <c r="D3857" t="n">
        <v>1228454</v>
      </c>
      <c r="E3857" t="inlineStr">
        <is>
          <t>SEC</t>
        </is>
      </c>
    </row>
    <row r="3858">
      <c r="A3858" s="5">
        <f>HYPERLINK("https://finance.yahoo.com/quote/RELL","RELL")</f>
        <v/>
      </c>
      <c r="B3858" t="inlineStr">
        <is>
          <t>RICHARDSON ELECTRONICS, LTD.</t>
        </is>
      </c>
      <c r="C3858" t="inlineStr">
        <is>
          <t>Nasdaq</t>
        </is>
      </c>
      <c r="D3858" t="n">
        <v>355948</v>
      </c>
      <c r="E3858" t="inlineStr">
        <is>
          <t>SEC</t>
        </is>
      </c>
    </row>
    <row r="3859">
      <c r="A3859" s="5">
        <f>HYPERLINK("https://finance.yahoo.com/quote/RCMT","RCMT")</f>
        <v/>
      </c>
      <c r="B3859" t="inlineStr">
        <is>
          <t>RCM TECHNOLOGIES, INC.</t>
        </is>
      </c>
      <c r="C3859" t="inlineStr">
        <is>
          <t>Nasdaq</t>
        </is>
      </c>
      <c r="D3859" t="n">
        <v>700841</v>
      </c>
      <c r="E3859" t="inlineStr">
        <is>
          <t>SEC</t>
        </is>
      </c>
    </row>
    <row r="3860">
      <c r="A3860" s="5">
        <f>HYPERLINK("https://finance.yahoo.com/quote/IPSC","IPSC")</f>
        <v/>
      </c>
      <c r="B3860" t="inlineStr">
        <is>
          <t>Century Therapeutics, Inc.</t>
        </is>
      </c>
      <c r="C3860" t="inlineStr">
        <is>
          <t>Nasdaq</t>
        </is>
      </c>
      <c r="D3860" t="n">
        <v>1850119</v>
      </c>
      <c r="E3860" t="inlineStr">
        <is>
          <t>SEC</t>
        </is>
      </c>
    </row>
    <row r="3861">
      <c r="A3861" s="5">
        <f>HYPERLINK("https://finance.yahoo.com/quote/ZKH","ZKH")</f>
        <v/>
      </c>
      <c r="B3861" t="inlineStr">
        <is>
          <t>ZKH Group Ltd</t>
        </is>
      </c>
      <c r="C3861" t="inlineStr">
        <is>
          <t>NYSE</t>
        </is>
      </c>
      <c r="D3861" t="n">
        <v>1862044</v>
      </c>
      <c r="E3861" t="inlineStr">
        <is>
          <t>SEC</t>
        </is>
      </c>
    </row>
    <row r="3862">
      <c r="A3862" s="5">
        <f>HYPERLINK("https://finance.yahoo.com/quote/MOVE","MOVE")</f>
        <v/>
      </c>
      <c r="B3862" t="inlineStr">
        <is>
          <t>Corvex, Inc.</t>
        </is>
      </c>
      <c r="C3862" t="inlineStr">
        <is>
          <t>Nasdaq</t>
        </is>
      </c>
      <c r="D3862" t="n">
        <v>1734750</v>
      </c>
      <c r="E3862" t="inlineStr">
        <is>
          <t>SEC</t>
        </is>
      </c>
    </row>
    <row r="3863">
      <c r="A3863" s="5">
        <f>HYPERLINK("https://finance.yahoo.com/quote/MIN","MIN")</f>
        <v/>
      </c>
      <c r="B3863" t="inlineStr">
        <is>
          <t>ABERDEEN INTERMEDIATE INCOME FUND</t>
        </is>
      </c>
      <c r="C3863" t="inlineStr">
        <is>
          <t>NYSE</t>
        </is>
      </c>
      <c r="D3863" t="n">
        <v>826735</v>
      </c>
      <c r="E3863" t="inlineStr">
        <is>
          <t>SEC</t>
        </is>
      </c>
    </row>
    <row r="3864">
      <c r="A3864" s="5">
        <f>HYPERLINK("https://finance.yahoo.com/quote/HRZN","HRZN")</f>
        <v/>
      </c>
      <c r="B3864" t="inlineStr">
        <is>
          <t>Horizon Technology Finance Corp</t>
        </is>
      </c>
      <c r="C3864" t="inlineStr">
        <is>
          <t>Nasdaq</t>
        </is>
      </c>
      <c r="D3864" t="n">
        <v>1487428</v>
      </c>
      <c r="E3864" t="inlineStr">
        <is>
          <t>SEC</t>
        </is>
      </c>
    </row>
    <row r="3865">
      <c r="A3865" s="5">
        <f>HYPERLINK("https://finance.yahoo.com/quote/DMAA","DMAA")</f>
        <v/>
      </c>
      <c r="B3865" t="inlineStr">
        <is>
          <t>Drugs Made In America Acquisition Corp.</t>
        </is>
      </c>
      <c r="C3865" t="inlineStr">
        <is>
          <t>Nasdaq</t>
        </is>
      </c>
      <c r="D3865" t="n">
        <v>2028614</v>
      </c>
      <c r="E3865" t="inlineStr">
        <is>
          <t>SEC</t>
        </is>
      </c>
    </row>
    <row r="3866">
      <c r="A3866" s="5">
        <f>HYPERLINK("https://finance.yahoo.com/quote/LDI","LDI")</f>
        <v/>
      </c>
      <c r="B3866" t="inlineStr">
        <is>
          <t>loanDepot, Inc.</t>
        </is>
      </c>
      <c r="C3866" t="inlineStr">
        <is>
          <t>NYSE</t>
        </is>
      </c>
      <c r="D3866" t="n">
        <v>1831631</v>
      </c>
      <c r="E3866" t="inlineStr">
        <is>
          <t>SEC</t>
        </is>
      </c>
    </row>
    <row r="3867">
      <c r="A3867" s="5">
        <f>HYPERLINK("https://finance.yahoo.com/quote/NCZ","NCZ")</f>
        <v/>
      </c>
      <c r="B3867" t="inlineStr">
        <is>
          <t>Virtus Convertible &amp; Income Fund II</t>
        </is>
      </c>
      <c r="C3867" t="inlineStr">
        <is>
          <t>NYSE</t>
        </is>
      </c>
      <c r="D3867" t="n">
        <v>1227857</v>
      </c>
      <c r="E3867" t="inlineStr">
        <is>
          <t>SEC</t>
        </is>
      </c>
    </row>
    <row r="3868">
      <c r="A3868" s="5">
        <f>HYPERLINK("https://finance.yahoo.com/quote/DSM","DSM")</f>
        <v/>
      </c>
      <c r="B3868" t="inlineStr">
        <is>
          <t>BNY MELLON STRATEGIC MUNICIPAL BOND FUND, INC.</t>
        </is>
      </c>
      <c r="C3868" t="inlineStr">
        <is>
          <t>NYSE</t>
        </is>
      </c>
      <c r="D3868" t="n">
        <v>855887</v>
      </c>
      <c r="E3868" t="inlineStr">
        <is>
          <t>SEC</t>
        </is>
      </c>
    </row>
    <row r="3869">
      <c r="A3869" s="5">
        <f>HYPERLINK("https://finance.yahoo.com/quote/OACC","OACC")</f>
        <v/>
      </c>
      <c r="B3869" t="inlineStr">
        <is>
          <t>Oaktree Acquisition Corp. III Life Sciences</t>
        </is>
      </c>
      <c r="C3869" t="inlineStr">
        <is>
          <t>Nasdaq</t>
        </is>
      </c>
      <c r="D3869" t="n">
        <v>2029769</v>
      </c>
      <c r="E3869" t="inlineStr">
        <is>
          <t>SEC</t>
        </is>
      </c>
    </row>
    <row r="3870">
      <c r="A3870" s="5">
        <f>HYPERLINK("https://finance.yahoo.com/quote/HLP","HLP")</f>
        <v/>
      </c>
      <c r="B3870" t="inlineStr">
        <is>
          <t>Hongli Group Inc.</t>
        </is>
      </c>
      <c r="C3870" t="inlineStr">
        <is>
          <t>Nasdaq</t>
        </is>
      </c>
      <c r="D3870" t="n">
        <v>1855557</v>
      </c>
      <c r="E3870" t="inlineStr">
        <is>
          <t>SEC</t>
        </is>
      </c>
    </row>
    <row r="3871">
      <c r="A3871" s="5">
        <f>HYPERLINK("https://finance.yahoo.com/quote/NTPIF","NTPIF")</f>
        <v/>
      </c>
      <c r="B3871" t="inlineStr">
        <is>
          <t>NAM TAI PROPERTY INC.</t>
        </is>
      </c>
      <c r="C3871" t="inlineStr">
        <is>
          <t>OTC</t>
        </is>
      </c>
      <c r="D3871" t="n">
        <v>829365</v>
      </c>
      <c r="E3871" t="inlineStr">
        <is>
          <t>SEC</t>
        </is>
      </c>
    </row>
    <row r="3872">
      <c r="A3872" s="5">
        <f>HYPERLINK("https://finance.yahoo.com/quote/SES","SES")</f>
        <v/>
      </c>
      <c r="B3872" t="inlineStr">
        <is>
          <t>SES AI Corp</t>
        </is>
      </c>
      <c r="C3872" t="inlineStr">
        <is>
          <t>NYSE</t>
        </is>
      </c>
      <c r="D3872" t="n">
        <v>1819142</v>
      </c>
      <c r="E3872" t="inlineStr">
        <is>
          <t>SEC</t>
        </is>
      </c>
    </row>
    <row r="3873">
      <c r="A3873" s="5">
        <f>HYPERLINK("https://finance.yahoo.com/quote/CNDT","CNDT")</f>
        <v/>
      </c>
      <c r="B3873" t="inlineStr">
        <is>
          <t>CONDUENT Inc</t>
        </is>
      </c>
      <c r="C3873" t="inlineStr">
        <is>
          <t>Nasdaq</t>
        </is>
      </c>
      <c r="D3873" t="n">
        <v>1677703</v>
      </c>
      <c r="E3873" t="inlineStr">
        <is>
          <t>SEC</t>
        </is>
      </c>
    </row>
    <row r="3874">
      <c r="A3874" s="5">
        <f>HYPERLINK("https://finance.yahoo.com/quote/MFIN","MFIN")</f>
        <v/>
      </c>
      <c r="B3874" t="inlineStr">
        <is>
          <t>MEDALLION FINANCIAL CORP</t>
        </is>
      </c>
      <c r="C3874" t="inlineStr">
        <is>
          <t>Nasdaq</t>
        </is>
      </c>
      <c r="D3874" t="n">
        <v>1000209</v>
      </c>
      <c r="E3874" t="inlineStr">
        <is>
          <t>SEC</t>
        </is>
      </c>
    </row>
    <row r="3875">
      <c r="A3875" s="5">
        <f>HYPERLINK("https://finance.yahoo.com/quote/FACT","FACT")</f>
        <v/>
      </c>
      <c r="B3875" t="inlineStr">
        <is>
          <t>FACT II Acquisition Corp.</t>
        </is>
      </c>
      <c r="C3875" t="inlineStr">
        <is>
          <t>Nasdaq</t>
        </is>
      </c>
      <c r="D3875" t="n">
        <v>2028935</v>
      </c>
      <c r="E3875" t="inlineStr">
        <is>
          <t>SEC</t>
        </is>
      </c>
    </row>
    <row r="3876">
      <c r="A3876" s="5">
        <f>HYPERLINK("https://finance.yahoo.com/quote/RMM","RMM")</f>
        <v/>
      </c>
      <c r="B3876" t="inlineStr">
        <is>
          <t>RiverNorth Managed Duration Municipal Income Fund, Inc.</t>
        </is>
      </c>
      <c r="C3876" t="inlineStr">
        <is>
          <t>NYSE</t>
        </is>
      </c>
      <c r="D3876" t="n">
        <v>1771226</v>
      </c>
      <c r="E3876" t="inlineStr">
        <is>
          <t>SEC</t>
        </is>
      </c>
    </row>
    <row r="3877">
      <c r="A3877" s="5">
        <f>HYPERLINK("https://finance.yahoo.com/quote/NTWO","NTWO")</f>
        <v/>
      </c>
      <c r="B3877" t="inlineStr">
        <is>
          <t>Newbury Street II Acquisition Corp</t>
        </is>
      </c>
      <c r="C3877" t="inlineStr">
        <is>
          <t>Nasdaq</t>
        </is>
      </c>
      <c r="D3877" t="n">
        <v>2028027</v>
      </c>
      <c r="E3877" t="inlineStr">
        <is>
          <t>SEC</t>
        </is>
      </c>
    </row>
    <row r="3878">
      <c r="A3878" s="5">
        <f>HYPERLINK("https://finance.yahoo.com/quote/RR","RR")</f>
        <v/>
      </c>
      <c r="B3878" t="inlineStr">
        <is>
          <t>RICHTECH ROBOTICS INC.</t>
        </is>
      </c>
      <c r="C3878" t="inlineStr">
        <is>
          <t>Nasdaq</t>
        </is>
      </c>
      <c r="D3878" t="n">
        <v>1963685</v>
      </c>
      <c r="E3878" t="inlineStr">
        <is>
          <t>SEC</t>
        </is>
      </c>
    </row>
    <row r="3879">
      <c r="A3879" s="5">
        <f>HYPERLINK("https://finance.yahoo.com/quote/PESI","PESI")</f>
        <v/>
      </c>
      <c r="B3879" t="inlineStr">
        <is>
          <t>PERMA FIX ENVIRONMENTAL SERVICES INC</t>
        </is>
      </c>
      <c r="C3879" t="inlineStr">
        <is>
          <t>Nasdaq</t>
        </is>
      </c>
      <c r="D3879" t="n">
        <v>891532</v>
      </c>
      <c r="E3879" t="inlineStr">
        <is>
          <t>SEC</t>
        </is>
      </c>
    </row>
    <row r="3880">
      <c r="A3880" s="5">
        <f>HYPERLINK("https://finance.yahoo.com/quote/TRGS","TRGS")</f>
        <v/>
      </c>
      <c r="B3880" t="inlineStr">
        <is>
          <t>TRG Latin America Acquisitions Corp.</t>
        </is>
      </c>
      <c r="C3880" t="inlineStr">
        <is>
          <t>Nasdaq</t>
        </is>
      </c>
      <c r="D3880" t="n">
        <v>2098780</v>
      </c>
      <c r="E3880" t="inlineStr">
        <is>
          <t>SEC</t>
        </is>
      </c>
    </row>
    <row r="3881">
      <c r="A3881" s="5">
        <f>HYPERLINK("https://finance.yahoo.com/quote/KGEI","KGEI")</f>
        <v/>
      </c>
      <c r="B3881" t="inlineStr">
        <is>
          <t>Kolibri Global Energy Inc.</t>
        </is>
      </c>
      <c r="C3881" t="inlineStr">
        <is>
          <t>Nasdaq</t>
        </is>
      </c>
      <c r="D3881" t="n">
        <v>1477081</v>
      </c>
      <c r="E3881" t="inlineStr">
        <is>
          <t>SEC</t>
        </is>
      </c>
    </row>
    <row r="3882">
      <c r="A3882" s="5">
        <f>HYPERLINK("https://finance.yahoo.com/quote/PCYO","PCYO")</f>
        <v/>
      </c>
      <c r="B3882" t="inlineStr">
        <is>
          <t>PURE CYCLE CORP</t>
        </is>
      </c>
      <c r="C3882" t="inlineStr">
        <is>
          <t>Nasdaq</t>
        </is>
      </c>
      <c r="D3882" t="n">
        <v>276720</v>
      </c>
      <c r="E3882" t="inlineStr">
        <is>
          <t>SEC</t>
        </is>
      </c>
    </row>
    <row r="3883">
      <c r="A3883" s="5">
        <f>HYPERLINK("https://finance.yahoo.com/quote/ELVA","ELVA")</f>
        <v/>
      </c>
      <c r="B3883" t="inlineStr">
        <is>
          <t>Electrovaya Inc.</t>
        </is>
      </c>
      <c r="C3883" t="inlineStr">
        <is>
          <t>Nasdaq</t>
        </is>
      </c>
      <c r="D3883" t="n">
        <v>1844450</v>
      </c>
      <c r="E3883" t="inlineStr">
        <is>
          <t>SEC</t>
        </is>
      </c>
    </row>
    <row r="3884">
      <c r="A3884" s="5">
        <f>HYPERLINK("https://finance.yahoo.com/quote/SABS","SABS")</f>
        <v/>
      </c>
      <c r="B3884" t="inlineStr">
        <is>
          <t>SAB Biotherapeutics, Inc.</t>
        </is>
      </c>
      <c r="C3884" t="inlineStr">
        <is>
          <t>Nasdaq</t>
        </is>
      </c>
      <c r="D3884" t="n">
        <v>1833214</v>
      </c>
      <c r="E3884" t="inlineStr">
        <is>
          <t>SEC</t>
        </is>
      </c>
    </row>
    <row r="3885">
      <c r="A3885" s="5">
        <f>HYPERLINK("https://finance.yahoo.com/quote/THEO","THEO")</f>
        <v/>
      </c>
      <c r="B3885" t="inlineStr">
        <is>
          <t>BOA Acquisition Corp. II</t>
        </is>
      </c>
      <c r="C3885" t="inlineStr">
        <is>
          <t>Nasdaq</t>
        </is>
      </c>
      <c r="D3885" t="n">
        <v>2080216</v>
      </c>
      <c r="E3885" t="inlineStr">
        <is>
          <t>SEC</t>
        </is>
      </c>
    </row>
    <row r="3886">
      <c r="A3886" s="5">
        <f>HYPERLINK("https://finance.yahoo.com/quote/USNA","USNA")</f>
        <v/>
      </c>
      <c r="B3886" t="inlineStr">
        <is>
          <t>USANA HEALTH SCIENCES INC</t>
        </is>
      </c>
      <c r="C3886" t="inlineStr">
        <is>
          <t>NYSE</t>
        </is>
      </c>
      <c r="D3886" t="n">
        <v>896264</v>
      </c>
      <c r="E3886" t="inlineStr">
        <is>
          <t>SEC</t>
        </is>
      </c>
    </row>
    <row r="3887">
      <c r="A3887" s="5">
        <f>HYPERLINK("https://finance.yahoo.com/quote/VNME","VNME")</f>
        <v/>
      </c>
      <c r="B3887" t="inlineStr">
        <is>
          <t>Vendome Acquisition Corp I</t>
        </is>
      </c>
      <c r="C3887" t="inlineStr">
        <is>
          <t>Nasdaq</t>
        </is>
      </c>
      <c r="D3887" t="n">
        <v>2055879</v>
      </c>
      <c r="E3887" t="inlineStr">
        <is>
          <t>SEC</t>
        </is>
      </c>
    </row>
    <row r="3888">
      <c r="A3888" s="5">
        <f>HYPERLINK("https://finance.yahoo.com/quote/NC","NC")</f>
        <v/>
      </c>
      <c r="B3888" t="inlineStr">
        <is>
          <t>NACCO INDUSTRIES INC</t>
        </is>
      </c>
      <c r="C3888" t="inlineStr">
        <is>
          <t>NYSE</t>
        </is>
      </c>
      <c r="D3888" t="n">
        <v>789933</v>
      </c>
      <c r="E3888" t="inlineStr">
        <is>
          <t>SEC</t>
        </is>
      </c>
    </row>
    <row r="3889">
      <c r="A3889" s="5">
        <f>HYPERLINK("https://finance.yahoo.com/quote/QTTB","QTTB")</f>
        <v/>
      </c>
      <c r="B3889" t="inlineStr">
        <is>
          <t>Q32 Bio Inc.</t>
        </is>
      </c>
      <c r="C3889" t="inlineStr">
        <is>
          <t>Nasdaq</t>
        </is>
      </c>
      <c r="D3889" t="n">
        <v>1661998</v>
      </c>
      <c r="E3889" t="inlineStr">
        <is>
          <t>SEC</t>
        </is>
      </c>
    </row>
    <row r="3890">
      <c r="A3890" s="5">
        <f>HYPERLINK("https://finance.yahoo.com/quote/NXDT","NXDT")</f>
        <v/>
      </c>
      <c r="B3890" t="inlineStr">
        <is>
          <t>NEXPOINT DIVERSIFIED REAL ESTATE TRUST</t>
        </is>
      </c>
      <c r="C3890" t="inlineStr">
        <is>
          <t>NYSE</t>
        </is>
      </c>
      <c r="D3890" t="n">
        <v>1356115</v>
      </c>
      <c r="E3890" t="inlineStr">
        <is>
          <t>SEC</t>
        </is>
      </c>
    </row>
    <row r="3891">
      <c r="A3891" s="5">
        <f>HYPERLINK("https://finance.yahoo.com/quote/NPCT","NPCT")</f>
        <v/>
      </c>
      <c r="B3891" t="inlineStr">
        <is>
          <t>Nuveen Core Plus Impact Fund</t>
        </is>
      </c>
      <c r="C3891" t="inlineStr">
        <is>
          <t>NYSE</t>
        </is>
      </c>
      <c r="D3891" t="n">
        <v>1835068</v>
      </c>
      <c r="E3891" t="inlineStr">
        <is>
          <t>SEC</t>
        </is>
      </c>
    </row>
    <row r="3892">
      <c r="A3892" s="5">
        <f>HYPERLINK("https://finance.yahoo.com/quote/EVI","EVI")</f>
        <v/>
      </c>
      <c r="B3892" t="inlineStr">
        <is>
          <t>EVI INDUSTRIES, INC.</t>
        </is>
      </c>
      <c r="C3892" t="inlineStr">
        <is>
          <t>NYSE</t>
        </is>
      </c>
      <c r="D3892" t="n">
        <v>65312</v>
      </c>
      <c r="E3892" t="inlineStr">
        <is>
          <t>SEC</t>
        </is>
      </c>
    </row>
    <row r="3893">
      <c r="A3893" s="5">
        <f>HYPERLINK("https://finance.yahoo.com/quote/EH","EH")</f>
        <v/>
      </c>
      <c r="B3893" t="inlineStr">
        <is>
          <t>EHang Holdings Ltd</t>
        </is>
      </c>
      <c r="C3893" t="inlineStr">
        <is>
          <t>Nasdaq</t>
        </is>
      </c>
      <c r="D3893" t="n">
        <v>1759783</v>
      </c>
      <c r="E3893" t="inlineStr">
        <is>
          <t>SEC</t>
        </is>
      </c>
    </row>
    <row r="3894">
      <c r="A3894" s="5">
        <f>HYPERLINK("https://finance.yahoo.com/quote/NKSH","NKSH")</f>
        <v/>
      </c>
      <c r="B3894" t="inlineStr">
        <is>
          <t>NATIONAL BANKSHARES INC</t>
        </is>
      </c>
      <c r="C3894" t="inlineStr">
        <is>
          <t>Nasdaq</t>
        </is>
      </c>
      <c r="D3894" t="n">
        <v>796534</v>
      </c>
      <c r="E3894" t="inlineStr">
        <is>
          <t>SEC</t>
        </is>
      </c>
    </row>
    <row r="3895">
      <c r="A3895" s="5">
        <f>HYPERLINK("https://finance.yahoo.com/quote/RMBI","RMBI")</f>
        <v/>
      </c>
      <c r="B3895" t="inlineStr">
        <is>
          <t>Richmond Mutual Bancorporation, Inc.</t>
        </is>
      </c>
      <c r="C3895" t="inlineStr">
        <is>
          <t>Nasdaq</t>
        </is>
      </c>
      <c r="D3895" t="n">
        <v>1767837</v>
      </c>
      <c r="E3895" t="inlineStr">
        <is>
          <t>SEC</t>
        </is>
      </c>
    </row>
    <row r="3896">
      <c r="A3896" s="5">
        <f>HYPERLINK("https://finance.yahoo.com/quote/LCTX","LCTX")</f>
        <v/>
      </c>
      <c r="B3896" t="inlineStr">
        <is>
          <t>Lineage Cell Therapeutics, Inc.</t>
        </is>
      </c>
      <c r="C3896" t="inlineStr">
        <is>
          <t>NYSE</t>
        </is>
      </c>
      <c r="D3896" t="n">
        <v>876343</v>
      </c>
      <c r="E3896" t="inlineStr">
        <is>
          <t>SEC</t>
        </is>
      </c>
    </row>
    <row r="3897">
      <c r="A3897" s="5">
        <f>HYPERLINK("https://finance.yahoo.com/quote/CNCK","CNCK")</f>
        <v/>
      </c>
      <c r="B3897" t="inlineStr">
        <is>
          <t>Coincheck Group N.V.</t>
        </is>
      </c>
      <c r="C3897" t="inlineStr">
        <is>
          <t>Nasdaq</t>
        </is>
      </c>
      <c r="D3897" t="n">
        <v>1913847</v>
      </c>
      <c r="E3897" t="inlineStr">
        <is>
          <t>SEC</t>
        </is>
      </c>
    </row>
    <row r="3898">
      <c r="A3898" s="5">
        <f>HYPERLINK("https://finance.yahoo.com/quote/EFSI","EFSI")</f>
        <v/>
      </c>
      <c r="B3898" t="inlineStr">
        <is>
          <t>EAGLE FINANCIAL SERVICES INC</t>
        </is>
      </c>
      <c r="C3898" t="inlineStr">
        <is>
          <t>Nasdaq</t>
        </is>
      </c>
      <c r="D3898" t="n">
        <v>880641</v>
      </c>
      <c r="E3898" t="inlineStr">
        <is>
          <t>SEC</t>
        </is>
      </c>
    </row>
    <row r="3899">
      <c r="A3899" s="5">
        <f>HYPERLINK("https://finance.yahoo.com/quote/CURR","CURR")</f>
        <v/>
      </c>
      <c r="B3899" t="inlineStr">
        <is>
          <t>Currenc Group Inc.</t>
        </is>
      </c>
      <c r="C3899" t="inlineStr">
        <is>
          <t>Nasdaq</t>
        </is>
      </c>
      <c r="D3899" t="n">
        <v>1862935</v>
      </c>
      <c r="E3899" t="inlineStr">
        <is>
          <t>SEC</t>
        </is>
      </c>
    </row>
    <row r="3900">
      <c r="A3900" s="5">
        <f>HYPERLINK("https://finance.yahoo.com/quote/ESCA","ESCA")</f>
        <v/>
      </c>
      <c r="B3900" t="inlineStr">
        <is>
          <t>ESCALADE INC</t>
        </is>
      </c>
      <c r="C3900" t="inlineStr">
        <is>
          <t>Nasdaq</t>
        </is>
      </c>
      <c r="D3900" t="n">
        <v>33488</v>
      </c>
      <c r="E3900" t="inlineStr">
        <is>
          <t>SEC</t>
        </is>
      </c>
    </row>
    <row r="3901">
      <c r="A3901" s="5">
        <f>HYPERLINK("https://finance.yahoo.com/quote/GENC","GENC")</f>
        <v/>
      </c>
      <c r="B3901" t="inlineStr">
        <is>
          <t>GENCOR INDUSTRIES INC</t>
        </is>
      </c>
      <c r="C3901" t="inlineStr">
        <is>
          <t>NYSE</t>
        </is>
      </c>
      <c r="D3901" t="n">
        <v>64472</v>
      </c>
      <c r="E3901" t="inlineStr">
        <is>
          <t>SEC</t>
        </is>
      </c>
    </row>
    <row r="3902">
      <c r="A3902" s="5">
        <f>HYPERLINK("https://finance.yahoo.com/quote/NWBO","NWBO")</f>
        <v/>
      </c>
      <c r="B3902" t="inlineStr">
        <is>
          <t>NORTHWEST BIOTHERAPEUTICS INC</t>
        </is>
      </c>
      <c r="C3902" t="inlineStr">
        <is>
          <t>OTC</t>
        </is>
      </c>
      <c r="D3902" t="n">
        <v>1072379</v>
      </c>
      <c r="E3902" t="inlineStr">
        <is>
          <t>SEC</t>
        </is>
      </c>
    </row>
    <row r="3903">
      <c r="A3903" s="5">
        <f>HYPERLINK("https://finance.yahoo.com/quote/PMM","PMM")</f>
        <v/>
      </c>
      <c r="B3903" t="inlineStr">
        <is>
          <t>FRANKLIN MANAGED MUNICIPAL INCOME TRUST</t>
        </is>
      </c>
      <c r="C3903" t="inlineStr">
        <is>
          <t>NYSE</t>
        </is>
      </c>
      <c r="D3903" t="n">
        <v>844790</v>
      </c>
      <c r="E3903" t="inlineStr">
        <is>
          <t>SEC</t>
        </is>
      </c>
    </row>
    <row r="3904">
      <c r="A3904" s="5">
        <f>HYPERLINK("https://finance.yahoo.com/quote/VLOS","VLOS")</f>
        <v/>
      </c>
      <c r="B3904" t="inlineStr">
        <is>
          <t>Velos Acquisition I Corp.</t>
        </is>
      </c>
      <c r="C3904" t="inlineStr">
        <is>
          <t>Nasdaq</t>
        </is>
      </c>
      <c r="D3904" t="n">
        <v>2016072</v>
      </c>
      <c r="E3904" t="inlineStr">
        <is>
          <t>SEC</t>
        </is>
      </c>
    </row>
    <row r="3905">
      <c r="A3905" s="5">
        <f>HYPERLINK("https://finance.yahoo.com/quote/SCII","SCII")</f>
        <v/>
      </c>
      <c r="B3905" t="inlineStr">
        <is>
          <t>SC II Acquisition Corp.</t>
        </is>
      </c>
      <c r="C3905" t="inlineStr">
        <is>
          <t>Nasdaq</t>
        </is>
      </c>
      <c r="D3905" t="n">
        <v>2076739</v>
      </c>
      <c r="E3905" t="inlineStr">
        <is>
          <t>SEC</t>
        </is>
      </c>
    </row>
    <row r="3906">
      <c r="A3906" s="5">
        <f>HYPERLINK("https://finance.yahoo.com/quote/TAKOF","TAKOF")</f>
        <v/>
      </c>
      <c r="B3906" t="inlineStr">
        <is>
          <t>Volatus Aerospace Inc.</t>
        </is>
      </c>
      <c r="C3906" t="inlineStr">
        <is>
          <t>OTC</t>
        </is>
      </c>
      <c r="D3906" t="n">
        <v>1547452</v>
      </c>
      <c r="E3906" t="inlineStr">
        <is>
          <t>SEC</t>
        </is>
      </c>
    </row>
    <row r="3907">
      <c r="A3907" s="5">
        <f>HYPERLINK("https://finance.yahoo.com/quote/IPVV","IPVV")</f>
        <v/>
      </c>
      <c r="B3907" t="inlineStr">
        <is>
          <t>InterPrivate Investment Partners V, Inc.</t>
        </is>
      </c>
      <c r="C3907" t="inlineStr">
        <is>
          <t>Nasdaq</t>
        </is>
      </c>
      <c r="D3907" t="n">
        <v>2105274</v>
      </c>
      <c r="E3907" t="inlineStr">
        <is>
          <t>SEC</t>
        </is>
      </c>
    </row>
    <row r="3908">
      <c r="A3908" s="5">
        <f>HYPERLINK("https://finance.yahoo.com/quote/GBFH","GBFH")</f>
        <v/>
      </c>
      <c r="B3908" t="inlineStr">
        <is>
          <t>GBank Financial Holdings Inc.</t>
        </is>
      </c>
      <c r="C3908" t="inlineStr">
        <is>
          <t>Nasdaq</t>
        </is>
      </c>
      <c r="D3908" t="n">
        <v>1791145</v>
      </c>
      <c r="E3908" t="inlineStr">
        <is>
          <t>SEC</t>
        </is>
      </c>
    </row>
    <row r="3909">
      <c r="A3909" s="5">
        <f>HYPERLINK("https://finance.yahoo.com/quote/ABEO","ABEO")</f>
        <v/>
      </c>
      <c r="B3909" t="inlineStr">
        <is>
          <t>ABEONA THERAPEUTICS INC.</t>
        </is>
      </c>
      <c r="C3909" t="inlineStr">
        <is>
          <t>Nasdaq</t>
        </is>
      </c>
      <c r="D3909" t="n">
        <v>318306</v>
      </c>
      <c r="E3909" t="inlineStr">
        <is>
          <t>SEC</t>
        </is>
      </c>
    </row>
    <row r="3910">
      <c r="A3910" s="5">
        <f>HYPERLINK("https://finance.yahoo.com/quote/IVAI","IVAI")</f>
        <v/>
      </c>
      <c r="B3910" t="inlineStr">
        <is>
          <t>Ives Ultra AI Opportunities Inc.</t>
        </is>
      </c>
      <c r="C3910" t="inlineStr">
        <is>
          <t>NYSE</t>
        </is>
      </c>
      <c r="D3910" t="n">
        <v>2077345</v>
      </c>
      <c r="E3910" t="inlineStr">
        <is>
          <t>SEC</t>
        </is>
      </c>
    </row>
    <row r="3911">
      <c r="A3911" s="5">
        <f>HYPERLINK("https://finance.yahoo.com/quote/FATE","FATE")</f>
        <v/>
      </c>
      <c r="B3911" t="inlineStr">
        <is>
          <t>FATE THERAPEUTICS INC</t>
        </is>
      </c>
      <c r="C3911" t="inlineStr">
        <is>
          <t>Nasdaq</t>
        </is>
      </c>
      <c r="D3911" t="n">
        <v>1434316</v>
      </c>
      <c r="E3911" t="inlineStr">
        <is>
          <t>SEC</t>
        </is>
      </c>
    </row>
    <row r="3912">
      <c r="A3912" s="5">
        <f>HYPERLINK("https://finance.yahoo.com/quote/BKTI","BKTI")</f>
        <v/>
      </c>
      <c r="B3912" t="inlineStr">
        <is>
          <t>BK Technologies Corp</t>
        </is>
      </c>
      <c r="C3912" t="inlineStr">
        <is>
          <t>NYSE</t>
        </is>
      </c>
      <c r="D3912" t="n">
        <v>2186</v>
      </c>
      <c r="E3912" t="inlineStr">
        <is>
          <t>SEC</t>
        </is>
      </c>
    </row>
    <row r="3913">
      <c r="A3913" s="5">
        <f>HYPERLINK("https://finance.yahoo.com/quote/XPER","XPER")</f>
        <v/>
      </c>
      <c r="B3913" t="inlineStr">
        <is>
          <t>Xperi Inc.</t>
        </is>
      </c>
      <c r="C3913" t="inlineStr">
        <is>
          <t>NYSE</t>
        </is>
      </c>
      <c r="D3913" t="n">
        <v>1788999</v>
      </c>
      <c r="E3913" t="inlineStr">
        <is>
          <t>SEC</t>
        </is>
      </c>
    </row>
    <row r="3914">
      <c r="A3914" s="5">
        <f>HYPERLINK("https://finance.yahoo.com/quote/OHAC","OHAC")</f>
        <v/>
      </c>
      <c r="B3914" t="inlineStr">
        <is>
          <t>Oceanhawk Acquisition Corp.</t>
        </is>
      </c>
      <c r="C3914" t="inlineStr">
        <is>
          <t>Nasdaq</t>
        </is>
      </c>
      <c r="D3914" t="n">
        <v>2090787</v>
      </c>
      <c r="E3914" t="inlineStr">
        <is>
          <t>SEC</t>
        </is>
      </c>
    </row>
    <row r="3915">
      <c r="A3915" s="5">
        <f>HYPERLINK("https://finance.yahoo.com/quote/XFLT","XFLT")</f>
        <v/>
      </c>
      <c r="B3915" t="inlineStr">
        <is>
          <t>XAI Floating Rate &amp; Alternative Income Trust</t>
        </is>
      </c>
      <c r="C3915" t="inlineStr">
        <is>
          <t>NYSE</t>
        </is>
      </c>
      <c r="D3915" t="n">
        <v>1703079</v>
      </c>
      <c r="E3915" t="inlineStr">
        <is>
          <t>SEC</t>
        </is>
      </c>
    </row>
    <row r="3916">
      <c r="A3916" s="5">
        <f>HYPERLINK("https://finance.yahoo.com/quote/QADR","QADR")</f>
        <v/>
      </c>
      <c r="B3916" t="inlineStr">
        <is>
          <t>QDRO Acquisition Corp.</t>
        </is>
      </c>
      <c r="C3916" t="inlineStr">
        <is>
          <t>Nasdaq</t>
        </is>
      </c>
      <c r="D3916" t="n">
        <v>2083217</v>
      </c>
      <c r="E3916" t="inlineStr">
        <is>
          <t>SEC</t>
        </is>
      </c>
    </row>
    <row r="3917">
      <c r="A3917" s="5">
        <f>HYPERLINK("https://finance.yahoo.com/quote/MKLY","MKLY")</f>
        <v/>
      </c>
      <c r="B3917" t="inlineStr">
        <is>
          <t>McKinley Acquisition Corp</t>
        </is>
      </c>
      <c r="C3917" t="inlineStr">
        <is>
          <t>Nasdaq</t>
        </is>
      </c>
      <c r="D3917" t="n">
        <v>2067592</v>
      </c>
      <c r="E3917" t="inlineStr">
        <is>
          <t>SEC</t>
        </is>
      </c>
    </row>
    <row r="3918">
      <c r="A3918" s="5">
        <f>HYPERLINK("https://finance.yahoo.com/quote/OPTU","OPTU")</f>
        <v/>
      </c>
      <c r="B3918" t="inlineStr">
        <is>
          <t>Optimum Communications, Inc.</t>
        </is>
      </c>
      <c r="C3918" t="inlineStr">
        <is>
          <t>NYSE</t>
        </is>
      </c>
      <c r="D3918" t="n">
        <v>1702780</v>
      </c>
      <c r="E3918" t="inlineStr">
        <is>
          <t>SEC</t>
        </is>
      </c>
    </row>
    <row r="3919">
      <c r="A3919" s="5">
        <f>HYPERLINK("https://finance.yahoo.com/quote/OFLX","OFLX")</f>
        <v/>
      </c>
      <c r="B3919" t="inlineStr">
        <is>
          <t>Omega Flex, Inc.</t>
        </is>
      </c>
      <c r="C3919" t="inlineStr">
        <is>
          <t>Nasdaq</t>
        </is>
      </c>
      <c r="D3919" t="n">
        <v>1317945</v>
      </c>
      <c r="E3919" t="inlineStr">
        <is>
          <t>SEC</t>
        </is>
      </c>
    </row>
    <row r="3920">
      <c r="A3920" s="5">
        <f>HYPERLINK("https://finance.yahoo.com/quote/OCGN","OCGN")</f>
        <v/>
      </c>
      <c r="B3920" t="inlineStr">
        <is>
          <t>Ocugen, Inc.</t>
        </is>
      </c>
      <c r="C3920" t="inlineStr">
        <is>
          <t>Nasdaq</t>
        </is>
      </c>
      <c r="D3920" t="n">
        <v>1372299</v>
      </c>
      <c r="E3920" t="inlineStr">
        <is>
          <t>SEC</t>
        </is>
      </c>
    </row>
    <row r="3921">
      <c r="A3921" s="5">
        <f>HYPERLINK("https://finance.yahoo.com/quote/GLTK","GLTK")</f>
        <v/>
      </c>
      <c r="B3921" t="inlineStr">
        <is>
          <t>GlobalTech Corp</t>
        </is>
      </c>
      <c r="C3921" t="inlineStr">
        <is>
          <t>OTC</t>
        </is>
      </c>
      <c r="D3921" t="n">
        <v>1938338</v>
      </c>
      <c r="E3921" t="inlineStr">
        <is>
          <t>SEC</t>
        </is>
      </c>
    </row>
    <row r="3922">
      <c r="A3922" s="5">
        <f>HYPERLINK("https://finance.yahoo.com/quote/CUVL","CUVL")</f>
        <v/>
      </c>
      <c r="B3922" t="inlineStr">
        <is>
          <t>Clinuvel Pharmaceuticals Ltd</t>
        </is>
      </c>
      <c r="C3922" t="inlineStr">
        <is>
          <t>Nasdaq</t>
        </is>
      </c>
      <c r="D3922" t="n">
        <v>1290877</v>
      </c>
      <c r="E3922" t="inlineStr">
        <is>
          <t>SEC</t>
        </is>
      </c>
    </row>
    <row r="3923">
      <c r="A3923" s="5">
        <f>HYPERLINK("https://finance.yahoo.com/quote/FF","FF")</f>
        <v/>
      </c>
      <c r="B3923" t="inlineStr">
        <is>
          <t>FutureFuel Corp.</t>
        </is>
      </c>
      <c r="C3923" t="inlineStr">
        <is>
          <t>NYSE</t>
        </is>
      </c>
      <c r="D3923" t="n">
        <v>1337298</v>
      </c>
      <c r="E3923" t="inlineStr">
        <is>
          <t>SEC</t>
        </is>
      </c>
    </row>
    <row r="3924">
      <c r="A3924" s="5">
        <f>HYPERLINK("https://finance.yahoo.com/quote/RCKT","RCKT")</f>
        <v/>
      </c>
      <c r="B3924" t="inlineStr">
        <is>
          <t>ROCKET PHARMACEUTICALS, INC.</t>
        </is>
      </c>
      <c r="C3924" t="inlineStr">
        <is>
          <t>Nasdaq</t>
        </is>
      </c>
      <c r="D3924" t="n">
        <v>1281895</v>
      </c>
      <c r="E3924" t="inlineStr">
        <is>
          <t>SEC</t>
        </is>
      </c>
    </row>
    <row r="3925">
      <c r="A3925" s="5">
        <f>HYPERLINK("https://finance.yahoo.com/quote/ACV","ACV")</f>
        <v/>
      </c>
      <c r="B3925" t="inlineStr">
        <is>
          <t>Virtus Diversified Income &amp; Convertible Fund</t>
        </is>
      </c>
      <c r="C3925" t="inlineStr">
        <is>
          <t>NYSE</t>
        </is>
      </c>
      <c r="D3925" t="n">
        <v>1636289</v>
      </c>
      <c r="E3925" t="inlineStr">
        <is>
          <t>SEC</t>
        </is>
      </c>
    </row>
    <row r="3926">
      <c r="A3926" s="5">
        <f>HYPERLINK("https://finance.yahoo.com/quote/TG","TG")</f>
        <v/>
      </c>
      <c r="B3926" t="inlineStr">
        <is>
          <t>TREDEGAR CORP</t>
        </is>
      </c>
      <c r="C3926" t="inlineStr">
        <is>
          <t>NYSE</t>
        </is>
      </c>
      <c r="D3926" t="n">
        <v>850429</v>
      </c>
      <c r="E3926" t="inlineStr">
        <is>
          <t>SEC</t>
        </is>
      </c>
    </row>
    <row r="3927">
      <c r="A3927" s="5">
        <f>HYPERLINK("https://finance.yahoo.com/quote/AMRN","AMRN")</f>
        <v/>
      </c>
      <c r="B3927" t="inlineStr">
        <is>
          <t>AMARIN CORP PLC\UK</t>
        </is>
      </c>
      <c r="C3927" t="inlineStr">
        <is>
          <t>Nasdaq</t>
        </is>
      </c>
      <c r="D3927" t="n">
        <v>897448</v>
      </c>
      <c r="E3927" t="inlineStr">
        <is>
          <t>SEC</t>
        </is>
      </c>
    </row>
    <row r="3928">
      <c r="A3928" s="5">
        <f>HYPERLINK("https://finance.yahoo.com/quote/GTERA","GTERA")</f>
        <v/>
      </c>
      <c r="B3928" t="inlineStr">
        <is>
          <t>Globa Terra Acquisition Corp</t>
        </is>
      </c>
      <c r="C3928" t="inlineStr">
        <is>
          <t>Nasdaq</t>
        </is>
      </c>
      <c r="D3928" t="n">
        <v>2043766</v>
      </c>
      <c r="E3928" t="inlineStr">
        <is>
          <t>SEC</t>
        </is>
      </c>
    </row>
    <row r="3929">
      <c r="A3929" s="5">
        <f>HYPERLINK("https://finance.yahoo.com/quote/XNET","XNET")</f>
        <v/>
      </c>
      <c r="B3929" t="inlineStr">
        <is>
          <t>Xunlei Ltd</t>
        </is>
      </c>
      <c r="C3929" t="inlineStr">
        <is>
          <t>Nasdaq</t>
        </is>
      </c>
      <c r="D3929" t="n">
        <v>1510593</v>
      </c>
      <c r="E3929" t="inlineStr">
        <is>
          <t>SEC</t>
        </is>
      </c>
    </row>
    <row r="3930">
      <c r="A3930" s="5">
        <f>HYPERLINK("https://finance.yahoo.com/quote/AIV","AIV")</f>
        <v/>
      </c>
      <c r="B3930" t="inlineStr">
        <is>
          <t>APARTMENT INVESTMENT &amp; MANAGEMENT CO</t>
        </is>
      </c>
      <c r="C3930" t="inlineStr">
        <is>
          <t>NYSE</t>
        </is>
      </c>
      <c r="D3930" t="n">
        <v>922864</v>
      </c>
      <c r="E3930" t="inlineStr">
        <is>
          <t>SEC</t>
        </is>
      </c>
    </row>
    <row r="3931">
      <c r="A3931" s="5">
        <f>HYPERLINK("https://finance.yahoo.com/quote/ACB","ACB")</f>
        <v/>
      </c>
      <c r="B3931" t="inlineStr">
        <is>
          <t>AURORA CANNABIS INC</t>
        </is>
      </c>
      <c r="C3931" t="inlineStr">
        <is>
          <t>Nasdaq</t>
        </is>
      </c>
      <c r="D3931" t="n">
        <v>1683541</v>
      </c>
      <c r="E3931" t="inlineStr">
        <is>
          <t>SEC</t>
        </is>
      </c>
    </row>
    <row r="3932">
      <c r="A3932" s="5">
        <f>HYPERLINK("https://finance.yahoo.com/quote/AVNW","AVNW")</f>
        <v/>
      </c>
      <c r="B3932" t="inlineStr">
        <is>
          <t>AVIAT NETWORKS, INC.</t>
        </is>
      </c>
      <c r="C3932" t="inlineStr">
        <is>
          <t>Nasdaq</t>
        </is>
      </c>
      <c r="D3932" t="n">
        <v>1377789</v>
      </c>
      <c r="E3932" t="inlineStr">
        <is>
          <t>SEC</t>
        </is>
      </c>
    </row>
    <row r="3933">
      <c r="A3933" s="5">
        <f>HYPERLINK("https://finance.yahoo.com/quote/AZ","AZ")</f>
        <v/>
      </c>
      <c r="B3933" t="inlineStr">
        <is>
          <t>A2Z CUST2MATE SOLUTIONS CORP.</t>
        </is>
      </c>
      <c r="C3933" t="inlineStr">
        <is>
          <t>Nasdaq</t>
        </is>
      </c>
      <c r="D3933" t="n">
        <v>1866030</v>
      </c>
      <c r="E3933" t="inlineStr">
        <is>
          <t>SEC</t>
        </is>
      </c>
    </row>
    <row r="3934">
      <c r="A3934" s="5">
        <f>HYPERLINK("https://finance.yahoo.com/quote/IPHX","IPHX")</f>
        <v/>
      </c>
      <c r="B3934" t="inlineStr">
        <is>
          <t>Inflection Point Acquisition Corp. VIII</t>
        </is>
      </c>
      <c r="C3934" t="inlineStr">
        <is>
          <t>Nasdaq</t>
        </is>
      </c>
      <c r="D3934" t="n">
        <v>2146310</v>
      </c>
      <c r="E3934" t="inlineStr">
        <is>
          <t>SEC</t>
        </is>
      </c>
    </row>
    <row r="3935">
      <c r="A3935" s="5">
        <f>HYPERLINK("https://finance.yahoo.com/quote/BRT","BRT")</f>
        <v/>
      </c>
      <c r="B3935" t="inlineStr">
        <is>
          <t>BRT Apartments Corp.</t>
        </is>
      </c>
      <c r="C3935" t="inlineStr">
        <is>
          <t>NYSE</t>
        </is>
      </c>
      <c r="D3935" t="n">
        <v>14846</v>
      </c>
      <c r="E3935" t="inlineStr">
        <is>
          <t>SEC</t>
        </is>
      </c>
    </row>
    <row r="3936">
      <c r="A3936" s="5">
        <f>HYPERLINK("https://finance.yahoo.com/quote/RBBN","RBBN")</f>
        <v/>
      </c>
      <c r="B3936" t="inlineStr">
        <is>
          <t>Ribbon Communications Inc.</t>
        </is>
      </c>
      <c r="C3936" t="inlineStr">
        <is>
          <t>Nasdaq</t>
        </is>
      </c>
      <c r="D3936" t="n">
        <v>1708055</v>
      </c>
      <c r="E3936" t="inlineStr">
        <is>
          <t>SEC</t>
        </is>
      </c>
    </row>
    <row r="3937">
      <c r="A3937" s="5">
        <f>HYPERLINK("https://finance.yahoo.com/quote/BCYC","BCYC")</f>
        <v/>
      </c>
      <c r="B3937" t="inlineStr">
        <is>
          <t>BICYCLE THERAPEUTICS PLC</t>
        </is>
      </c>
      <c r="C3937" t="inlineStr">
        <is>
          <t>Nasdaq</t>
        </is>
      </c>
      <c r="D3937" t="n">
        <v>1761612</v>
      </c>
      <c r="E3937" t="inlineStr">
        <is>
          <t>SEC</t>
        </is>
      </c>
    </row>
    <row r="3938">
      <c r="A3938" s="5">
        <f>HYPERLINK("https://finance.yahoo.com/quote/MCGA","MCGA")</f>
        <v/>
      </c>
      <c r="B3938" t="inlineStr">
        <is>
          <t>Yorkville Acquisition Corp.</t>
        </is>
      </c>
      <c r="C3938" t="inlineStr">
        <is>
          <t>Nasdaq</t>
        </is>
      </c>
      <c r="D3938" t="n">
        <v>2064658</v>
      </c>
      <c r="E3938" t="inlineStr">
        <is>
          <t>SEC</t>
        </is>
      </c>
    </row>
    <row r="3939">
      <c r="A3939" s="5">
        <f>HYPERLINK("https://finance.yahoo.com/quote/PNAQ","PNAQ")</f>
        <v/>
      </c>
      <c r="B3939" t="inlineStr">
        <is>
          <t>Pinnacle Acquisition Corp</t>
        </is>
      </c>
      <c r="C3939" t="inlineStr">
        <is>
          <t>NYSE</t>
        </is>
      </c>
      <c r="D3939" t="n">
        <v>2123955</v>
      </c>
      <c r="E3939" t="inlineStr">
        <is>
          <t>SEC</t>
        </is>
      </c>
    </row>
    <row r="3940">
      <c r="A3940" s="5">
        <f>HYPERLINK("https://finance.yahoo.com/quote/FBLA","FBLA")</f>
        <v/>
      </c>
      <c r="B3940" t="inlineStr">
        <is>
          <t>FB Bancorp, Inc. /MD/</t>
        </is>
      </c>
      <c r="C3940" t="inlineStr">
        <is>
          <t>Nasdaq</t>
        </is>
      </c>
      <c r="D3940" t="n">
        <v>2013639</v>
      </c>
      <c r="E3940" t="inlineStr">
        <is>
          <t>SEC</t>
        </is>
      </c>
    </row>
    <row r="3941">
      <c r="A3941" s="5">
        <f>HYPERLINK("https://finance.yahoo.com/quote/CABA","CABA")</f>
        <v/>
      </c>
      <c r="B3941" t="inlineStr">
        <is>
          <t>Cabaletta Bio, Inc.</t>
        </is>
      </c>
      <c r="C3941" t="inlineStr">
        <is>
          <t>Nasdaq</t>
        </is>
      </c>
      <c r="D3941" t="n">
        <v>1759138</v>
      </c>
      <c r="E3941" t="inlineStr">
        <is>
          <t>SEC</t>
        </is>
      </c>
    </row>
    <row r="3942">
      <c r="A3942" s="5">
        <f>HYPERLINK("https://finance.yahoo.com/quote/SOCA","SOCA")</f>
        <v/>
      </c>
      <c r="B3942" t="inlineStr">
        <is>
          <t>Solarius Capital Acquisition Corp.</t>
        </is>
      </c>
      <c r="C3942" t="inlineStr">
        <is>
          <t>Nasdaq</t>
        </is>
      </c>
      <c r="D3942" t="n">
        <v>2065948</v>
      </c>
      <c r="E3942" t="inlineStr">
        <is>
          <t>SEC</t>
        </is>
      </c>
    </row>
    <row r="3943">
      <c r="A3943" s="5">
        <f>HYPERLINK("https://finance.yahoo.com/quote/FUBO","FUBO")</f>
        <v/>
      </c>
      <c r="B3943" t="inlineStr">
        <is>
          <t>FuboTV Inc.</t>
        </is>
      </c>
      <c r="C3943" t="inlineStr">
        <is>
          <t>NYSE</t>
        </is>
      </c>
      <c r="D3943" t="n">
        <v>1484769</v>
      </c>
      <c r="E3943" t="inlineStr">
        <is>
          <t>SEC</t>
        </is>
      </c>
    </row>
    <row r="3944">
      <c r="A3944" s="5">
        <f>HYPERLINK("https://finance.yahoo.com/quote/SERV","SERV")</f>
        <v/>
      </c>
      <c r="B3944" t="inlineStr">
        <is>
          <t>Serve Robotics Inc. /DE/</t>
        </is>
      </c>
      <c r="C3944" t="inlineStr">
        <is>
          <t>Nasdaq</t>
        </is>
      </c>
      <c r="D3944" t="n">
        <v>1832483</v>
      </c>
      <c r="E3944" t="inlineStr">
        <is>
          <t>SEC</t>
        </is>
      </c>
    </row>
    <row r="3945">
      <c r="A3945" s="5">
        <f>HYPERLINK("https://finance.yahoo.com/quote/VNDA","VNDA")</f>
        <v/>
      </c>
      <c r="B3945" t="inlineStr">
        <is>
          <t>Vanda Pharmaceuticals Inc.</t>
        </is>
      </c>
      <c r="C3945" t="inlineStr">
        <is>
          <t>Nasdaq</t>
        </is>
      </c>
      <c r="D3945" t="n">
        <v>1347178</v>
      </c>
      <c r="E3945" t="inlineStr">
        <is>
          <t>SEC</t>
        </is>
      </c>
    </row>
    <row r="3946">
      <c r="A3946" s="5">
        <f>HYPERLINK("https://finance.yahoo.com/quote/PLAY","PLAY")</f>
        <v/>
      </c>
      <c r="B3946" t="inlineStr">
        <is>
          <t>Dave &amp; Buster's Entertainment, Inc.</t>
        </is>
      </c>
      <c r="C3946" t="inlineStr">
        <is>
          <t>Nasdaq</t>
        </is>
      </c>
      <c r="D3946" t="n">
        <v>1525769</v>
      </c>
      <c r="E3946" t="inlineStr">
        <is>
          <t>SEC</t>
        </is>
      </c>
    </row>
    <row r="3947">
      <c r="A3947" s="5">
        <f>HYPERLINK("https://finance.yahoo.com/quote/ACU","ACU")</f>
        <v/>
      </c>
      <c r="B3947" t="inlineStr">
        <is>
          <t>ACME UNITED CORP</t>
        </is>
      </c>
      <c r="C3947" t="inlineStr">
        <is>
          <t>NYSE</t>
        </is>
      </c>
      <c r="D3947" t="n">
        <v>2098</v>
      </c>
      <c r="E3947" t="inlineStr">
        <is>
          <t>SEC</t>
        </is>
      </c>
    </row>
    <row r="3948">
      <c r="A3948" s="5">
        <f>HYPERLINK("https://finance.yahoo.com/quote/IGAC","IGAC")</f>
        <v/>
      </c>
      <c r="B3948" t="inlineStr">
        <is>
          <t>Invest Green Acquisition Corp</t>
        </is>
      </c>
      <c r="C3948" t="inlineStr">
        <is>
          <t>Nasdaq</t>
        </is>
      </c>
      <c r="D3948" t="n">
        <v>2075068</v>
      </c>
      <c r="E3948" t="inlineStr">
        <is>
          <t>SEC</t>
        </is>
      </c>
    </row>
    <row r="3949">
      <c r="A3949" s="5">
        <f>HYPERLINK("https://finance.yahoo.com/quote/LFCR","LFCR")</f>
        <v/>
      </c>
      <c r="B3949" t="inlineStr">
        <is>
          <t>LIFECORE BIOMEDICAL, INC. DE</t>
        </is>
      </c>
      <c r="C3949" t="inlineStr">
        <is>
          <t>Nasdaq</t>
        </is>
      </c>
      <c r="D3949" t="n">
        <v>1005286</v>
      </c>
      <c r="E3949" t="inlineStr">
        <is>
          <t>SEC</t>
        </is>
      </c>
    </row>
    <row r="3950">
      <c r="A3950" s="5">
        <f>HYPERLINK("https://finance.yahoo.com/quote/CMTV","CMTV")</f>
        <v/>
      </c>
      <c r="B3950" t="inlineStr">
        <is>
          <t>COMMUNITY BANCORP /VT</t>
        </is>
      </c>
      <c r="C3950" t="inlineStr">
        <is>
          <t>Nasdaq</t>
        </is>
      </c>
      <c r="D3950" t="n">
        <v>718413</v>
      </c>
      <c r="E3950" t="inlineStr">
        <is>
          <t>SEC</t>
        </is>
      </c>
    </row>
    <row r="3951">
      <c r="A3951" s="5">
        <f>HYPERLINK("https://finance.yahoo.com/quote/DYNC","DYNC")</f>
        <v/>
      </c>
      <c r="B3951" t="inlineStr">
        <is>
          <t>Dynamix Corp</t>
        </is>
      </c>
      <c r="C3951" t="inlineStr">
        <is>
          <t>Nasdaq</t>
        </is>
      </c>
      <c r="D3951" t="n">
        <v>2028699</v>
      </c>
      <c r="E3951" t="inlineStr">
        <is>
          <t>SEC</t>
        </is>
      </c>
    </row>
    <row r="3952">
      <c r="A3952" s="5">
        <f>HYPERLINK("https://finance.yahoo.com/quote/CPZ","CPZ")</f>
        <v/>
      </c>
      <c r="B3952" t="inlineStr">
        <is>
          <t>Calamos Long/Short Equity &amp; Dynamic Income Trust</t>
        </is>
      </c>
      <c r="C3952" t="inlineStr">
        <is>
          <t>Nasdaq</t>
        </is>
      </c>
      <c r="D3952" t="n">
        <v>1717457</v>
      </c>
      <c r="E3952" t="inlineStr">
        <is>
          <t>SEC</t>
        </is>
      </c>
    </row>
    <row r="3953">
      <c r="A3953" s="5">
        <f>HYPERLINK("https://finance.yahoo.com/quote/DAAQ","DAAQ")</f>
        <v/>
      </c>
      <c r="B3953" t="inlineStr">
        <is>
          <t>Digital Asset Acquisition Corp.</t>
        </is>
      </c>
      <c r="C3953" t="inlineStr">
        <is>
          <t>Nasdaq</t>
        </is>
      </c>
      <c r="D3953" t="n">
        <v>2052162</v>
      </c>
      <c r="E3953" t="inlineStr">
        <is>
          <t>SEC</t>
        </is>
      </c>
    </row>
    <row r="3954">
      <c r="A3954" s="5">
        <f>HYPERLINK("https://finance.yahoo.com/quote/LRMR","LRMR")</f>
        <v/>
      </c>
      <c r="B3954" t="inlineStr">
        <is>
          <t>Larimar Therapeutics, Inc.</t>
        </is>
      </c>
      <c r="C3954" t="inlineStr">
        <is>
          <t>Nasdaq</t>
        </is>
      </c>
      <c r="D3954" t="n">
        <v>1374690</v>
      </c>
      <c r="E3954" t="inlineStr">
        <is>
          <t>SEC</t>
        </is>
      </c>
    </row>
    <row r="3955">
      <c r="A3955" s="5">
        <f>HYPERLINK("https://finance.yahoo.com/quote/SMDRF","SMDRF")</f>
        <v/>
      </c>
      <c r="B3955" t="inlineStr">
        <is>
          <t>SIERRA MADRE GOLD &amp; SILVER LTD.</t>
        </is>
      </c>
      <c r="C3955" t="inlineStr">
        <is>
          <t>OTC</t>
        </is>
      </c>
      <c r="D3955" t="n">
        <v>1939801</v>
      </c>
      <c r="E3955" t="inlineStr">
        <is>
          <t>SEC</t>
        </is>
      </c>
    </row>
    <row r="3956">
      <c r="A3956" s="5">
        <f>HYPERLINK("https://finance.yahoo.com/quote/ACIU","ACIU")</f>
        <v/>
      </c>
      <c r="B3956" t="inlineStr">
        <is>
          <t>AC Immune SA</t>
        </is>
      </c>
      <c r="C3956" t="inlineStr">
        <is>
          <t>Nasdaq</t>
        </is>
      </c>
      <c r="D3956" t="n">
        <v>1651625</v>
      </c>
      <c r="E3956" t="inlineStr">
        <is>
          <t>SEC</t>
        </is>
      </c>
    </row>
    <row r="3957">
      <c r="A3957" s="5">
        <f>HYPERLINK("https://finance.yahoo.com/quote/STRT","STRT")</f>
        <v/>
      </c>
      <c r="B3957" t="inlineStr">
        <is>
          <t>STRATTEC SECURITY CORP</t>
        </is>
      </c>
      <c r="C3957" t="inlineStr">
        <is>
          <t>Nasdaq</t>
        </is>
      </c>
      <c r="D3957" t="n">
        <v>933034</v>
      </c>
      <c r="E3957" t="inlineStr">
        <is>
          <t>SEC</t>
        </is>
      </c>
    </row>
    <row r="3958">
      <c r="A3958" s="5">
        <f>HYPERLINK("https://finance.yahoo.com/quote/QNC","QNC")</f>
        <v/>
      </c>
      <c r="B3958" t="inlineStr">
        <is>
          <t>Quantum eMotion Corp</t>
        </is>
      </c>
      <c r="C3958" t="inlineStr">
        <is>
          <t>NYSE</t>
        </is>
      </c>
      <c r="D3958" t="n">
        <v>2106613</v>
      </c>
      <c r="E3958" t="inlineStr">
        <is>
          <t>SEC</t>
        </is>
      </c>
    </row>
    <row r="3959">
      <c r="A3959" s="5">
        <f>HYPERLINK("https://finance.yahoo.com/quote/REFI","REFI")</f>
        <v/>
      </c>
      <c r="B3959" t="inlineStr">
        <is>
          <t>Chicago Atlantic Real Estate Finance, Inc.</t>
        </is>
      </c>
      <c r="C3959" t="inlineStr">
        <is>
          <t>Nasdaq</t>
        </is>
      </c>
      <c r="D3959" t="n">
        <v>1867949</v>
      </c>
      <c r="E3959" t="inlineStr">
        <is>
          <t>SEC</t>
        </is>
      </c>
    </row>
    <row r="3960">
      <c r="A3960" s="5">
        <f>HYPERLINK("https://finance.yahoo.com/quote/RFAI","RFAI")</f>
        <v/>
      </c>
      <c r="B3960" t="inlineStr">
        <is>
          <t>RF Acquisition Corp II</t>
        </is>
      </c>
      <c r="C3960" t="inlineStr">
        <is>
          <t>Nasdaq</t>
        </is>
      </c>
      <c r="D3960" t="n">
        <v>2012807</v>
      </c>
      <c r="E3960" t="inlineStr">
        <is>
          <t>SEC</t>
        </is>
      </c>
    </row>
    <row r="3961">
      <c r="A3961" s="5">
        <f>HYPERLINK("https://finance.yahoo.com/quote/NUW","NUW")</f>
        <v/>
      </c>
      <c r="B3961" t="inlineStr">
        <is>
          <t>Nuveen AMT-Free Municipal Value Fund</t>
        </is>
      </c>
      <c r="C3961" t="inlineStr">
        <is>
          <t>NYSE</t>
        </is>
      </c>
      <c r="D3961" t="n">
        <v>1450445</v>
      </c>
      <c r="E3961" t="inlineStr">
        <is>
          <t>SEC</t>
        </is>
      </c>
    </row>
    <row r="3962">
      <c r="A3962" s="5">
        <f>HYPERLINK("https://finance.yahoo.com/quote/IMRX","IMRX")</f>
        <v/>
      </c>
      <c r="B3962" t="inlineStr">
        <is>
          <t>Immuneering Corp</t>
        </is>
      </c>
      <c r="C3962" t="inlineStr">
        <is>
          <t>Nasdaq</t>
        </is>
      </c>
      <c r="D3962" t="n">
        <v>1790340</v>
      </c>
      <c r="E3962" t="inlineStr">
        <is>
          <t>SEC</t>
        </is>
      </c>
    </row>
    <row r="3963">
      <c r="A3963" s="5">
        <f>HYPERLINK("https://finance.yahoo.com/quote/USDE","USDE")</f>
        <v/>
      </c>
      <c r="B3963" t="inlineStr">
        <is>
          <t>StableCoinX Inc.</t>
        </is>
      </c>
      <c r="C3963" t="inlineStr">
        <is>
          <t>Nasdaq</t>
        </is>
      </c>
      <c r="D3963" t="n">
        <v>2080215</v>
      </c>
      <c r="E3963" t="inlineStr">
        <is>
          <t>SEC</t>
        </is>
      </c>
    </row>
    <row r="3964">
      <c r="A3964" s="5">
        <f>HYPERLINK("https://finance.yahoo.com/quote/TDWD","TDWD")</f>
        <v/>
      </c>
      <c r="B3964" t="inlineStr">
        <is>
          <t>Tailwind 2.0 Acquisition Corp.</t>
        </is>
      </c>
      <c r="C3964" t="inlineStr">
        <is>
          <t>Nasdaq</t>
        </is>
      </c>
      <c r="D3964" t="n">
        <v>2076616</v>
      </c>
      <c r="E3964" t="inlineStr">
        <is>
          <t>SEC</t>
        </is>
      </c>
    </row>
    <row r="3965">
      <c r="A3965" s="5">
        <f>HYPERLINK("https://finance.yahoo.com/quote/SMRT","SMRT")</f>
        <v/>
      </c>
      <c r="B3965" t="inlineStr">
        <is>
          <t>SmartRent, Inc.</t>
        </is>
      </c>
      <c r="C3965" t="inlineStr">
        <is>
          <t>NYSE</t>
        </is>
      </c>
      <c r="D3965" t="n">
        <v>1837014</v>
      </c>
      <c r="E3965" t="inlineStr">
        <is>
          <t>SEC</t>
        </is>
      </c>
    </row>
    <row r="3966">
      <c r="A3966" s="5">
        <f>HYPERLINK("https://finance.yahoo.com/quote/EXFY","EXFY")</f>
        <v/>
      </c>
      <c r="B3966" t="inlineStr">
        <is>
          <t>Expensify, Inc.</t>
        </is>
      </c>
      <c r="C3966" t="inlineStr">
        <is>
          <t>Nasdaq</t>
        </is>
      </c>
      <c r="D3966" t="n">
        <v>1476840</v>
      </c>
      <c r="E3966" t="inlineStr">
        <is>
          <t>SEC</t>
        </is>
      </c>
    </row>
    <row r="3967">
      <c r="A3967" s="5">
        <f>HYPERLINK("https://finance.yahoo.com/quote/SNFCA","SNFCA")</f>
        <v/>
      </c>
      <c r="B3967" t="inlineStr">
        <is>
          <t>SECURITY NATIONAL FINANCIAL CORP</t>
        </is>
      </c>
      <c r="C3967" t="inlineStr">
        <is>
          <t>Nasdaq</t>
        </is>
      </c>
      <c r="D3967" t="n">
        <v>318673</v>
      </c>
      <c r="E3967" t="inlineStr">
        <is>
          <t>SEC</t>
        </is>
      </c>
    </row>
    <row r="3968">
      <c r="A3968" s="5">
        <f>HYPERLINK("https://finance.yahoo.com/quote/PALI","PALI")</f>
        <v/>
      </c>
      <c r="B3968" t="inlineStr">
        <is>
          <t>PALISADE BIO, INC.</t>
        </is>
      </c>
      <c r="C3968" t="inlineStr">
        <is>
          <t>Nasdaq</t>
        </is>
      </c>
      <c r="D3968" t="n">
        <v>1357459</v>
      </c>
      <c r="E3968" t="inlineStr">
        <is>
          <t>SEC</t>
        </is>
      </c>
    </row>
    <row r="3969">
      <c r="A3969" s="5">
        <f>HYPERLINK("https://finance.yahoo.com/quote/IMMR","IMMR")</f>
        <v/>
      </c>
      <c r="B3969" t="inlineStr">
        <is>
          <t>IMMERSION CORP</t>
        </is>
      </c>
      <c r="C3969" t="inlineStr">
        <is>
          <t>Nasdaq</t>
        </is>
      </c>
      <c r="D3969" t="n">
        <v>1058811</v>
      </c>
      <c r="E3969" t="inlineStr">
        <is>
          <t>SEC</t>
        </is>
      </c>
    </row>
    <row r="3970">
      <c r="A3970" s="5">
        <f>HYPERLINK("https://finance.yahoo.com/quote/AACP","AACP")</f>
        <v/>
      </c>
      <c r="B3970" t="inlineStr">
        <is>
          <t>Apogee Acquisition Corp</t>
        </is>
      </c>
      <c r="C3970" t="inlineStr">
        <is>
          <t>Nasdaq</t>
        </is>
      </c>
      <c r="D3970" t="n">
        <v>2102123</v>
      </c>
      <c r="E3970" t="inlineStr">
        <is>
          <t>SEC</t>
        </is>
      </c>
    </row>
    <row r="3971">
      <c r="A3971" s="5">
        <f>HYPERLINK("https://finance.yahoo.com/quote/MAGH","MAGH")</f>
        <v/>
      </c>
      <c r="B3971" t="inlineStr">
        <is>
          <t>Magnitude International Ltd</t>
        </is>
      </c>
      <c r="C3971" t="inlineStr">
        <is>
          <t>Nasdaq</t>
        </is>
      </c>
      <c r="D3971" t="n">
        <v>2046117</v>
      </c>
      <c r="E3971" t="inlineStr">
        <is>
          <t>SEC</t>
        </is>
      </c>
    </row>
    <row r="3972">
      <c r="A3972" s="5">
        <f>HYPERLINK("https://finance.yahoo.com/quote/RGCO","RGCO")</f>
        <v/>
      </c>
      <c r="B3972" t="inlineStr">
        <is>
          <t>RGC RESOURCES INC</t>
        </is>
      </c>
      <c r="C3972" t="inlineStr">
        <is>
          <t>Nasdaq</t>
        </is>
      </c>
      <c r="D3972" t="n">
        <v>1069533</v>
      </c>
      <c r="E3972" t="inlineStr">
        <is>
          <t>SEC</t>
        </is>
      </c>
    </row>
    <row r="3973">
      <c r="A3973" s="5">
        <f>HYPERLINK("https://finance.yahoo.com/quote/SSAC","SSAC")</f>
        <v/>
      </c>
      <c r="B3973" t="inlineStr">
        <is>
          <t>SPACSphere Acquisition Corp.</t>
        </is>
      </c>
      <c r="C3973" t="inlineStr">
        <is>
          <t>Nasdaq</t>
        </is>
      </c>
      <c r="D3973" t="n">
        <v>2081300</v>
      </c>
      <c r="E3973" t="inlineStr">
        <is>
          <t>SEC</t>
        </is>
      </c>
    </row>
    <row r="3974">
      <c r="A3974" s="5">
        <f>HYPERLINK("https://finance.yahoo.com/quote/TWLV","TWLV")</f>
        <v/>
      </c>
      <c r="B3974" t="inlineStr">
        <is>
          <t>Twelve Seas Investment Co III/Cayman</t>
        </is>
      </c>
      <c r="C3974" t="inlineStr">
        <is>
          <t>Nasdaq</t>
        </is>
      </c>
      <c r="D3974" t="n">
        <v>2052243</v>
      </c>
      <c r="E3974" t="inlineStr">
        <is>
          <t>SEC</t>
        </is>
      </c>
    </row>
    <row r="3975">
      <c r="A3975" s="5">
        <f>HYPERLINK("https://finance.yahoo.com/quote/UTMD","UTMD")</f>
        <v/>
      </c>
      <c r="B3975" t="inlineStr">
        <is>
          <t>UTAH MEDICAL PRODUCTS INC</t>
        </is>
      </c>
      <c r="C3975" t="inlineStr">
        <is>
          <t>Nasdaq</t>
        </is>
      </c>
      <c r="D3975" t="n">
        <v>706698</v>
      </c>
      <c r="E3975" t="inlineStr">
        <is>
          <t>SEC</t>
        </is>
      </c>
    </row>
    <row r="3976">
      <c r="A3976" s="5">
        <f>HYPERLINK("https://finance.yahoo.com/quote/ERC","ERC")</f>
        <v/>
      </c>
      <c r="B3976" t="inlineStr">
        <is>
          <t>ALLSPRING MULTI-SECTOR INCOME FUND</t>
        </is>
      </c>
      <c r="C3976" t="inlineStr">
        <is>
          <t>NYSE</t>
        </is>
      </c>
      <c r="D3976" t="n">
        <v>1227073</v>
      </c>
      <c r="E3976" t="inlineStr">
        <is>
          <t>SEC</t>
        </is>
      </c>
    </row>
    <row r="3977">
      <c r="A3977" s="5">
        <f>HYPERLINK("https://finance.yahoo.com/quote/COPL","COPL")</f>
        <v/>
      </c>
      <c r="B3977" t="inlineStr">
        <is>
          <t>Copley Acquisition Corp</t>
        </is>
      </c>
      <c r="C3977" t="inlineStr">
        <is>
          <t>NYSE</t>
        </is>
      </c>
      <c r="D3977" t="n">
        <v>2045473</v>
      </c>
      <c r="E3977" t="inlineStr">
        <is>
          <t>SEC</t>
        </is>
      </c>
    </row>
    <row r="3978">
      <c r="A3978" s="5">
        <f>HYPERLINK("https://finance.yahoo.com/quote/SRV","SRV")</f>
        <v/>
      </c>
      <c r="B3978" t="inlineStr">
        <is>
          <t>NXG Cushing Midstream Energy Fund</t>
        </is>
      </c>
      <c r="C3978" t="inlineStr">
        <is>
          <t>NYSE</t>
        </is>
      </c>
      <c r="D3978" t="n">
        <v>1400897</v>
      </c>
      <c r="E3978" t="inlineStr">
        <is>
          <t>SEC</t>
        </is>
      </c>
    </row>
    <row r="3979">
      <c r="A3979" s="5">
        <f>HYPERLINK("https://finance.yahoo.com/quote/AMWL","AMWL")</f>
        <v/>
      </c>
      <c r="B3979" t="inlineStr">
        <is>
          <t>American Well Corp</t>
        </is>
      </c>
      <c r="C3979" t="inlineStr">
        <is>
          <t>NYSE</t>
        </is>
      </c>
      <c r="D3979" t="n">
        <v>1393584</v>
      </c>
      <c r="E3979" t="inlineStr">
        <is>
          <t>SEC</t>
        </is>
      </c>
    </row>
    <row r="3980">
      <c r="A3980" s="5">
        <f>HYPERLINK("https://finance.yahoo.com/quote/LAB","LAB")</f>
        <v/>
      </c>
      <c r="B3980" t="inlineStr">
        <is>
          <t>STANDARD BIOTOOLS INC.</t>
        </is>
      </c>
      <c r="C3980" t="inlineStr">
        <is>
          <t>Nasdaq</t>
        </is>
      </c>
      <c r="D3980" t="n">
        <v>1162194</v>
      </c>
      <c r="E3980" t="inlineStr">
        <is>
          <t>SEC</t>
        </is>
      </c>
    </row>
    <row r="3981">
      <c r="A3981" s="5">
        <f>HYPERLINK("https://finance.yahoo.com/quote/FOTB","FOTB")</f>
        <v/>
      </c>
      <c r="B3981" t="inlineStr">
        <is>
          <t>FIRST OTTAWA BANCSHARES, INC.</t>
        </is>
      </c>
      <c r="C3981" t="inlineStr">
        <is>
          <t>OTC</t>
        </is>
      </c>
      <c r="D3981" t="n">
        <v>1099668</v>
      </c>
      <c r="E3981" t="inlineStr">
        <is>
          <t>SEC</t>
        </is>
      </c>
    </row>
    <row r="3982">
      <c r="A3982" s="5">
        <f>HYPERLINK("https://finance.yahoo.com/quote/FORR","FORR")</f>
        <v/>
      </c>
      <c r="B3982" t="inlineStr">
        <is>
          <t>FORRESTER RESEARCH, INC.</t>
        </is>
      </c>
      <c r="C3982" t="inlineStr">
        <is>
          <t>Nasdaq</t>
        </is>
      </c>
      <c r="D3982" t="n">
        <v>1023313</v>
      </c>
      <c r="E3982" t="inlineStr">
        <is>
          <t>SEC</t>
        </is>
      </c>
    </row>
    <row r="3983">
      <c r="A3983" s="5">
        <f>HYPERLINK("https://finance.yahoo.com/quote/LATA","LATA")</f>
        <v/>
      </c>
      <c r="B3983" t="inlineStr">
        <is>
          <t>Galata Acquisition Corp. II</t>
        </is>
      </c>
      <c r="C3983" t="inlineStr">
        <is>
          <t>Nasdaq</t>
        </is>
      </c>
      <c r="D3983" t="n">
        <v>2076427</v>
      </c>
      <c r="E3983" t="inlineStr">
        <is>
          <t>SEC</t>
        </is>
      </c>
    </row>
    <row r="3984">
      <c r="A3984" s="5">
        <f>HYPERLINK("https://finance.yahoo.com/quote/SVRSF","SVRSF")</f>
        <v/>
      </c>
      <c r="B3984" t="inlineStr">
        <is>
          <t>Silver Storm Mining Ltd.</t>
        </is>
      </c>
      <c r="C3984" t="inlineStr">
        <is>
          <t>OTC</t>
        </is>
      </c>
      <c r="D3984" t="n">
        <v>1682056</v>
      </c>
      <c r="E3984" t="inlineStr">
        <is>
          <t>SEC</t>
        </is>
      </c>
    </row>
    <row r="3985">
      <c r="A3985" s="5">
        <f>HYPERLINK("https://finance.yahoo.com/quote/SUMA","SUMA")</f>
        <v/>
      </c>
      <c r="B3985" t="inlineStr">
        <is>
          <t>SUMA Acquisition Corp</t>
        </is>
      </c>
      <c r="C3985" t="inlineStr">
        <is>
          <t>Nasdaq</t>
        </is>
      </c>
      <c r="D3985" t="n">
        <v>2105838</v>
      </c>
      <c r="E3985" t="inlineStr">
        <is>
          <t>SEC</t>
        </is>
      </c>
    </row>
    <row r="3986">
      <c r="A3986" s="5">
        <f>HYPERLINK("https://finance.yahoo.com/quote/PPIH","PPIH")</f>
        <v/>
      </c>
      <c r="B3986" t="inlineStr">
        <is>
          <t>Perma-Pipe International Holdings, Inc.</t>
        </is>
      </c>
      <c r="C3986" t="inlineStr">
        <is>
          <t>Nasdaq</t>
        </is>
      </c>
      <c r="D3986" t="n">
        <v>914122</v>
      </c>
      <c r="E3986" t="inlineStr">
        <is>
          <t>SEC</t>
        </is>
      </c>
    </row>
    <row r="3987">
      <c r="A3987" s="5">
        <f>HYPERLINK("https://finance.yahoo.com/quote/DYOR","DYOR")</f>
        <v/>
      </c>
      <c r="B3987" t="inlineStr">
        <is>
          <t>Insight Digital Partners II</t>
        </is>
      </c>
      <c r="C3987" t="inlineStr">
        <is>
          <t>Nasdaq</t>
        </is>
      </c>
      <c r="D3987" t="n">
        <v>2079292</v>
      </c>
      <c r="E3987" t="inlineStr">
        <is>
          <t>SEC</t>
        </is>
      </c>
    </row>
    <row r="3988">
      <c r="A3988" s="5">
        <f>HYPERLINK("https://finance.yahoo.com/quote/RLTY","RLTY")</f>
        <v/>
      </c>
      <c r="B3988" t="inlineStr">
        <is>
          <t>Cohen &amp; Steers Real Estate Opportunities &amp; Income Fund</t>
        </is>
      </c>
      <c r="C3988" t="inlineStr">
        <is>
          <t>NYSE</t>
        </is>
      </c>
      <c r="D3988" t="n">
        <v>1866874</v>
      </c>
      <c r="E3988" t="inlineStr">
        <is>
          <t>SEC</t>
        </is>
      </c>
    </row>
    <row r="3989">
      <c r="A3989" s="5">
        <f>HYPERLINK("https://finance.yahoo.com/quote/BIOA","BIOA")</f>
        <v/>
      </c>
      <c r="B3989" t="inlineStr">
        <is>
          <t>BioAge Labs, Inc.</t>
        </is>
      </c>
      <c r="C3989" t="inlineStr">
        <is>
          <t>Nasdaq</t>
        </is>
      </c>
      <c r="D3989" t="n">
        <v>1709941</v>
      </c>
      <c r="E3989" t="inlineStr">
        <is>
          <t>SEC</t>
        </is>
      </c>
    </row>
    <row r="3990">
      <c r="A3990" s="5">
        <f>HYPERLINK("https://finance.yahoo.com/quote/HITI","HITI")</f>
        <v/>
      </c>
      <c r="B3990" t="inlineStr">
        <is>
          <t>High Tide Inc.</t>
        </is>
      </c>
      <c r="C3990" t="inlineStr">
        <is>
          <t>Nasdaq</t>
        </is>
      </c>
      <c r="D3990" t="n">
        <v>1847409</v>
      </c>
      <c r="E3990" t="inlineStr">
        <is>
          <t>SEC</t>
        </is>
      </c>
    </row>
    <row r="3991">
      <c r="A3991" s="5">
        <f>HYPERLINK("https://finance.yahoo.com/quote/BLRK","BLRK")</f>
        <v/>
      </c>
      <c r="B3991" t="inlineStr">
        <is>
          <t>Bluerock Acquisition Corp.</t>
        </is>
      </c>
      <c r="C3991" t="inlineStr">
        <is>
          <t>Nasdaq</t>
        </is>
      </c>
      <c r="D3991" t="n">
        <v>2081532</v>
      </c>
      <c r="E3991" t="inlineStr">
        <is>
          <t>SEC</t>
        </is>
      </c>
    </row>
    <row r="3992">
      <c r="A3992" s="5">
        <f>HYPERLINK("https://finance.yahoo.com/quote/NUS","NUS")</f>
        <v/>
      </c>
      <c r="B3992" t="inlineStr">
        <is>
          <t>NU SKIN ENTERPRISES, INC.</t>
        </is>
      </c>
      <c r="C3992" t="inlineStr">
        <is>
          <t>NYSE</t>
        </is>
      </c>
      <c r="D3992" t="n">
        <v>1021561</v>
      </c>
      <c r="E3992" t="inlineStr">
        <is>
          <t>SEC</t>
        </is>
      </c>
    </row>
    <row r="3993">
      <c r="A3993" s="5">
        <f>HYPERLINK("https://finance.yahoo.com/quote/GLSI","GLSI")</f>
        <v/>
      </c>
      <c r="B3993" t="inlineStr">
        <is>
          <t>Greenwich LifeSciences, Inc.</t>
        </is>
      </c>
      <c r="C3993" t="inlineStr">
        <is>
          <t>Nasdaq</t>
        </is>
      </c>
      <c r="D3993" t="n">
        <v>1799788</v>
      </c>
      <c r="E3993" t="inlineStr">
        <is>
          <t>SEC</t>
        </is>
      </c>
    </row>
    <row r="3994">
      <c r="A3994" s="5">
        <f>HYPERLINK("https://finance.yahoo.com/quote/GRRR","GRRR")</f>
        <v/>
      </c>
      <c r="B3994" t="inlineStr">
        <is>
          <t>Gorilla Technology Group Inc.</t>
        </is>
      </c>
      <c r="C3994" t="inlineStr">
        <is>
          <t>Nasdaq</t>
        </is>
      </c>
      <c r="D3994" t="n">
        <v>1903145</v>
      </c>
      <c r="E3994" t="inlineStr">
        <is>
          <t>SEC</t>
        </is>
      </c>
    </row>
    <row r="3995">
      <c r="A3995" s="5">
        <f>HYPERLINK("https://finance.yahoo.com/quote/PEBK","PEBK")</f>
        <v/>
      </c>
      <c r="B3995" t="inlineStr">
        <is>
          <t>PEOPLES BANCORP OF NORTH CAROLINA INC</t>
        </is>
      </c>
      <c r="C3995" t="inlineStr">
        <is>
          <t>Nasdaq</t>
        </is>
      </c>
      <c r="D3995" t="n">
        <v>1093672</v>
      </c>
      <c r="E3995" t="inlineStr">
        <is>
          <t>SEC</t>
        </is>
      </c>
    </row>
    <row r="3996">
      <c r="A3996" s="5">
        <f>HYPERLINK("https://finance.yahoo.com/quote/BIII","BIII")</f>
        <v/>
      </c>
      <c r="B3996" t="inlineStr">
        <is>
          <t>Black Spade Acquisition III Co</t>
        </is>
      </c>
      <c r="C3996" t="inlineStr">
        <is>
          <t>NYSE</t>
        </is>
      </c>
      <c r="D3996" t="n">
        <v>2087087</v>
      </c>
      <c r="E3996" t="inlineStr">
        <is>
          <t>SEC</t>
        </is>
      </c>
    </row>
    <row r="3997">
      <c r="A3997" s="5">
        <f>HYPERLINK("https://finance.yahoo.com/quote/SVCC","SVCC")</f>
        <v/>
      </c>
      <c r="B3997" t="inlineStr">
        <is>
          <t>Stellar V Capital Corp. (Cayman Islands)</t>
        </is>
      </c>
      <c r="C3997" t="inlineStr">
        <is>
          <t>Nasdaq</t>
        </is>
      </c>
      <c r="D3997" t="n">
        <v>2033593</v>
      </c>
      <c r="E3997" t="inlineStr">
        <is>
          <t>SEC</t>
        </is>
      </c>
    </row>
    <row r="3998">
      <c r="A3998" s="5">
        <f>HYPERLINK("https://finance.yahoo.com/quote/INBK","INBK")</f>
        <v/>
      </c>
      <c r="B3998" t="inlineStr">
        <is>
          <t>First Internet Bancorp</t>
        </is>
      </c>
      <c r="C3998" t="inlineStr">
        <is>
          <t>Nasdaq</t>
        </is>
      </c>
      <c r="D3998" t="n">
        <v>1562463</v>
      </c>
      <c r="E3998" t="inlineStr">
        <is>
          <t>SEC</t>
        </is>
      </c>
    </row>
    <row r="3999">
      <c r="A3999" s="5">
        <f>HYPERLINK("https://finance.yahoo.com/quote/IFRX","IFRX")</f>
        <v/>
      </c>
      <c r="B3999" t="inlineStr">
        <is>
          <t>InflaRx N.V.</t>
        </is>
      </c>
      <c r="C3999" t="inlineStr">
        <is>
          <t>Nasdaq</t>
        </is>
      </c>
      <c r="D3999" t="n">
        <v>1708688</v>
      </c>
      <c r="E3999" t="inlineStr">
        <is>
          <t>SEC</t>
        </is>
      </c>
    </row>
    <row r="4000">
      <c r="A4000" s="5">
        <f>HYPERLINK("https://finance.yahoo.com/quote/RCS","RCS")</f>
        <v/>
      </c>
      <c r="B4000" t="inlineStr">
        <is>
          <t>PIMCO STRATEGIC INCOME FUND, INC.</t>
        </is>
      </c>
      <c r="C4000" t="inlineStr">
        <is>
          <t>NYSE</t>
        </is>
      </c>
      <c r="D4000" t="n">
        <v>916183</v>
      </c>
      <c r="E4000" t="inlineStr">
        <is>
          <t>SEC</t>
        </is>
      </c>
    </row>
    <row r="4001">
      <c r="A4001" s="5">
        <f>HYPERLINK("https://finance.yahoo.com/quote/SMHI","SMHI")</f>
        <v/>
      </c>
      <c r="B4001" t="inlineStr">
        <is>
          <t>SEACOR Marine Holdings Inc.</t>
        </is>
      </c>
      <c r="C4001" t="inlineStr">
        <is>
          <t>NYSE</t>
        </is>
      </c>
      <c r="D4001" t="n">
        <v>1690334</v>
      </c>
      <c r="E4001" t="inlineStr">
        <is>
          <t>SEC</t>
        </is>
      </c>
    </row>
    <row r="4002">
      <c r="A4002" s="5">
        <f>HYPERLINK("https://finance.yahoo.com/quote/FGPR","FGPR")</f>
        <v/>
      </c>
      <c r="B4002" t="inlineStr">
        <is>
          <t>FERRELLGAS PARTNERS L P</t>
        </is>
      </c>
      <c r="C4002" t="inlineStr">
        <is>
          <t>OTC</t>
        </is>
      </c>
      <c r="D4002" t="n">
        <v>922358</v>
      </c>
      <c r="E4002" t="inlineStr">
        <is>
          <t>SEC</t>
        </is>
      </c>
    </row>
    <row r="4003">
      <c r="A4003" s="5">
        <f>HYPERLINK("https://finance.yahoo.com/quote/CRAC","CRAC")</f>
        <v/>
      </c>
      <c r="B4003" t="inlineStr">
        <is>
          <t>Crown Reserve Acquisition Corp. I</t>
        </is>
      </c>
      <c r="C4003" t="inlineStr">
        <is>
          <t>Nasdaq</t>
        </is>
      </c>
      <c r="D4003" t="n">
        <v>2070887</v>
      </c>
      <c r="E4003" t="inlineStr">
        <is>
          <t>SEC</t>
        </is>
      </c>
    </row>
    <row r="4004">
      <c r="A4004" s="5">
        <f>HYPERLINK("https://finance.yahoo.com/quote/LXEO","LXEO")</f>
        <v/>
      </c>
      <c r="B4004" t="inlineStr">
        <is>
          <t>Lexeo Therapeutics, Inc.</t>
        </is>
      </c>
      <c r="C4004" t="inlineStr">
        <is>
          <t>Nasdaq</t>
        </is>
      </c>
      <c r="D4004" t="n">
        <v>1907108</v>
      </c>
      <c r="E4004" t="inlineStr">
        <is>
          <t>SEC</t>
        </is>
      </c>
    </row>
    <row r="4005">
      <c r="A4005" s="5">
        <f>HYPERLINK("https://finance.yahoo.com/quote/FFPP","FFPP")</f>
        <v/>
      </c>
      <c r="B4005" t="inlineStr">
        <is>
          <t>Fast Finance Pay Corp.</t>
        </is>
      </c>
      <c r="C4005" t="inlineStr">
        <is>
          <t>OTC</t>
        </is>
      </c>
      <c r="D4005" t="n">
        <v>2109616</v>
      </c>
      <c r="E4005" t="inlineStr">
        <is>
          <t>SEC</t>
        </is>
      </c>
    </row>
    <row r="4006">
      <c r="A4006" s="5">
        <f>HYPERLINK("https://finance.yahoo.com/quote/TVIV","TVIV")</f>
        <v/>
      </c>
      <c r="B4006" t="inlineStr">
        <is>
          <t>Texas Ventures Acquisition IV Corp</t>
        </is>
      </c>
      <c r="C4006" t="inlineStr">
        <is>
          <t>Nasdaq</t>
        </is>
      </c>
      <c r="D4006" t="n">
        <v>2096755</v>
      </c>
      <c r="E4006" t="inlineStr">
        <is>
          <t>SEC</t>
        </is>
      </c>
    </row>
    <row r="4007">
      <c r="A4007" s="5">
        <f>HYPERLINK("https://finance.yahoo.com/quote/AENT","AENT")</f>
        <v/>
      </c>
      <c r="B4007" t="inlineStr">
        <is>
          <t>ALLIANCE ENTERTAINMENT HOLDING CORP</t>
        </is>
      </c>
      <c r="C4007" t="inlineStr">
        <is>
          <t>Nasdaq</t>
        </is>
      </c>
      <c r="D4007" t="n">
        <v>1823584</v>
      </c>
      <c r="E4007" t="inlineStr">
        <is>
          <t>SEC</t>
        </is>
      </c>
    </row>
    <row r="4008">
      <c r="A4008" s="5">
        <f>HYPERLINK("https://finance.yahoo.com/quote/IRAB","IRAB")</f>
        <v/>
      </c>
      <c r="B4008" t="inlineStr">
        <is>
          <t>Iris Acquisition Corp II</t>
        </is>
      </c>
      <c r="C4008" t="inlineStr">
        <is>
          <t>NYSE</t>
        </is>
      </c>
      <c r="D4008" t="n">
        <v>2077785</v>
      </c>
      <c r="E4008" t="inlineStr">
        <is>
          <t>SEC</t>
        </is>
      </c>
    </row>
    <row r="4009">
      <c r="A4009" s="5">
        <f>HYPERLINK("https://finance.yahoo.com/quote/LTGR","LTGR")</f>
        <v/>
      </c>
      <c r="B4009" t="inlineStr">
        <is>
          <t>Long Table Growth Corp.</t>
        </is>
      </c>
      <c r="C4009" t="inlineStr">
        <is>
          <t>Nasdaq</t>
        </is>
      </c>
      <c r="D4009" t="n">
        <v>2104177</v>
      </c>
      <c r="E4009" t="inlineStr">
        <is>
          <t>SEC</t>
        </is>
      </c>
    </row>
    <row r="4010">
      <c r="A4010" s="5">
        <f>HYPERLINK("https://finance.yahoo.com/quote/YSG","YSG")</f>
        <v/>
      </c>
      <c r="B4010" t="inlineStr">
        <is>
          <t>Yatsen Holding Ltd</t>
        </is>
      </c>
      <c r="C4010" t="inlineStr">
        <is>
          <t>NYSE</t>
        </is>
      </c>
      <c r="D4010" t="n">
        <v>1819580</v>
      </c>
      <c r="E4010" t="inlineStr">
        <is>
          <t>SEC</t>
        </is>
      </c>
    </row>
    <row r="4011">
      <c r="A4011" s="5">
        <f>HYPERLINK("https://finance.yahoo.com/quote/SLGL","SLGL")</f>
        <v/>
      </c>
      <c r="B4011" t="inlineStr">
        <is>
          <t>Sol-Gel Technologies Ltd.</t>
        </is>
      </c>
      <c r="C4011" t="inlineStr">
        <is>
          <t>Nasdaq</t>
        </is>
      </c>
      <c r="D4011" t="n">
        <v>1684693</v>
      </c>
      <c r="E4011" t="inlineStr">
        <is>
          <t>SEC</t>
        </is>
      </c>
    </row>
    <row r="4012">
      <c r="A4012" s="5">
        <f>HYPERLINK("https://finance.yahoo.com/quote/LYEL","LYEL")</f>
        <v/>
      </c>
      <c r="B4012" t="inlineStr">
        <is>
          <t>Lyell Immunopharma, Inc.</t>
        </is>
      </c>
      <c r="C4012" t="inlineStr">
        <is>
          <t>Nasdaq</t>
        </is>
      </c>
      <c r="D4012" t="n">
        <v>1806952</v>
      </c>
      <c r="E4012" t="inlineStr">
        <is>
          <t>SEC</t>
        </is>
      </c>
    </row>
    <row r="4013">
      <c r="A4013" s="5">
        <f>HYPERLINK("https://finance.yahoo.com/quote/BKKT","BKKT")</f>
        <v/>
      </c>
      <c r="B4013" t="inlineStr">
        <is>
          <t>Bakkt, Inc.</t>
        </is>
      </c>
      <c r="C4013" t="inlineStr">
        <is>
          <t>NYSE</t>
        </is>
      </c>
      <c r="D4013" t="n">
        <v>1820302</v>
      </c>
      <c r="E4013" t="inlineStr">
        <is>
          <t>SEC</t>
        </is>
      </c>
    </row>
    <row r="4014">
      <c r="A4014" s="5">
        <f>HYPERLINK("https://finance.yahoo.com/quote/GWRS","GWRS")</f>
        <v/>
      </c>
      <c r="B4014" t="inlineStr">
        <is>
          <t>Global Water Resources, Inc.</t>
        </is>
      </c>
      <c r="C4014" t="inlineStr">
        <is>
          <t>Nasdaq</t>
        </is>
      </c>
      <c r="D4014" t="n">
        <v>1434728</v>
      </c>
      <c r="E4014" t="inlineStr">
        <is>
          <t>SEC</t>
        </is>
      </c>
    </row>
    <row r="4015">
      <c r="A4015" s="5">
        <f>HYPERLINK("https://finance.yahoo.com/quote/DGXX","DGXX")</f>
        <v/>
      </c>
      <c r="B4015" t="inlineStr">
        <is>
          <t>Digi Power X Inc.</t>
        </is>
      </c>
      <c r="C4015" t="inlineStr">
        <is>
          <t>Nasdaq</t>
        </is>
      </c>
      <c r="D4015" t="n">
        <v>1854368</v>
      </c>
      <c r="E4015" t="inlineStr">
        <is>
          <t>SEC</t>
        </is>
      </c>
    </row>
    <row r="4016">
      <c r="A4016" s="5">
        <f>HYPERLINK("https://finance.yahoo.com/quote/MMT","MMT")</f>
        <v/>
      </c>
      <c r="B4016" t="inlineStr">
        <is>
          <t>ABERDEEN MULTI-MARKET INCOME FUND</t>
        </is>
      </c>
      <c r="C4016" t="inlineStr">
        <is>
          <t>NYSE</t>
        </is>
      </c>
      <c r="D4016" t="n">
        <v>809173</v>
      </c>
      <c r="E4016" t="inlineStr">
        <is>
          <t>SEC</t>
        </is>
      </c>
    </row>
    <row r="4017">
      <c r="A4017" s="5">
        <f>HYPERLINK("https://finance.yahoo.com/quote/WHGOF","WHGOF")</f>
        <v/>
      </c>
      <c r="B4017" t="inlineStr">
        <is>
          <t>White Gold Corp.</t>
        </is>
      </c>
      <c r="C4017" t="inlineStr">
        <is>
          <t>OTC</t>
        </is>
      </c>
      <c r="D4017" t="n">
        <v>1423867</v>
      </c>
      <c r="E4017" t="inlineStr">
        <is>
          <t>SEC</t>
        </is>
      </c>
    </row>
    <row r="4018">
      <c r="A4018" s="5">
        <f>HYPERLINK("https://finance.yahoo.com/quote/HDSN","HDSN")</f>
        <v/>
      </c>
      <c r="B4018" t="inlineStr">
        <is>
          <t>HUDSON TECHNOLOGIES INC /NY</t>
        </is>
      </c>
      <c r="C4018" t="inlineStr">
        <is>
          <t>Nasdaq</t>
        </is>
      </c>
      <c r="D4018" t="n">
        <v>925528</v>
      </c>
      <c r="E4018" t="inlineStr">
        <is>
          <t>SEC</t>
        </is>
      </c>
    </row>
    <row r="4019">
      <c r="A4019" s="5">
        <f>HYPERLINK("https://finance.yahoo.com/quote/EFTY","EFTY")</f>
        <v/>
      </c>
      <c r="B4019" t="inlineStr">
        <is>
          <t>ETOILES CAPITAL GROUP CO., LTD</t>
        </is>
      </c>
      <c r="C4019" t="inlineStr">
        <is>
          <t>Nasdaq</t>
        </is>
      </c>
      <c r="D4019" t="n">
        <v>2058349</v>
      </c>
      <c r="E4019" t="inlineStr">
        <is>
          <t>SEC</t>
        </is>
      </c>
    </row>
    <row r="4020">
      <c r="A4020" s="5">
        <f>HYPERLINK("https://finance.yahoo.com/quote/PHOS","PHOS")</f>
        <v/>
      </c>
      <c r="B4020" t="inlineStr">
        <is>
          <t>First Phosphate Corp.</t>
        </is>
      </c>
      <c r="C4020" t="inlineStr">
        <is>
          <t>Nasdaq</t>
        </is>
      </c>
      <c r="D4020" t="n">
        <v>1490078</v>
      </c>
      <c r="E4020" t="inlineStr">
        <is>
          <t>SEC</t>
        </is>
      </c>
    </row>
    <row r="4021">
      <c r="A4021" s="5">
        <f>HYPERLINK("https://finance.yahoo.com/quote/MRCO","MRCO")</f>
        <v/>
      </c>
      <c r="B4021" t="inlineStr">
        <is>
          <t>Mercator Acquisition Corp.</t>
        </is>
      </c>
      <c r="C4021" t="inlineStr">
        <is>
          <t>Nasdaq</t>
        </is>
      </c>
      <c r="D4021" t="n">
        <v>2106436</v>
      </c>
      <c r="E4021" t="inlineStr">
        <is>
          <t>SEC</t>
        </is>
      </c>
    </row>
    <row r="4022">
      <c r="A4022" s="5">
        <f>HYPERLINK("https://finance.yahoo.com/quote/HLXC","HLXC")</f>
        <v/>
      </c>
      <c r="B4022" t="inlineStr">
        <is>
          <t>Helix Acquisition Corp. III</t>
        </is>
      </c>
      <c r="C4022" t="inlineStr">
        <is>
          <t>Nasdaq</t>
        </is>
      </c>
      <c r="D4022" t="n">
        <v>2099656</v>
      </c>
      <c r="E4022" t="inlineStr">
        <is>
          <t>SEC</t>
        </is>
      </c>
    </row>
    <row r="4023">
      <c r="A4023" s="5">
        <f>HYPERLINK("https://finance.yahoo.com/quote/TDF","TDF")</f>
        <v/>
      </c>
      <c r="B4023" t="inlineStr">
        <is>
          <t>TEMPLETON DRAGON FUND INC</t>
        </is>
      </c>
      <c r="C4023" t="inlineStr">
        <is>
          <t>NYSE</t>
        </is>
      </c>
      <c r="D4023" t="n">
        <v>919893</v>
      </c>
      <c r="E4023" t="inlineStr">
        <is>
          <t>SEC</t>
        </is>
      </c>
    </row>
    <row r="4024">
      <c r="A4024" s="5">
        <f>HYPERLINK("https://finance.yahoo.com/quote/CRLBF","CRLBF")</f>
        <v/>
      </c>
      <c r="B4024" t="inlineStr">
        <is>
          <t>Cresco Labs Inc.</t>
        </is>
      </c>
      <c r="C4024" t="inlineStr">
        <is>
          <t>OTC</t>
        </is>
      </c>
      <c r="D4024" t="n">
        <v>1832928</v>
      </c>
      <c r="E4024" t="inlineStr">
        <is>
          <t>SEC</t>
        </is>
      </c>
    </row>
    <row r="4025">
      <c r="A4025" s="5">
        <f>HYPERLINK("https://finance.yahoo.com/quote/HQI","HQI")</f>
        <v/>
      </c>
      <c r="B4025" t="inlineStr">
        <is>
          <t>HireQuest, Inc.</t>
        </is>
      </c>
      <c r="C4025" t="inlineStr">
        <is>
          <t>Nasdaq</t>
        </is>
      </c>
      <c r="D4025" t="n">
        <v>1140102</v>
      </c>
      <c r="E4025" t="inlineStr">
        <is>
          <t>SEC</t>
        </is>
      </c>
    </row>
    <row r="4026">
      <c r="A4026" s="5">
        <f>HYPERLINK("https://finance.yahoo.com/quote/PONO","PONO")</f>
        <v/>
      </c>
      <c r="B4026" t="inlineStr">
        <is>
          <t>Pono Capital Four, Inc.</t>
        </is>
      </c>
      <c r="C4026" t="inlineStr">
        <is>
          <t>Nasdaq</t>
        </is>
      </c>
      <c r="D4026" t="n">
        <v>2108164</v>
      </c>
      <c r="E4026" t="inlineStr">
        <is>
          <t>SEC</t>
        </is>
      </c>
    </row>
    <row r="4027">
      <c r="A4027" s="5">
        <f>HYPERLINK("https://finance.yahoo.com/quote/CHPT","CHPT")</f>
        <v/>
      </c>
      <c r="B4027" t="inlineStr">
        <is>
          <t>ChargePoint Holdings, Inc.</t>
        </is>
      </c>
      <c r="C4027" t="inlineStr">
        <is>
          <t>NYSE</t>
        </is>
      </c>
      <c r="D4027" t="n">
        <v>1777393</v>
      </c>
      <c r="E4027" t="inlineStr">
        <is>
          <t>SEC</t>
        </is>
      </c>
    </row>
    <row r="4028">
      <c r="A4028" s="5">
        <f>HYPERLINK("https://finance.yahoo.com/quote/NKLR","NKLR")</f>
        <v/>
      </c>
      <c r="B4028" t="inlineStr">
        <is>
          <t>Terra Innovatum Global N.V.</t>
        </is>
      </c>
      <c r="C4028" t="inlineStr">
        <is>
          <t>Nasdaq</t>
        </is>
      </c>
      <c r="D4028" t="n">
        <v>2067627</v>
      </c>
      <c r="E4028" t="inlineStr">
        <is>
          <t>SEC</t>
        </is>
      </c>
    </row>
    <row r="4029">
      <c r="A4029" s="5">
        <f>HYPERLINK("https://finance.yahoo.com/quote/MBI","MBI")</f>
        <v/>
      </c>
      <c r="B4029" t="inlineStr">
        <is>
          <t>MBIA INC</t>
        </is>
      </c>
      <c r="C4029" t="inlineStr">
        <is>
          <t>NYSE</t>
        </is>
      </c>
      <c r="D4029" t="n">
        <v>814585</v>
      </c>
      <c r="E4029" t="inlineStr">
        <is>
          <t>SEC</t>
        </is>
      </c>
    </row>
    <row r="4030">
      <c r="A4030" s="5">
        <f>HYPERLINK("https://finance.yahoo.com/quote/EAF","EAF")</f>
        <v/>
      </c>
      <c r="B4030" t="inlineStr">
        <is>
          <t>GRAFTECH INTERNATIONAL LTD</t>
        </is>
      </c>
      <c r="C4030" t="inlineStr">
        <is>
          <t>NYSE</t>
        </is>
      </c>
      <c r="D4030" t="n">
        <v>931148</v>
      </c>
      <c r="E4030" t="inlineStr">
        <is>
          <t>SEC</t>
        </is>
      </c>
    </row>
    <row r="4031">
      <c r="A4031" s="5">
        <f>HYPERLINK("https://finance.yahoo.com/quote/SIGA","SIGA")</f>
        <v/>
      </c>
      <c r="B4031" t="inlineStr">
        <is>
          <t>SIGA TECHNOLOGIES INC</t>
        </is>
      </c>
      <c r="C4031" t="inlineStr">
        <is>
          <t>Nasdaq</t>
        </is>
      </c>
      <c r="D4031" t="n">
        <v>1010086</v>
      </c>
      <c r="E4031" t="inlineStr">
        <is>
          <t>SEC</t>
        </is>
      </c>
    </row>
    <row r="4032">
      <c r="A4032" s="5">
        <f>HYPERLINK("https://finance.yahoo.com/quote/BDSX","BDSX")</f>
        <v/>
      </c>
      <c r="B4032" t="inlineStr">
        <is>
          <t>BIODESIX INC</t>
        </is>
      </c>
      <c r="C4032" t="inlineStr">
        <is>
          <t>Nasdaq</t>
        </is>
      </c>
      <c r="D4032" t="n">
        <v>1439725</v>
      </c>
      <c r="E4032" t="inlineStr">
        <is>
          <t>SEC</t>
        </is>
      </c>
    </row>
    <row r="4033">
      <c r="A4033" s="5">
        <f>HYPERLINK("https://finance.yahoo.com/quote/PAMT","PAMT")</f>
        <v/>
      </c>
      <c r="B4033" t="inlineStr">
        <is>
          <t>PAMT CORP</t>
        </is>
      </c>
      <c r="C4033" t="inlineStr">
        <is>
          <t>Nasdaq</t>
        </is>
      </c>
      <c r="D4033" t="n">
        <v>798287</v>
      </c>
      <c r="E4033" t="inlineStr">
        <is>
          <t>SEC</t>
        </is>
      </c>
    </row>
    <row r="4034">
      <c r="A4034" s="5">
        <f>HYPERLINK("https://finance.yahoo.com/quote/CFBK","CFBK")</f>
        <v/>
      </c>
      <c r="B4034" t="inlineStr">
        <is>
          <t>CF BANKSHARES INC.</t>
        </is>
      </c>
      <c r="C4034" t="inlineStr">
        <is>
          <t>Nasdaq</t>
        </is>
      </c>
      <c r="D4034" t="n">
        <v>1070680</v>
      </c>
      <c r="E4034" t="inlineStr">
        <is>
          <t>SEC</t>
        </is>
      </c>
    </row>
    <row r="4035">
      <c r="A4035" s="5">
        <f>HYPERLINK("https://finance.yahoo.com/quote/ASLE","ASLE")</f>
        <v/>
      </c>
      <c r="B4035" t="inlineStr">
        <is>
          <t>AerSale Corp</t>
        </is>
      </c>
      <c r="C4035" t="inlineStr">
        <is>
          <t>Nasdaq</t>
        </is>
      </c>
      <c r="D4035" t="n">
        <v>1754170</v>
      </c>
      <c r="E4035" t="inlineStr">
        <is>
          <t>SEC</t>
        </is>
      </c>
    </row>
    <row r="4036">
      <c r="A4036" s="5">
        <f>HYPERLINK("https://finance.yahoo.com/quote/MRBK","MRBK")</f>
        <v/>
      </c>
      <c r="B4036" t="inlineStr">
        <is>
          <t>Meridian Corp</t>
        </is>
      </c>
      <c r="C4036" t="inlineStr">
        <is>
          <t>Nasdaq</t>
        </is>
      </c>
      <c r="D4036" t="n">
        <v>1750735</v>
      </c>
      <c r="E4036" t="inlineStr">
        <is>
          <t>SEC</t>
        </is>
      </c>
    </row>
    <row r="4037">
      <c r="A4037" s="5">
        <f>HYPERLINK("https://finance.yahoo.com/quote/IMPP","IMPP")</f>
        <v/>
      </c>
      <c r="B4037" t="inlineStr">
        <is>
          <t>Imperial Petroleum Inc./Marshall Islands</t>
        </is>
      </c>
      <c r="C4037" t="inlineStr">
        <is>
          <t>Nasdaq</t>
        </is>
      </c>
      <c r="D4037" t="n">
        <v>1876581</v>
      </c>
      <c r="E4037" t="inlineStr">
        <is>
          <t>SEC</t>
        </is>
      </c>
    </row>
    <row r="4038">
      <c r="A4038" s="5">
        <f>HYPERLINK("https://finance.yahoo.com/quote/DHY","DHY")</f>
        <v/>
      </c>
      <c r="B4038" t="inlineStr">
        <is>
          <t>UBS ASSET MANAGEMENT HIGH YIELD CREDIT FUND</t>
        </is>
      </c>
      <c r="C4038" t="inlineStr">
        <is>
          <t>NYSE</t>
        </is>
      </c>
      <c r="D4038" t="n">
        <v>1061353</v>
      </c>
      <c r="E4038" t="inlineStr">
        <is>
          <t>SEC</t>
        </is>
      </c>
    </row>
    <row r="4039">
      <c r="A4039" s="5">
        <f>HYPERLINK("https://finance.yahoo.com/quote/ONCH","ONCH")</f>
        <v/>
      </c>
      <c r="B4039" t="inlineStr">
        <is>
          <t>1RT Acquisition Corp.</t>
        </is>
      </c>
      <c r="C4039" t="inlineStr">
        <is>
          <t>Nasdaq</t>
        </is>
      </c>
      <c r="D4039" t="n">
        <v>2054272</v>
      </c>
      <c r="E4039" t="inlineStr">
        <is>
          <t>SEC</t>
        </is>
      </c>
    </row>
    <row r="4040">
      <c r="A4040" s="5">
        <f>HYPERLINK("https://finance.yahoo.com/quote/KF","KF")</f>
        <v/>
      </c>
      <c r="B4040" t="inlineStr">
        <is>
          <t>KOREA FUND INC</t>
        </is>
      </c>
      <c r="C4040" t="inlineStr">
        <is>
          <t>NYSE</t>
        </is>
      </c>
      <c r="D4040" t="n">
        <v>748691</v>
      </c>
      <c r="E4040" t="inlineStr">
        <is>
          <t>SEC</t>
        </is>
      </c>
    </row>
    <row r="4041">
      <c r="A4041" s="5">
        <f>HYPERLINK("https://finance.yahoo.com/quote/OVBC","OVBC")</f>
        <v/>
      </c>
      <c r="B4041" t="inlineStr">
        <is>
          <t>OHIO VALLEY BANC CORP</t>
        </is>
      </c>
      <c r="C4041" t="inlineStr">
        <is>
          <t>Nasdaq</t>
        </is>
      </c>
      <c r="D4041" t="n">
        <v>894671</v>
      </c>
      <c r="E4041" t="inlineStr">
        <is>
          <t>SEC</t>
        </is>
      </c>
    </row>
    <row r="4042">
      <c r="A4042" s="5">
        <f>HYPERLINK("https://finance.yahoo.com/quote/KROS","KROS")</f>
        <v/>
      </c>
      <c r="B4042" t="inlineStr">
        <is>
          <t>Keros Therapeutics, Inc.</t>
        </is>
      </c>
      <c r="C4042" t="inlineStr">
        <is>
          <t>Nasdaq</t>
        </is>
      </c>
      <c r="D4042" t="n">
        <v>1664710</v>
      </c>
      <c r="E4042" t="inlineStr">
        <is>
          <t>SEC</t>
        </is>
      </c>
    </row>
    <row r="4043">
      <c r="A4043" s="5">
        <f>HYPERLINK("https://finance.yahoo.com/quote/SILC","SILC")</f>
        <v/>
      </c>
      <c r="B4043" t="inlineStr">
        <is>
          <t>SILICOM LTD.</t>
        </is>
      </c>
      <c r="C4043" t="inlineStr">
        <is>
          <t>Nasdaq</t>
        </is>
      </c>
      <c r="D4043" t="n">
        <v>916793</v>
      </c>
      <c r="E4043" t="inlineStr">
        <is>
          <t>SEC</t>
        </is>
      </c>
    </row>
    <row r="4044">
      <c r="A4044" s="5">
        <f>HYPERLINK("https://finance.yahoo.com/quote/LOVE","LOVE")</f>
        <v/>
      </c>
      <c r="B4044" t="inlineStr">
        <is>
          <t>Lovesac Co</t>
        </is>
      </c>
      <c r="C4044" t="inlineStr">
        <is>
          <t>Nasdaq</t>
        </is>
      </c>
      <c r="D4044" t="n">
        <v>1701758</v>
      </c>
      <c r="E4044" t="inlineStr">
        <is>
          <t>SEC</t>
        </is>
      </c>
    </row>
    <row r="4045">
      <c r="A4045" s="5">
        <f>HYPERLINK("https://finance.yahoo.com/quote/KLTR","KLTR")</f>
        <v/>
      </c>
      <c r="B4045" t="inlineStr">
        <is>
          <t>KALTURA INC</t>
        </is>
      </c>
      <c r="C4045" t="inlineStr">
        <is>
          <t>Nasdaq</t>
        </is>
      </c>
      <c r="D4045" t="n">
        <v>1432133</v>
      </c>
      <c r="E4045" t="inlineStr">
        <is>
          <t>SEC</t>
        </is>
      </c>
    </row>
    <row r="4046">
      <c r="A4046" s="5">
        <f>HYPERLINK("https://finance.yahoo.com/quote/IKT","IKT")</f>
        <v/>
      </c>
      <c r="B4046" t="inlineStr">
        <is>
          <t>Inhibikase Therapeutics, Inc.</t>
        </is>
      </c>
      <c r="C4046" t="inlineStr">
        <is>
          <t>Nasdaq</t>
        </is>
      </c>
      <c r="D4046" t="n">
        <v>1750149</v>
      </c>
      <c r="E4046" t="inlineStr">
        <is>
          <t>SEC</t>
        </is>
      </c>
    </row>
    <row r="4047">
      <c r="A4047" s="5">
        <f>HYPERLINK("https://finance.yahoo.com/quote/TLSI","TLSI")</f>
        <v/>
      </c>
      <c r="B4047" t="inlineStr">
        <is>
          <t>TriSalus Life Sciences, Inc.</t>
        </is>
      </c>
      <c r="C4047" t="inlineStr">
        <is>
          <t>Nasdaq</t>
        </is>
      </c>
      <c r="D4047" t="n">
        <v>1826667</v>
      </c>
      <c r="E4047" t="inlineStr">
        <is>
          <t>SEC</t>
        </is>
      </c>
    </row>
    <row r="4048">
      <c r="A4048" s="5">
        <f>HYPERLINK("https://finance.yahoo.com/quote/DGAC","DGAC")</f>
        <v/>
      </c>
      <c r="B4048" t="inlineStr">
        <is>
          <t>DISCIPLINED GROWTH ACQUISITION Corp</t>
        </is>
      </c>
      <c r="C4048" t="inlineStr">
        <is>
          <t>NYSE</t>
        </is>
      </c>
      <c r="D4048" t="n">
        <v>2111038</v>
      </c>
      <c r="E4048" t="inlineStr">
        <is>
          <t>SEC</t>
        </is>
      </c>
    </row>
    <row r="4049">
      <c r="A4049" s="5">
        <f>HYPERLINK("https://finance.yahoo.com/quote/ELMD","ELMD")</f>
        <v/>
      </c>
      <c r="B4049" t="inlineStr">
        <is>
          <t>Electromed, Inc.</t>
        </is>
      </c>
      <c r="C4049" t="inlineStr">
        <is>
          <t>NYSE</t>
        </is>
      </c>
      <c r="D4049" t="n">
        <v>1488917</v>
      </c>
      <c r="E4049" t="inlineStr">
        <is>
          <t>SEC</t>
        </is>
      </c>
    </row>
    <row r="4050">
      <c r="A4050" s="5">
        <f>HYPERLINK("https://finance.yahoo.com/quote/ZNTL","ZNTL")</f>
        <v/>
      </c>
      <c r="B4050" t="inlineStr">
        <is>
          <t>Zentalis Pharmaceuticals, Inc.</t>
        </is>
      </c>
      <c r="C4050" t="inlineStr">
        <is>
          <t>Nasdaq</t>
        </is>
      </c>
      <c r="D4050" t="n">
        <v>1725160</v>
      </c>
      <c r="E4050" t="inlineStr">
        <is>
          <t>SEC</t>
        </is>
      </c>
    </row>
    <row r="4051">
      <c r="A4051" s="5">
        <f>HYPERLINK("https://finance.yahoo.com/quote/XLAB","XLAB")</f>
        <v/>
      </c>
      <c r="B4051" t="inlineStr">
        <is>
          <t>Exascale Labs Holdings Inc.</t>
        </is>
      </c>
      <c r="C4051" t="inlineStr">
        <is>
          <t>Nasdaq</t>
        </is>
      </c>
      <c r="D4051" t="n">
        <v>2109869</v>
      </c>
      <c r="E4051" t="inlineStr">
        <is>
          <t>SEC</t>
        </is>
      </c>
    </row>
    <row r="4052">
      <c r="A4052" s="5">
        <f>HYPERLINK("https://finance.yahoo.com/quote/PTAC","PTAC")</f>
        <v/>
      </c>
      <c r="B4052" t="inlineStr">
        <is>
          <t>Patriot Acquisition Corp./CI</t>
        </is>
      </c>
      <c r="C4052" t="inlineStr">
        <is>
          <t>Nasdaq</t>
        </is>
      </c>
      <c r="D4052" t="n">
        <v>2099095</v>
      </c>
      <c r="E4052" t="inlineStr">
        <is>
          <t>SEC</t>
        </is>
      </c>
    </row>
    <row r="4053">
      <c r="A4053" s="5">
        <f>HYPERLINK("https://finance.yahoo.com/quote/BXSY","BXSY")</f>
        <v/>
      </c>
      <c r="B4053" t="inlineStr">
        <is>
          <t>BEXIL INVESTMENT TRUST</t>
        </is>
      </c>
      <c r="C4053" t="inlineStr">
        <is>
          <t>OTC</t>
        </is>
      </c>
      <c r="D4053" t="n">
        <v>1059213</v>
      </c>
      <c r="E4053" t="inlineStr">
        <is>
          <t>SEC</t>
        </is>
      </c>
    </row>
    <row r="4054">
      <c r="A4054" s="5">
        <f>HYPERLINK("https://finance.yahoo.com/quote/CAF","CAF")</f>
        <v/>
      </c>
      <c r="B4054" t="inlineStr">
        <is>
          <t>Morgan Stanley China A Share Fund, Inc.</t>
        </is>
      </c>
      <c r="C4054" t="inlineStr">
        <is>
          <t>NYSE</t>
        </is>
      </c>
      <c r="D4054" t="n">
        <v>1368493</v>
      </c>
      <c r="E4054" t="inlineStr">
        <is>
          <t>SEC</t>
        </is>
      </c>
    </row>
    <row r="4055">
      <c r="A4055" s="5">
        <f>HYPERLINK("https://finance.yahoo.com/quote/OPBK","OPBK")</f>
        <v/>
      </c>
      <c r="B4055" t="inlineStr">
        <is>
          <t>OP Bancorp</t>
        </is>
      </c>
      <c r="C4055" t="inlineStr">
        <is>
          <t>Nasdaq</t>
        </is>
      </c>
      <c r="D4055" t="n">
        <v>1722010</v>
      </c>
      <c r="E4055" t="inlineStr">
        <is>
          <t>SEC</t>
        </is>
      </c>
    </row>
    <row r="4056">
      <c r="A4056" s="5">
        <f>HYPERLINK("https://finance.yahoo.com/quote/AIRJ","AIRJ")</f>
        <v/>
      </c>
      <c r="B4056" t="inlineStr">
        <is>
          <t>AirJoule Technologies Corp.</t>
        </is>
      </c>
      <c r="C4056" t="inlineStr">
        <is>
          <t>Nasdaq</t>
        </is>
      </c>
      <c r="D4056" t="n">
        <v>1855474</v>
      </c>
      <c r="E4056" t="inlineStr">
        <is>
          <t>SEC</t>
        </is>
      </c>
    </row>
    <row r="4057">
      <c r="A4057" s="5">
        <f>HYPERLINK("https://finance.yahoo.com/quote/AOUT","AOUT")</f>
        <v/>
      </c>
      <c r="B4057" t="inlineStr">
        <is>
          <t>American Outdoor Brands, Inc.</t>
        </is>
      </c>
      <c r="C4057" t="inlineStr">
        <is>
          <t>Nasdaq</t>
        </is>
      </c>
      <c r="D4057" t="n">
        <v>1808997</v>
      </c>
      <c r="E4057" t="inlineStr">
        <is>
          <t>SEC</t>
        </is>
      </c>
    </row>
    <row r="4058">
      <c r="A4058" s="5">
        <f>HYPERLINK("https://finance.yahoo.com/quote/ASYS","ASYS")</f>
        <v/>
      </c>
      <c r="B4058" t="inlineStr">
        <is>
          <t>AMTECH SYSTEMS INC</t>
        </is>
      </c>
      <c r="C4058" t="inlineStr">
        <is>
          <t>Nasdaq</t>
        </is>
      </c>
      <c r="D4058" t="n">
        <v>720500</v>
      </c>
      <c r="E4058" t="inlineStr">
        <is>
          <t>SEC</t>
        </is>
      </c>
    </row>
    <row r="4059">
      <c r="A4059" s="5">
        <f>HYPERLINK("https://finance.yahoo.com/quote/PFSTY","PFSTY")</f>
        <v/>
      </c>
      <c r="B4059" t="inlineStr">
        <is>
          <t>Pfisterer Holdings SE/ADR</t>
        </is>
      </c>
      <c r="C4059" t="inlineStr">
        <is>
          <t>OTC</t>
        </is>
      </c>
      <c r="D4059" t="n">
        <v>2120422</v>
      </c>
      <c r="E4059" t="inlineStr">
        <is>
          <t>SEC</t>
        </is>
      </c>
    </row>
    <row r="4060">
      <c r="A4060" s="5">
        <f>HYPERLINK("https://finance.yahoo.com/quote/GSHR","GSHR")</f>
        <v/>
      </c>
      <c r="B4060" t="inlineStr">
        <is>
          <t>Gesher Acquisition Corp. II</t>
        </is>
      </c>
      <c r="C4060" t="inlineStr">
        <is>
          <t>Nasdaq</t>
        </is>
      </c>
      <c r="D4060" t="n">
        <v>2044635</v>
      </c>
      <c r="E4060" t="inlineStr">
        <is>
          <t>SEC</t>
        </is>
      </c>
    </row>
    <row r="4061">
      <c r="A4061" s="5">
        <f>HYPERLINK("https://finance.yahoo.com/quote/ZUMZ","ZUMZ")</f>
        <v/>
      </c>
      <c r="B4061" t="inlineStr">
        <is>
          <t>Zumiez Inc</t>
        </is>
      </c>
      <c r="C4061" t="inlineStr">
        <is>
          <t>Nasdaq</t>
        </is>
      </c>
      <c r="D4061" t="n">
        <v>1318008</v>
      </c>
      <c r="E4061" t="inlineStr">
        <is>
          <t>SEC</t>
        </is>
      </c>
    </row>
    <row r="4062">
      <c r="A4062" s="5">
        <f>HYPERLINK("https://finance.yahoo.com/quote/SPOK","SPOK")</f>
        <v/>
      </c>
      <c r="B4062" t="inlineStr">
        <is>
          <t>Spok Holdings, Inc</t>
        </is>
      </c>
      <c r="C4062" t="inlineStr">
        <is>
          <t>Nasdaq</t>
        </is>
      </c>
      <c r="D4062" t="n">
        <v>1289945</v>
      </c>
      <c r="E4062" t="inlineStr">
        <is>
          <t>SEC</t>
        </is>
      </c>
    </row>
    <row r="4063">
      <c r="A4063" s="5">
        <f>HYPERLINK("https://finance.yahoo.com/quote/HMH","HMH")</f>
        <v/>
      </c>
      <c r="B4063" t="inlineStr">
        <is>
          <t>HMH Holding Inc</t>
        </is>
      </c>
      <c r="C4063" t="inlineStr">
        <is>
          <t>Nasdaq</t>
        </is>
      </c>
      <c r="D4063" t="n">
        <v>2021880</v>
      </c>
      <c r="E4063" t="inlineStr">
        <is>
          <t>SEC</t>
        </is>
      </c>
    </row>
    <row r="4064">
      <c r="A4064" s="5">
        <f>HYPERLINK("https://finance.yahoo.com/quote/PSF","PSF")</f>
        <v/>
      </c>
      <c r="B4064" t="inlineStr">
        <is>
          <t>Cohen &amp; Steers Select Preferred &amp; Income Fund, Inc.</t>
        </is>
      </c>
      <c r="C4064" t="inlineStr">
        <is>
          <t>NYSE</t>
        </is>
      </c>
      <c r="D4064" t="n">
        <v>1498612</v>
      </c>
      <c r="E4064" t="inlineStr">
        <is>
          <t>SEC</t>
        </is>
      </c>
    </row>
    <row r="4065">
      <c r="A4065" s="5">
        <f>HYPERLINK("https://finance.yahoo.com/quote/BRCB","BRCB")</f>
        <v/>
      </c>
      <c r="B4065" t="inlineStr">
        <is>
          <t>Black Rock Coffee Bar, Inc.</t>
        </is>
      </c>
      <c r="C4065" t="inlineStr">
        <is>
          <t>Nasdaq</t>
        </is>
      </c>
      <c r="D4065" t="n">
        <v>2068577</v>
      </c>
      <c r="E4065" t="inlineStr">
        <is>
          <t>SEC</t>
        </is>
      </c>
    </row>
    <row r="4066">
      <c r="A4066" s="5">
        <f>HYPERLINK("https://finance.yahoo.com/quote/WEWA","WEWA")</f>
        <v/>
      </c>
      <c r="B4066" t="inlineStr">
        <is>
          <t>WEWARDS, INC.</t>
        </is>
      </c>
      <c r="C4066" t="inlineStr">
        <is>
          <t>OTC</t>
        </is>
      </c>
      <c r="D4066" t="n">
        <v>1616156</v>
      </c>
      <c r="E4066" t="inlineStr">
        <is>
          <t>SEC</t>
        </is>
      </c>
    </row>
    <row r="4067">
      <c r="A4067" s="5">
        <f>HYPERLINK("https://finance.yahoo.com/quote/VELO","VELO")</f>
        <v/>
      </c>
      <c r="B4067" t="inlineStr">
        <is>
          <t>Velo3D, Inc.</t>
        </is>
      </c>
      <c r="C4067" t="inlineStr">
        <is>
          <t>Nasdaq</t>
        </is>
      </c>
      <c r="D4067" t="n">
        <v>1825079</v>
      </c>
      <c r="E4067" t="inlineStr">
        <is>
          <t>SEC</t>
        </is>
      </c>
    </row>
    <row r="4068">
      <c r="A4068" s="5">
        <f>HYPERLINK("https://finance.yahoo.com/quote/TDRRF","TDRRF")</f>
        <v/>
      </c>
      <c r="B4068" t="inlineStr">
        <is>
          <t>Tudor Gold Corp.</t>
        </is>
      </c>
      <c r="C4068" t="inlineStr">
        <is>
          <t>OTC</t>
        </is>
      </c>
      <c r="D4068" t="n">
        <v>1921050</v>
      </c>
      <c r="E4068" t="inlineStr">
        <is>
          <t>SEC</t>
        </is>
      </c>
    </row>
    <row r="4069">
      <c r="A4069" s="5">
        <f>HYPERLINK("https://finance.yahoo.com/quote/KISB","KISB")</f>
        <v/>
      </c>
      <c r="B4069" t="inlineStr">
        <is>
          <t>KISH BANCORP INC</t>
        </is>
      </c>
      <c r="C4069" t="inlineStr">
        <is>
          <t>OTC</t>
        </is>
      </c>
      <c r="D4069" t="n">
        <v>803742</v>
      </c>
      <c r="E4069" t="inlineStr">
        <is>
          <t>SEC</t>
        </is>
      </c>
    </row>
    <row r="4070">
      <c r="A4070" s="5">
        <f>HYPERLINK("https://finance.yahoo.com/quote/AESP","AESP")</f>
        <v/>
      </c>
      <c r="B4070" t="inlineStr">
        <is>
          <t>Aeon Acquisition I Corp.</t>
        </is>
      </c>
      <c r="C4070" t="inlineStr">
        <is>
          <t>Nasdaq</t>
        </is>
      </c>
      <c r="D4070" t="n">
        <v>2082526</v>
      </c>
      <c r="E4070" t="inlineStr">
        <is>
          <t>SEC</t>
        </is>
      </c>
    </row>
    <row r="4071">
      <c r="A4071" s="5">
        <f>HYPERLINK("https://finance.yahoo.com/quote/LGI","LGI")</f>
        <v/>
      </c>
      <c r="B4071" t="inlineStr">
        <is>
          <t>LAZARD GLOBAL TOTAL RETURN &amp; INCOME FUND INC</t>
        </is>
      </c>
      <c r="C4071" t="inlineStr">
        <is>
          <t>NYSE</t>
        </is>
      </c>
      <c r="D4071" t="n">
        <v>1278211</v>
      </c>
      <c r="E4071" t="inlineStr">
        <is>
          <t>SEC</t>
        </is>
      </c>
    </row>
    <row r="4072">
      <c r="A4072" s="5">
        <f>HYPERLINK("https://finance.yahoo.com/quote/EGHA","EGHA")</f>
        <v/>
      </c>
      <c r="B4072" t="inlineStr">
        <is>
          <t>EGH Acquisition Corp.</t>
        </is>
      </c>
      <c r="C4072" t="inlineStr">
        <is>
          <t>Nasdaq</t>
        </is>
      </c>
      <c r="D4072" t="n">
        <v>2052547</v>
      </c>
      <c r="E4072" t="inlineStr">
        <is>
          <t>SEC</t>
        </is>
      </c>
    </row>
    <row r="4073">
      <c r="A4073" s="5">
        <f>HYPERLINK("https://finance.yahoo.com/quote/SY","SY")</f>
        <v/>
      </c>
      <c r="B4073" t="inlineStr">
        <is>
          <t>So-Young International Inc.</t>
        </is>
      </c>
      <c r="C4073" t="inlineStr">
        <is>
          <t>Nasdaq</t>
        </is>
      </c>
      <c r="D4073" t="n">
        <v>1758530</v>
      </c>
      <c r="E4073" t="inlineStr">
        <is>
          <t>SEC</t>
        </is>
      </c>
    </row>
    <row r="4074">
      <c r="A4074" s="5">
        <f>HYPERLINK("https://finance.yahoo.com/quote/NATR","NATR")</f>
        <v/>
      </c>
      <c r="B4074" t="inlineStr">
        <is>
          <t>NATURES SUNSHINE PRODUCTS INC</t>
        </is>
      </c>
      <c r="C4074" t="inlineStr">
        <is>
          <t>Nasdaq</t>
        </is>
      </c>
      <c r="D4074" t="n">
        <v>275053</v>
      </c>
      <c r="E4074" t="inlineStr">
        <is>
          <t>SEC</t>
        </is>
      </c>
    </row>
    <row r="4075">
      <c r="A4075" s="5">
        <f>HYPERLINK("https://finance.yahoo.com/quote/OSG","OSG")</f>
        <v/>
      </c>
      <c r="B4075" t="inlineStr">
        <is>
          <t>OCTAVE SPECIALTY GROUP INC</t>
        </is>
      </c>
      <c r="C4075" t="inlineStr">
        <is>
          <t>NYSE</t>
        </is>
      </c>
      <c r="D4075" t="n">
        <v>874501</v>
      </c>
      <c r="E4075" t="inlineStr">
        <is>
          <t>SEC</t>
        </is>
      </c>
    </row>
    <row r="4076">
      <c r="A4076" s="5">
        <f>HYPERLINK("https://finance.yahoo.com/quote/BBOT","BBOT")</f>
        <v/>
      </c>
      <c r="B4076" t="inlineStr">
        <is>
          <t>BridgeBio Oncology Therapeutics, Inc.</t>
        </is>
      </c>
      <c r="C4076" t="inlineStr">
        <is>
          <t>Nasdaq</t>
        </is>
      </c>
      <c r="D4076" t="n">
        <v>1869105</v>
      </c>
      <c r="E4076" t="inlineStr">
        <is>
          <t>SEC</t>
        </is>
      </c>
    </row>
    <row r="4077">
      <c r="A4077" s="5">
        <f>HYPERLINK("https://finance.yahoo.com/quote/ONIT","ONIT")</f>
        <v/>
      </c>
      <c r="B4077" t="inlineStr">
        <is>
          <t>ONITY GROUP INC.</t>
        </is>
      </c>
      <c r="C4077" t="inlineStr">
        <is>
          <t>NYSE</t>
        </is>
      </c>
      <c r="D4077" t="n">
        <v>873860</v>
      </c>
      <c r="E4077" t="inlineStr">
        <is>
          <t>SEC</t>
        </is>
      </c>
    </row>
    <row r="4078">
      <c r="A4078" s="5">
        <f>HYPERLINK("https://finance.yahoo.com/quote/HAVA","HAVA")</f>
        <v/>
      </c>
      <c r="B4078" t="inlineStr">
        <is>
          <t>Harvard Ave Acquisition Corp</t>
        </is>
      </c>
      <c r="C4078" t="inlineStr">
        <is>
          <t>Nasdaq</t>
        </is>
      </c>
      <c r="D4078" t="n">
        <v>2042460</v>
      </c>
      <c r="E4078" t="inlineStr">
        <is>
          <t>SEC</t>
        </is>
      </c>
    </row>
    <row r="4079">
      <c r="A4079" s="5">
        <f>HYPERLINK("https://finance.yahoo.com/quote/IDAC","IDAC")</f>
        <v/>
      </c>
      <c r="B4079" t="inlineStr">
        <is>
          <t>Iron Dome Acquisition I Corp.</t>
        </is>
      </c>
      <c r="C4079" t="inlineStr">
        <is>
          <t>Nasdaq</t>
        </is>
      </c>
      <c r="D4079" t="n">
        <v>2090441</v>
      </c>
      <c r="E4079" t="inlineStr">
        <is>
          <t>SEC</t>
        </is>
      </c>
    </row>
    <row r="4080">
      <c r="A4080" s="5">
        <f>HYPERLINK("https://finance.yahoo.com/quote/PALO","PALO")</f>
        <v/>
      </c>
      <c r="B4080" t="inlineStr">
        <is>
          <t>PALOMA ACQUISITION CORP I</t>
        </is>
      </c>
      <c r="C4080" t="inlineStr">
        <is>
          <t>Nasdaq</t>
        </is>
      </c>
      <c r="D4080" t="n">
        <v>2101562</v>
      </c>
      <c r="E4080" t="inlineStr">
        <is>
          <t>SEC</t>
        </is>
      </c>
    </row>
    <row r="4081">
      <c r="A4081" s="5">
        <f>HYPERLINK("https://finance.yahoo.com/quote/OAKC","OAKC")</f>
        <v/>
      </c>
      <c r="B4081" t="inlineStr">
        <is>
          <t>Oakworth Capital, Inc.</t>
        </is>
      </c>
      <c r="C4081" t="inlineStr">
        <is>
          <t>OTC</t>
        </is>
      </c>
      <c r="D4081" t="n">
        <v>1588871</v>
      </c>
      <c r="E4081" t="inlineStr">
        <is>
          <t>SEC</t>
        </is>
      </c>
    </row>
    <row r="4082">
      <c r="A4082" s="5">
        <f>HYPERLINK("https://finance.yahoo.com/quote/RXST","RXST")</f>
        <v/>
      </c>
      <c r="B4082" t="inlineStr">
        <is>
          <t>RxSight, Inc.</t>
        </is>
      </c>
      <c r="C4082" t="inlineStr">
        <is>
          <t>Nasdaq</t>
        </is>
      </c>
      <c r="D4082" t="n">
        <v>1111485</v>
      </c>
      <c r="E4082" t="inlineStr">
        <is>
          <t>SEC</t>
        </is>
      </c>
    </row>
    <row r="4083">
      <c r="A4083" s="5">
        <f>HYPERLINK("https://finance.yahoo.com/quote/ASUR","ASUR")</f>
        <v/>
      </c>
      <c r="B4083" t="inlineStr">
        <is>
          <t>ASURE SOFTWARE INC</t>
        </is>
      </c>
      <c r="C4083" t="inlineStr">
        <is>
          <t>Nasdaq</t>
        </is>
      </c>
      <c r="D4083" t="n">
        <v>884144</v>
      </c>
      <c r="E4083" t="inlineStr">
        <is>
          <t>SEC</t>
        </is>
      </c>
    </row>
    <row r="4084">
      <c r="A4084" s="5">
        <f>HYPERLINK("https://finance.yahoo.com/quote/SAR","SAR")</f>
        <v/>
      </c>
      <c r="B4084" t="inlineStr">
        <is>
          <t>SARATOGA INVESTMENT CORP.</t>
        </is>
      </c>
      <c r="C4084" t="inlineStr">
        <is>
          <t>NYSE</t>
        </is>
      </c>
      <c r="D4084" t="n">
        <v>1377936</v>
      </c>
      <c r="E4084" t="inlineStr">
        <is>
          <t>SEC</t>
        </is>
      </c>
    </row>
    <row r="4085">
      <c r="A4085" s="5">
        <f>HYPERLINK("https://finance.yahoo.com/quote/CPSS","CPSS")</f>
        <v/>
      </c>
      <c r="B4085" t="inlineStr">
        <is>
          <t>CONSUMER PORTFOLIO SERVICES, INC.</t>
        </is>
      </c>
      <c r="C4085" t="inlineStr">
        <is>
          <t>Nasdaq</t>
        </is>
      </c>
      <c r="D4085" t="n">
        <v>889609</v>
      </c>
      <c r="E4085" t="inlineStr">
        <is>
          <t>SEC</t>
        </is>
      </c>
    </row>
    <row r="4086">
      <c r="A4086" s="5">
        <f>HYPERLINK("https://finance.yahoo.com/quote/GPRO","GPRO")</f>
        <v/>
      </c>
      <c r="B4086" t="inlineStr">
        <is>
          <t>GoPro, Inc.</t>
        </is>
      </c>
      <c r="C4086" t="inlineStr">
        <is>
          <t>Nasdaq</t>
        </is>
      </c>
      <c r="D4086" t="n">
        <v>1500435</v>
      </c>
      <c r="E4086" t="inlineStr">
        <is>
          <t>SEC</t>
        </is>
      </c>
    </row>
    <row r="4087">
      <c r="A4087" s="5">
        <f>HYPERLINK("https://finance.yahoo.com/quote/JACK","JACK")</f>
        <v/>
      </c>
      <c r="B4087" t="inlineStr">
        <is>
          <t>JACK IN THE BOX INC</t>
        </is>
      </c>
      <c r="C4087" t="inlineStr">
        <is>
          <t>Nasdaq</t>
        </is>
      </c>
      <c r="D4087" t="n">
        <v>807882</v>
      </c>
      <c r="E4087" t="inlineStr">
        <is>
          <t>SEC</t>
        </is>
      </c>
    </row>
    <row r="4088">
      <c r="A4088" s="5">
        <f>HYPERLINK("https://finance.yahoo.com/quote/TDAC","TDAC")</f>
        <v/>
      </c>
      <c r="B4088" t="inlineStr">
        <is>
          <t>Translational Development Acquisition Corp.</t>
        </is>
      </c>
      <c r="C4088" t="inlineStr">
        <is>
          <t>Nasdaq</t>
        </is>
      </c>
      <c r="D4088" t="n">
        <v>1926599</v>
      </c>
      <c r="E4088" t="inlineStr">
        <is>
          <t>SEC</t>
        </is>
      </c>
    </row>
    <row r="4089">
      <c r="A4089" s="5">
        <f>HYPERLINK("https://finance.yahoo.com/quote/RDNW","RDNW")</f>
        <v/>
      </c>
      <c r="B4089" t="inlineStr">
        <is>
          <t>RideNow Group, Inc.</t>
        </is>
      </c>
      <c r="C4089" t="inlineStr">
        <is>
          <t>Nasdaq</t>
        </is>
      </c>
      <c r="D4089" t="n">
        <v>1596961</v>
      </c>
      <c r="E4089" t="inlineStr">
        <is>
          <t>SEC</t>
        </is>
      </c>
    </row>
    <row r="4090">
      <c r="A4090" s="5">
        <f>HYPERLINK("https://finance.yahoo.com/quote/FCAP","FCAP")</f>
        <v/>
      </c>
      <c r="B4090" t="inlineStr">
        <is>
          <t>FIRST CAPITAL INC</t>
        </is>
      </c>
      <c r="C4090" t="inlineStr">
        <is>
          <t>Nasdaq</t>
        </is>
      </c>
      <c r="D4090" t="n">
        <v>1070296</v>
      </c>
      <c r="E4090" t="inlineStr">
        <is>
          <t>SEC</t>
        </is>
      </c>
    </row>
    <row r="4091">
      <c r="A4091" s="5">
        <f>HYPERLINK("https://finance.yahoo.com/quote/BZUN","BZUN")</f>
        <v/>
      </c>
      <c r="B4091" t="inlineStr">
        <is>
          <t>Baozun Inc.</t>
        </is>
      </c>
      <c r="C4091" t="inlineStr">
        <is>
          <t>Nasdaq</t>
        </is>
      </c>
      <c r="D4091" t="n">
        <v>1625414</v>
      </c>
      <c r="E4091" t="inlineStr">
        <is>
          <t>SEC</t>
        </is>
      </c>
    </row>
    <row r="4092">
      <c r="A4092" s="5">
        <f>HYPERLINK("https://finance.yahoo.com/quote/PMA","PMA")</f>
        <v/>
      </c>
      <c r="B4092" t="inlineStr">
        <is>
          <t>PMA Graphene Technology Group Inc.</t>
        </is>
      </c>
      <c r="C4092" t="inlineStr">
        <is>
          <t>Nasdaq</t>
        </is>
      </c>
      <c r="D4092" t="n">
        <v>1956166</v>
      </c>
      <c r="E4092" t="inlineStr">
        <is>
          <t>SEC</t>
        </is>
      </c>
    </row>
    <row r="4093">
      <c r="A4093" s="5">
        <f>HYPERLINK("https://finance.yahoo.com/quote/CAMVF","CAMVF")</f>
        <v/>
      </c>
      <c r="B4093" t="inlineStr">
        <is>
          <t>Cambria Gold Mines Inc.</t>
        </is>
      </c>
      <c r="C4093" t="inlineStr">
        <is>
          <t>OTC</t>
        </is>
      </c>
      <c r="D4093" t="n">
        <v>1407582</v>
      </c>
      <c r="E4093" t="inlineStr">
        <is>
          <t>SEC</t>
        </is>
      </c>
    </row>
    <row r="4094">
      <c r="A4094" s="5">
        <f>HYPERLINK("https://finance.yahoo.com/quote/LIEN","LIEN")</f>
        <v/>
      </c>
      <c r="B4094" t="inlineStr">
        <is>
          <t>Chicago Atlantic BDC, Inc.</t>
        </is>
      </c>
      <c r="C4094" t="inlineStr">
        <is>
          <t>Nasdaq</t>
        </is>
      </c>
      <c r="D4094" t="n">
        <v>1843162</v>
      </c>
      <c r="E4094" t="inlineStr">
        <is>
          <t>SEC</t>
        </is>
      </c>
    </row>
    <row r="4095">
      <c r="A4095" s="5">
        <f>HYPERLINK("https://finance.yahoo.com/quote/IONR","IONR")</f>
        <v/>
      </c>
      <c r="B4095" t="inlineStr">
        <is>
          <t>ioneer Ltd</t>
        </is>
      </c>
      <c r="C4095" t="inlineStr">
        <is>
          <t>Nasdaq</t>
        </is>
      </c>
      <c r="D4095" t="n">
        <v>1896084</v>
      </c>
      <c r="E4095" t="inlineStr">
        <is>
          <t>SEC</t>
        </is>
      </c>
    </row>
    <row r="4096">
      <c r="A4096" s="5">
        <f>HYPERLINK("https://finance.yahoo.com/quote/MFM","MFM")</f>
        <v/>
      </c>
      <c r="B4096" t="inlineStr">
        <is>
          <t>ABERDEEN MUNICIPAL INCOME FUND</t>
        </is>
      </c>
      <c r="C4096" t="inlineStr">
        <is>
          <t>NYSE</t>
        </is>
      </c>
      <c r="D4096" t="n">
        <v>801961</v>
      </c>
      <c r="E4096" t="inlineStr">
        <is>
          <t>SEC</t>
        </is>
      </c>
    </row>
    <row r="4097">
      <c r="A4097" s="5">
        <f>HYPERLINK("https://finance.yahoo.com/quote/AERG","AERG")</f>
        <v/>
      </c>
      <c r="B4097" t="inlineStr">
        <is>
          <t>APPLIED ENERGETICS, INC.</t>
        </is>
      </c>
      <c r="C4097" t="inlineStr">
        <is>
          <t>OTC</t>
        </is>
      </c>
      <c r="D4097" t="n">
        <v>879911</v>
      </c>
      <c r="E4097" t="inlineStr">
        <is>
          <t>SEC</t>
        </is>
      </c>
    </row>
    <row r="4098">
      <c r="A4098" s="5">
        <f>HYPERLINK("https://finance.yahoo.com/quote/CZWI","CZWI")</f>
        <v/>
      </c>
      <c r="B4098" t="inlineStr">
        <is>
          <t>Citizens Community Bancorp Inc.</t>
        </is>
      </c>
      <c r="C4098" t="inlineStr">
        <is>
          <t>Nasdaq</t>
        </is>
      </c>
      <c r="D4098" t="n">
        <v>1367859</v>
      </c>
      <c r="E4098" t="inlineStr">
        <is>
          <t>SEC</t>
        </is>
      </c>
    </row>
    <row r="4099">
      <c r="A4099" s="5">
        <f>HYPERLINK("https://finance.yahoo.com/quote/WLII","WLII")</f>
        <v/>
      </c>
      <c r="B4099" t="inlineStr">
        <is>
          <t>Willow Lane Acquisition Corp. II</t>
        </is>
      </c>
      <c r="C4099" t="inlineStr">
        <is>
          <t>Nasdaq</t>
        </is>
      </c>
      <c r="D4099" t="n">
        <v>2083946</v>
      </c>
      <c r="E4099" t="inlineStr">
        <is>
          <t>SEC</t>
        </is>
      </c>
    </row>
    <row r="4100">
      <c r="A4100" s="5">
        <f>HYPERLINK("https://finance.yahoo.com/quote/ALTG","ALTG")</f>
        <v/>
      </c>
      <c r="B4100" t="inlineStr">
        <is>
          <t>ALTA EQUIPMENT GROUP INC.</t>
        </is>
      </c>
      <c r="C4100" t="inlineStr">
        <is>
          <t>NYSE</t>
        </is>
      </c>
      <c r="D4100" t="n">
        <v>1759824</v>
      </c>
      <c r="E4100" t="inlineStr">
        <is>
          <t>SEC</t>
        </is>
      </c>
    </row>
    <row r="4101">
      <c r="A4101" s="5">
        <f>HYPERLINK("https://finance.yahoo.com/quote/KDK","KDK")</f>
        <v/>
      </c>
      <c r="B4101" t="inlineStr">
        <is>
          <t>Kodiak AI, Inc.</t>
        </is>
      </c>
      <c r="C4101" t="inlineStr">
        <is>
          <t>Nasdaq</t>
        </is>
      </c>
      <c r="D4101" t="n">
        <v>1853138</v>
      </c>
      <c r="E4101" t="inlineStr">
        <is>
          <t>SEC</t>
        </is>
      </c>
    </row>
    <row r="4102">
      <c r="A4102" s="5">
        <f>HYPERLINK("https://finance.yahoo.com/quote/BRVMF","BRVMF")</f>
        <v/>
      </c>
      <c r="B4102" t="inlineStr">
        <is>
          <t>Bravo Mining Corp.</t>
        </is>
      </c>
      <c r="C4102" t="inlineStr">
        <is>
          <t>OTC</t>
        </is>
      </c>
      <c r="D4102" t="n">
        <v>1913288</v>
      </c>
      <c r="E4102" t="inlineStr">
        <is>
          <t>SEC</t>
        </is>
      </c>
    </row>
    <row r="4103">
      <c r="A4103" s="5">
        <f>HYPERLINK("https://finance.yahoo.com/quote/GMTL","GMTL")</f>
        <v/>
      </c>
      <c r="B4103" t="inlineStr">
        <is>
          <t>Guardian Metal Resources PLC</t>
        </is>
      </c>
      <c r="C4103" t="inlineStr">
        <is>
          <t>NYSE</t>
        </is>
      </c>
      <c r="D4103" t="n">
        <v>2039972</v>
      </c>
      <c r="E4103" t="inlineStr">
        <is>
          <t>SEC</t>
        </is>
      </c>
    </row>
    <row r="4104">
      <c r="A4104" s="5">
        <f>HYPERLINK("https://finance.yahoo.com/quote/NEGG","NEGG")</f>
        <v/>
      </c>
      <c r="B4104" t="inlineStr">
        <is>
          <t>Newegg Commerce, Inc.</t>
        </is>
      </c>
      <c r="C4104" t="inlineStr">
        <is>
          <t>Nasdaq</t>
        </is>
      </c>
      <c r="D4104" t="n">
        <v>1474627</v>
      </c>
      <c r="E4104" t="inlineStr">
        <is>
          <t>SEC</t>
        </is>
      </c>
    </row>
    <row r="4105">
      <c r="A4105" s="5">
        <f>HYPERLINK("https://finance.yahoo.com/quote/PLX","PLX")</f>
        <v/>
      </c>
      <c r="B4105" t="inlineStr">
        <is>
          <t>Protalix BioTherapeutics, Inc.</t>
        </is>
      </c>
      <c r="C4105" t="inlineStr">
        <is>
          <t>NYSE</t>
        </is>
      </c>
      <c r="D4105" t="n">
        <v>1006281</v>
      </c>
      <c r="E4105" t="inlineStr">
        <is>
          <t>SEC</t>
        </is>
      </c>
    </row>
    <row r="4106">
      <c r="A4106" s="5">
        <f>HYPERLINK("https://finance.yahoo.com/quote/RICK","RICK")</f>
        <v/>
      </c>
      <c r="B4106" t="inlineStr">
        <is>
          <t>RCI HOSPITALITY HOLDINGS, INC.</t>
        </is>
      </c>
      <c r="C4106" t="inlineStr">
        <is>
          <t>Nasdaq</t>
        </is>
      </c>
      <c r="D4106" t="n">
        <v>935419</v>
      </c>
      <c r="E4106" t="inlineStr">
        <is>
          <t>SEC</t>
        </is>
      </c>
    </row>
    <row r="4107">
      <c r="A4107" s="5">
        <f>HYPERLINK("https://finance.yahoo.com/quote/CMT","CMT")</f>
        <v/>
      </c>
      <c r="B4107" t="inlineStr">
        <is>
          <t>CORE MOLDING TECHNOLOGIES INC</t>
        </is>
      </c>
      <c r="C4107" t="inlineStr">
        <is>
          <t>NYSE</t>
        </is>
      </c>
      <c r="D4107" t="n">
        <v>1026655</v>
      </c>
      <c r="E4107" t="inlineStr">
        <is>
          <t>SEC</t>
        </is>
      </c>
    </row>
    <row r="4108">
      <c r="A4108" s="5">
        <f>HYPERLINK("https://finance.yahoo.com/quote/CAMP","CAMP")</f>
        <v/>
      </c>
      <c r="B4108" t="inlineStr">
        <is>
          <t>Camp4 Therapeutics Corp</t>
        </is>
      </c>
      <c r="C4108" t="inlineStr">
        <is>
          <t>Nasdaq</t>
        </is>
      </c>
      <c r="D4108" t="n">
        <v>1736730</v>
      </c>
      <c r="E4108" t="inlineStr">
        <is>
          <t>SEC</t>
        </is>
      </c>
    </row>
    <row r="4109">
      <c r="A4109" s="5">
        <f>HYPERLINK("https://finance.yahoo.com/quote/XPOF","XPOF")</f>
        <v/>
      </c>
      <c r="B4109" t="inlineStr">
        <is>
          <t>Xponential Fitness, Inc.</t>
        </is>
      </c>
      <c r="C4109" t="inlineStr">
        <is>
          <t>NYSE</t>
        </is>
      </c>
      <c r="D4109" t="n">
        <v>1802156</v>
      </c>
      <c r="E4109" t="inlineStr">
        <is>
          <t>SEC</t>
        </is>
      </c>
    </row>
    <row r="4110">
      <c r="A4110" s="5">
        <f>HYPERLINK("https://finance.yahoo.com/quote/SABA","SABA")</f>
        <v/>
      </c>
      <c r="B4110" t="inlineStr">
        <is>
          <t>Saba Capital Income &amp; Opportunities Fund II</t>
        </is>
      </c>
      <c r="C4110" t="inlineStr">
        <is>
          <t>NYSE</t>
        </is>
      </c>
      <c r="D4110" t="n">
        <v>828803</v>
      </c>
      <c r="E4110" t="inlineStr">
        <is>
          <t>SEC</t>
        </is>
      </c>
    </row>
    <row r="4111">
      <c r="A4111" s="5">
        <f>HYPERLINK("https://finance.yahoo.com/quote/EIC","EIC")</f>
        <v/>
      </c>
      <c r="B4111" t="inlineStr">
        <is>
          <t>Eagle Point Income Co</t>
        </is>
      </c>
      <c r="C4111" t="inlineStr">
        <is>
          <t>NYSE</t>
        </is>
      </c>
      <c r="D4111" t="n">
        <v>1754836</v>
      </c>
      <c r="E4111" t="inlineStr">
        <is>
          <t>SEC</t>
        </is>
      </c>
    </row>
    <row r="4112">
      <c r="A4112" s="5">
        <f>HYPERLINK("https://finance.yahoo.com/quote/PROF","PROF")</f>
        <v/>
      </c>
      <c r="B4112" t="inlineStr">
        <is>
          <t>Profound Medical Corp.</t>
        </is>
      </c>
      <c r="C4112" t="inlineStr">
        <is>
          <t>Nasdaq</t>
        </is>
      </c>
      <c r="D4112" t="n">
        <v>1628808</v>
      </c>
      <c r="E4112" t="inlineStr">
        <is>
          <t>SEC</t>
        </is>
      </c>
    </row>
    <row r="4113">
      <c r="A4113" s="5">
        <f>HYPERLINK("https://finance.yahoo.com/quote/SSP","SSP")</f>
        <v/>
      </c>
      <c r="B4113" t="inlineStr">
        <is>
          <t>E.W. SCRIPPS Co</t>
        </is>
      </c>
      <c r="C4113" t="inlineStr">
        <is>
          <t>Nasdaq</t>
        </is>
      </c>
      <c r="D4113" t="n">
        <v>832428</v>
      </c>
      <c r="E4113" t="inlineStr">
        <is>
          <t>SEC</t>
        </is>
      </c>
    </row>
    <row r="4114">
      <c r="A4114" s="5">
        <f>HYPERLINK("https://finance.yahoo.com/quote/SVCO","SVCO")</f>
        <v/>
      </c>
      <c r="B4114" t="inlineStr">
        <is>
          <t>Silvaco Group, Inc.</t>
        </is>
      </c>
      <c r="C4114" t="inlineStr">
        <is>
          <t>Nasdaq</t>
        </is>
      </c>
      <c r="D4114" t="n">
        <v>1943289</v>
      </c>
      <c r="E4114" t="inlineStr">
        <is>
          <t>SEC</t>
        </is>
      </c>
    </row>
    <row r="4115">
      <c r="A4115" s="5">
        <f>HYPERLINK("https://finance.yahoo.com/quote/KLC","KLC")</f>
        <v/>
      </c>
      <c r="B4115" t="inlineStr">
        <is>
          <t>KinderCare Learning Companies, Inc.</t>
        </is>
      </c>
      <c r="C4115" t="inlineStr">
        <is>
          <t>NYSE</t>
        </is>
      </c>
      <c r="D4115" t="n">
        <v>1873529</v>
      </c>
      <c r="E4115" t="inlineStr">
        <is>
          <t>SEC</t>
        </is>
      </c>
    </row>
    <row r="4116">
      <c r="A4116" s="5">
        <f>HYPERLINK("https://finance.yahoo.com/quote/ZENA","ZENA")</f>
        <v/>
      </c>
      <c r="B4116" t="inlineStr">
        <is>
          <t>ZenaTech, Inc.</t>
        </is>
      </c>
      <c r="C4116" t="inlineStr">
        <is>
          <t>Nasdaq</t>
        </is>
      </c>
      <c r="D4116" t="n">
        <v>1997403</v>
      </c>
      <c r="E4116" t="inlineStr">
        <is>
          <t>SEC</t>
        </is>
      </c>
    </row>
    <row r="4117">
      <c r="A4117" s="5">
        <f>HYPERLINK("https://finance.yahoo.com/quote/PYXS","PYXS")</f>
        <v/>
      </c>
      <c r="B4117" t="inlineStr">
        <is>
          <t>Pyxis Oncology, Inc.</t>
        </is>
      </c>
      <c r="C4117" t="inlineStr">
        <is>
          <t>Nasdaq</t>
        </is>
      </c>
      <c r="D4117" t="n">
        <v>1782223</v>
      </c>
      <c r="E4117" t="inlineStr">
        <is>
          <t>SEC</t>
        </is>
      </c>
    </row>
    <row r="4118">
      <c r="A4118" s="5">
        <f>HYPERLINK("https://finance.yahoo.com/quote/SND","SND")</f>
        <v/>
      </c>
      <c r="B4118" t="inlineStr">
        <is>
          <t>Smart Sand, Inc.</t>
        </is>
      </c>
      <c r="C4118" t="inlineStr">
        <is>
          <t>Nasdaq</t>
        </is>
      </c>
      <c r="D4118" t="n">
        <v>1529628</v>
      </c>
      <c r="E4118" t="inlineStr">
        <is>
          <t>SEC</t>
        </is>
      </c>
    </row>
    <row r="4119">
      <c r="A4119" s="5">
        <f>HYPERLINK("https://finance.yahoo.com/quote/BGIN","BGIN")</f>
        <v/>
      </c>
      <c r="B4119" t="inlineStr">
        <is>
          <t>BGIN BLOCKCHAIN Ltd</t>
        </is>
      </c>
      <c r="C4119" t="inlineStr">
        <is>
          <t>Nasdaq</t>
        </is>
      </c>
      <c r="D4119" t="n">
        <v>1945565</v>
      </c>
      <c r="E4119" t="inlineStr">
        <is>
          <t>SEC</t>
        </is>
      </c>
    </row>
    <row r="4120">
      <c r="A4120" s="5">
        <f>HYPERLINK("https://finance.yahoo.com/quote/KTWO","KTWO")</f>
        <v/>
      </c>
      <c r="B4120" t="inlineStr">
        <is>
          <t>K2 Capital Acquisition Corp</t>
        </is>
      </c>
      <c r="C4120" t="inlineStr">
        <is>
          <t>Nasdaq</t>
        </is>
      </c>
      <c r="D4120" t="n">
        <v>2086524</v>
      </c>
      <c r="E4120" t="inlineStr">
        <is>
          <t>SEC</t>
        </is>
      </c>
    </row>
    <row r="4121">
      <c r="A4121" s="5">
        <f>HYPERLINK("https://finance.yahoo.com/quote/FCCN","FCCN")</f>
        <v/>
      </c>
      <c r="B4121" t="inlineStr">
        <is>
          <t>SPECTRAL CAPITAL Corp</t>
        </is>
      </c>
      <c r="C4121" t="inlineStr">
        <is>
          <t>OTC</t>
        </is>
      </c>
      <c r="D4121" t="n">
        <v>1131903</v>
      </c>
      <c r="E4121" t="inlineStr">
        <is>
          <t>SEC</t>
        </is>
      </c>
    </row>
    <row r="4122">
      <c r="A4122" s="5">
        <f>HYPERLINK("https://finance.yahoo.com/quote/SGC","SGC")</f>
        <v/>
      </c>
      <c r="B4122" t="inlineStr">
        <is>
          <t>SUPERIOR GROUP OF COMPANIES, INC.</t>
        </is>
      </c>
      <c r="C4122" t="inlineStr">
        <is>
          <t>Nasdaq</t>
        </is>
      </c>
      <c r="D4122" t="n">
        <v>95574</v>
      </c>
      <c r="E4122" t="inlineStr">
        <is>
          <t>SEC</t>
        </is>
      </c>
    </row>
    <row r="4123">
      <c r="A4123" s="5">
        <f>HYPERLINK("https://finance.yahoo.com/quote/BEBE","BEBE")</f>
        <v/>
      </c>
      <c r="B4123" t="inlineStr">
        <is>
          <t>TGE Value Creative Solutions Corp</t>
        </is>
      </c>
      <c r="C4123" t="inlineStr">
        <is>
          <t>NYSE</t>
        </is>
      </c>
      <c r="D4123" t="n">
        <v>2079933</v>
      </c>
      <c r="E4123" t="inlineStr">
        <is>
          <t>SEC</t>
        </is>
      </c>
    </row>
    <row r="4124">
      <c r="A4124" s="5">
        <f>HYPERLINK("https://finance.yahoo.com/quote/RBKB","RBKB")</f>
        <v/>
      </c>
      <c r="B4124" t="inlineStr">
        <is>
          <t>Rhinebeck Bancorp, Inc.</t>
        </is>
      </c>
      <c r="C4124" t="inlineStr">
        <is>
          <t>Nasdaq</t>
        </is>
      </c>
      <c r="D4124" t="n">
        <v>1751783</v>
      </c>
      <c r="E4124" t="inlineStr">
        <is>
          <t>SEC</t>
        </is>
      </c>
    </row>
    <row r="4125">
      <c r="A4125" s="5">
        <f>HYPERLINK("https://finance.yahoo.com/quote/ZSQR","ZSQR")</f>
        <v/>
      </c>
      <c r="B4125" t="inlineStr">
        <is>
          <t>Z Squared Inc.</t>
        </is>
      </c>
      <c r="C4125" t="inlineStr">
        <is>
          <t>Nasdaq</t>
        </is>
      </c>
      <c r="D4125" t="n">
        <v>1759186</v>
      </c>
      <c r="E4125" t="inlineStr">
        <is>
          <t>SEC</t>
        </is>
      </c>
    </row>
    <row r="4126">
      <c r="A4126" s="5">
        <f>HYPERLINK("https://finance.yahoo.com/quote/FOCL","FOCL")</f>
        <v/>
      </c>
      <c r="B4126" t="inlineStr">
        <is>
          <t>EDAP TMS SA</t>
        </is>
      </c>
      <c r="C4126" t="inlineStr">
        <is>
          <t>Nasdaq</t>
        </is>
      </c>
      <c r="D4126" t="n">
        <v>1041934</v>
      </c>
      <c r="E4126" t="inlineStr">
        <is>
          <t>SEC</t>
        </is>
      </c>
    </row>
    <row r="4127">
      <c r="A4127" s="5">
        <f>HYPERLINK("https://finance.yahoo.com/quote/PDEX","PDEX")</f>
        <v/>
      </c>
      <c r="B4127" t="inlineStr">
        <is>
          <t>PRO DEX INC</t>
        </is>
      </c>
      <c r="C4127" t="inlineStr">
        <is>
          <t>Nasdaq</t>
        </is>
      </c>
      <c r="D4127" t="n">
        <v>788920</v>
      </c>
      <c r="E4127" t="inlineStr">
        <is>
          <t>SEC</t>
        </is>
      </c>
    </row>
    <row r="4128">
      <c r="A4128" s="5">
        <f>HYPERLINK("https://finance.yahoo.com/quote/FIGX","FIGX")</f>
        <v/>
      </c>
      <c r="B4128" t="inlineStr">
        <is>
          <t>FIGX Capital Acquisition Corp.</t>
        </is>
      </c>
      <c r="C4128" t="inlineStr">
        <is>
          <t>Nasdaq</t>
        </is>
      </c>
      <c r="D4128" t="n">
        <v>2059033</v>
      </c>
      <c r="E4128" t="inlineStr">
        <is>
          <t>SEC</t>
        </is>
      </c>
    </row>
    <row r="4129">
      <c r="A4129" s="5">
        <f>HYPERLINK("https://finance.yahoo.com/quote/CURV","CURV")</f>
        <v/>
      </c>
      <c r="B4129" t="inlineStr">
        <is>
          <t>Torrid Holdings Inc.</t>
        </is>
      </c>
      <c r="C4129" t="inlineStr">
        <is>
          <t>NYSE</t>
        </is>
      </c>
      <c r="D4129" t="n">
        <v>1792781</v>
      </c>
      <c r="E4129" t="inlineStr">
        <is>
          <t>SEC</t>
        </is>
      </c>
    </row>
    <row r="4130">
      <c r="A4130" s="5">
        <f>HYPERLINK("https://finance.yahoo.com/quote/GLAS","GLAS")</f>
        <v/>
      </c>
      <c r="B4130" t="inlineStr">
        <is>
          <t>Glass House Brands Inc.</t>
        </is>
      </c>
      <c r="C4130" t="inlineStr">
        <is>
          <t>NYSE</t>
        </is>
      </c>
      <c r="D4130" t="n">
        <v>1848731</v>
      </c>
      <c r="E4130" t="inlineStr">
        <is>
          <t>SEC</t>
        </is>
      </c>
    </row>
    <row r="4131">
      <c r="A4131" s="5">
        <f>HYPERLINK("https://finance.yahoo.com/quote/AIIA","AIIA")</f>
        <v/>
      </c>
      <c r="B4131" t="inlineStr">
        <is>
          <t>AI Infrastructure Acquisition Corp.</t>
        </is>
      </c>
      <c r="C4131" t="inlineStr">
        <is>
          <t>NYSE</t>
        </is>
      </c>
      <c r="D4131" t="n">
        <v>2073553</v>
      </c>
      <c r="E4131" t="inlineStr">
        <is>
          <t>SEC</t>
        </is>
      </c>
    </row>
    <row r="4132">
      <c r="A4132" s="5">
        <f>HYPERLINK("https://finance.yahoo.com/quote/ETSS","ETSS")</f>
        <v/>
      </c>
      <c r="B4132" t="inlineStr">
        <is>
          <t>Energy Transition Special Opportunities</t>
        </is>
      </c>
      <c r="C4132" t="inlineStr">
        <is>
          <t>NYSE</t>
        </is>
      </c>
      <c r="D4132" t="n">
        <v>2085932</v>
      </c>
      <c r="E4132" t="inlineStr">
        <is>
          <t>SEC</t>
        </is>
      </c>
    </row>
    <row r="4133">
      <c r="A4133" s="5">
        <f>HYPERLINK("https://finance.yahoo.com/quote/HWKE","HWKE")</f>
        <v/>
      </c>
      <c r="B4133" t="inlineStr">
        <is>
          <t>Hawkeye Digital, Inc.</t>
        </is>
      </c>
      <c r="C4133" t="inlineStr">
        <is>
          <t>OTC</t>
        </is>
      </c>
      <c r="D4133" t="n">
        <v>1750777</v>
      </c>
      <c r="E4133" t="inlineStr">
        <is>
          <t>SEC</t>
        </is>
      </c>
    </row>
    <row r="4134">
      <c r="A4134" s="5">
        <f>HYPERLINK("https://finance.yahoo.com/quote/IIF","IIF")</f>
        <v/>
      </c>
      <c r="B4134" t="inlineStr">
        <is>
          <t>MORGAN STANLEY INDIA INVESTMENT FUND, INC.</t>
        </is>
      </c>
      <c r="C4134" t="inlineStr">
        <is>
          <t>NYSE</t>
        </is>
      </c>
      <c r="D4134" t="n">
        <v>916618</v>
      </c>
      <c r="E4134" t="inlineStr">
        <is>
          <t>SEC</t>
        </is>
      </c>
    </row>
    <row r="4135">
      <c r="A4135" s="5">
        <f>HYPERLINK("https://finance.yahoo.com/quote/HHLKF","HHLKF")</f>
        <v/>
      </c>
      <c r="B4135" t="inlineStr">
        <is>
          <t>Hot Chili Ltd</t>
        </is>
      </c>
      <c r="C4135" t="inlineStr">
        <is>
          <t>OTC</t>
        </is>
      </c>
      <c r="D4135" t="n">
        <v>1562823</v>
      </c>
      <c r="E4135" t="inlineStr">
        <is>
          <t>SEC</t>
        </is>
      </c>
    </row>
    <row r="4136">
      <c r="A4136" s="5">
        <f>HYPERLINK("https://finance.yahoo.com/quote/APMC","APMC")</f>
        <v/>
      </c>
      <c r="B4136" t="inlineStr">
        <is>
          <t>AmperCap Acquisition Co</t>
        </is>
      </c>
      <c r="C4136" t="inlineStr">
        <is>
          <t>Nasdaq</t>
        </is>
      </c>
      <c r="D4136" t="n">
        <v>2101393</v>
      </c>
      <c r="E4136" t="inlineStr">
        <is>
          <t>SEC</t>
        </is>
      </c>
    </row>
    <row r="4137">
      <c r="A4137" s="5">
        <f>HYPERLINK("https://finance.yahoo.com/quote/LFAC","LFAC")</f>
        <v/>
      </c>
      <c r="B4137" t="inlineStr">
        <is>
          <t>Leapfrog Acquisition Corp</t>
        </is>
      </c>
      <c r="C4137" t="inlineStr">
        <is>
          <t>Nasdaq</t>
        </is>
      </c>
      <c r="D4137" t="n">
        <v>2084563</v>
      </c>
      <c r="E4137" t="inlineStr">
        <is>
          <t>SEC</t>
        </is>
      </c>
    </row>
    <row r="4138">
      <c r="A4138" s="5">
        <f>HYPERLINK("https://finance.yahoo.com/quote/LARK","LARK")</f>
        <v/>
      </c>
      <c r="B4138" t="inlineStr">
        <is>
          <t>LANDMARK BANCORP INC</t>
        </is>
      </c>
      <c r="C4138" t="inlineStr">
        <is>
          <t>Nasdaq</t>
        </is>
      </c>
      <c r="D4138" t="n">
        <v>1141688</v>
      </c>
      <c r="E4138" t="inlineStr">
        <is>
          <t>SEC</t>
        </is>
      </c>
    </row>
    <row r="4139">
      <c r="A4139" s="5">
        <f>HYPERLINK("https://finance.yahoo.com/quote/ALEC","ALEC")</f>
        <v/>
      </c>
      <c r="B4139" t="inlineStr">
        <is>
          <t>Alector, Inc.</t>
        </is>
      </c>
      <c r="C4139" t="inlineStr">
        <is>
          <t>Nasdaq</t>
        </is>
      </c>
      <c r="D4139" t="n">
        <v>1653087</v>
      </c>
      <c r="E4139" t="inlineStr">
        <is>
          <t>SEC</t>
        </is>
      </c>
    </row>
    <row r="4140">
      <c r="A4140" s="5">
        <f>HYPERLINK("https://finance.yahoo.com/quote/WRLGF","WRLGF")</f>
        <v/>
      </c>
      <c r="B4140" t="inlineStr">
        <is>
          <t>West Red Lake Gold Mines Ltd.</t>
        </is>
      </c>
      <c r="C4140" t="inlineStr">
        <is>
          <t>OTC</t>
        </is>
      </c>
      <c r="D4140" t="n">
        <v>1733968</v>
      </c>
      <c r="E4140" t="inlineStr">
        <is>
          <t>SEC</t>
        </is>
      </c>
    </row>
    <row r="4141">
      <c r="A4141" s="5">
        <f>HYPERLINK("https://finance.yahoo.com/quote/DHX","DHX")</f>
        <v/>
      </c>
      <c r="B4141" t="inlineStr">
        <is>
          <t>DHI GROUP, INC.</t>
        </is>
      </c>
      <c r="C4141" t="inlineStr">
        <is>
          <t>NYSE</t>
        </is>
      </c>
      <c r="D4141" t="n">
        <v>1393883</v>
      </c>
      <c r="E4141" t="inlineStr">
        <is>
          <t>SEC</t>
        </is>
      </c>
    </row>
    <row r="4142">
      <c r="A4142" s="5">
        <f>HYPERLINK("https://finance.yahoo.com/quote/PSRHF","PSRHF")</f>
        <v/>
      </c>
      <c r="B4142" t="inlineStr">
        <is>
          <t>Pulsar Helium Inc.</t>
        </is>
      </c>
      <c r="C4142" t="inlineStr">
        <is>
          <t>OTC</t>
        </is>
      </c>
      <c r="D4142" t="n">
        <v>1991413</v>
      </c>
      <c r="E4142" t="inlineStr">
        <is>
          <t>SEC</t>
        </is>
      </c>
    </row>
    <row r="4143">
      <c r="A4143" s="5">
        <f>HYPERLINK("https://finance.yahoo.com/quote/MIAC","MIAC")</f>
        <v/>
      </c>
      <c r="B4143" t="inlineStr">
        <is>
          <t>Meridian3 Industrials Acquisition Corp</t>
        </is>
      </c>
      <c r="C4143" t="inlineStr">
        <is>
          <t>Nasdaq</t>
        </is>
      </c>
      <c r="D4143" t="n">
        <v>2136530</v>
      </c>
      <c r="E4143" t="inlineStr">
        <is>
          <t>SEC</t>
        </is>
      </c>
    </row>
    <row r="4144">
      <c r="A4144" s="5">
        <f>HYPERLINK("https://finance.yahoo.com/quote/PED","PED")</f>
        <v/>
      </c>
      <c r="B4144" t="inlineStr">
        <is>
          <t>PEDEVCO CORP</t>
        </is>
      </c>
      <c r="C4144" t="inlineStr">
        <is>
          <t>NYSE</t>
        </is>
      </c>
      <c r="D4144" t="n">
        <v>1141197</v>
      </c>
      <c r="E4144" t="inlineStr">
        <is>
          <t>SEC</t>
        </is>
      </c>
    </row>
    <row r="4145">
      <c r="A4145" s="5">
        <f>HYPERLINK("https://finance.yahoo.com/quote/CSBB","CSBB")</f>
        <v/>
      </c>
      <c r="B4145" t="inlineStr">
        <is>
          <t>CSB Bancorp, Inc.</t>
        </is>
      </c>
      <c r="C4145" t="inlineStr">
        <is>
          <t>OTC</t>
        </is>
      </c>
      <c r="D4145" t="n">
        <v>880417</v>
      </c>
      <c r="E4145" t="inlineStr">
        <is>
          <t>SEC</t>
        </is>
      </c>
    </row>
    <row r="4146">
      <c r="A4146" s="5">
        <f>HYPERLINK("https://finance.yahoo.com/quote/TSSI","TSSI")</f>
        <v/>
      </c>
      <c r="B4146" t="inlineStr">
        <is>
          <t>TSS, Inc.</t>
        </is>
      </c>
      <c r="C4146" t="inlineStr">
        <is>
          <t>Nasdaq</t>
        </is>
      </c>
      <c r="D4146" t="n">
        <v>1320760</v>
      </c>
      <c r="E4146" t="inlineStr">
        <is>
          <t>SEC</t>
        </is>
      </c>
    </row>
    <row r="4147">
      <c r="A4147" s="5">
        <f>HYPERLINK("https://finance.yahoo.com/quote/LMNR","LMNR")</f>
        <v/>
      </c>
      <c r="B4147" t="inlineStr">
        <is>
          <t>Limoneira CO</t>
        </is>
      </c>
      <c r="C4147" t="inlineStr">
        <is>
          <t>Nasdaq</t>
        </is>
      </c>
      <c r="D4147" t="n">
        <v>1342423</v>
      </c>
      <c r="E4147" t="inlineStr">
        <is>
          <t>SEC</t>
        </is>
      </c>
    </row>
    <row r="4148">
      <c r="A4148" s="5">
        <f>HYPERLINK("https://finance.yahoo.com/quote/PMMCF","PMMCF")</f>
        <v/>
      </c>
      <c r="B4148" t="inlineStr">
        <is>
          <t>Pampa Metals Corp</t>
        </is>
      </c>
      <c r="C4148" t="inlineStr">
        <is>
          <t>OTC</t>
        </is>
      </c>
      <c r="D4148" t="n">
        <v>1930459</v>
      </c>
      <c r="E4148" t="inlineStr">
        <is>
          <t>SEC</t>
        </is>
      </c>
    </row>
    <row r="4149">
      <c r="A4149" s="5">
        <f>HYPERLINK("https://finance.yahoo.com/quote/FOA","FOA")</f>
        <v/>
      </c>
      <c r="B4149" t="inlineStr">
        <is>
          <t>Finance of America Companies Inc.</t>
        </is>
      </c>
      <c r="C4149" t="inlineStr">
        <is>
          <t>NYSE</t>
        </is>
      </c>
      <c r="D4149" t="n">
        <v>1828937</v>
      </c>
      <c r="E4149" t="inlineStr">
        <is>
          <t>SEC</t>
        </is>
      </c>
    </row>
    <row r="4150">
      <c r="A4150" s="5">
        <f>HYPERLINK("https://finance.yahoo.com/quote/BMBN","BMBN")</f>
        <v/>
      </c>
      <c r="B4150" t="inlineStr">
        <is>
          <t>BENCHMARK BANKSHARES INC</t>
        </is>
      </c>
      <c r="C4150" t="inlineStr">
        <is>
          <t>OTC</t>
        </is>
      </c>
      <c r="D4150" t="n">
        <v>804563</v>
      </c>
      <c r="E4150" t="inlineStr">
        <is>
          <t>SEC</t>
        </is>
      </c>
    </row>
    <row r="4151">
      <c r="A4151" s="5">
        <f>HYPERLINK("https://finance.yahoo.com/quote/TYFG","TYFG")</f>
        <v/>
      </c>
      <c r="B4151" t="inlineStr">
        <is>
          <t>Tri-County Financial Group, Inc.</t>
        </is>
      </c>
      <c r="C4151" t="inlineStr">
        <is>
          <t>OTC</t>
        </is>
      </c>
      <c r="D4151" t="n">
        <v>1725262</v>
      </c>
      <c r="E4151" t="inlineStr">
        <is>
          <t>SEC</t>
        </is>
      </c>
    </row>
    <row r="4152">
      <c r="A4152" s="5">
        <f>HYPERLINK("https://finance.yahoo.com/quote/CBFV","CBFV")</f>
        <v/>
      </c>
      <c r="B4152" t="inlineStr">
        <is>
          <t>CB Financial Services, Inc.</t>
        </is>
      </c>
      <c r="C4152" t="inlineStr">
        <is>
          <t>Nasdaq</t>
        </is>
      </c>
      <c r="D4152" t="n">
        <v>1605301</v>
      </c>
      <c r="E4152" t="inlineStr">
        <is>
          <t>SEC</t>
        </is>
      </c>
    </row>
    <row r="4153">
      <c r="A4153" s="5">
        <f>HYPERLINK("https://finance.yahoo.com/quote/BDCO","BDCO")</f>
        <v/>
      </c>
      <c r="B4153" t="inlineStr">
        <is>
          <t>BLUE DOLPHIN ENERGY CO</t>
        </is>
      </c>
      <c r="C4153" t="inlineStr">
        <is>
          <t>OTC</t>
        </is>
      </c>
      <c r="D4153" t="n">
        <v>793306</v>
      </c>
      <c r="E4153" t="inlineStr">
        <is>
          <t>SEC</t>
        </is>
      </c>
    </row>
    <row r="4154">
      <c r="A4154" s="5">
        <f>HYPERLINK("https://finance.yahoo.com/quote/ABAT","ABAT")</f>
        <v/>
      </c>
      <c r="B4154" t="inlineStr">
        <is>
          <t>AMERICAN BATTERY TECHNOLOGY Co</t>
        </is>
      </c>
      <c r="C4154" t="inlineStr">
        <is>
          <t>Nasdaq</t>
        </is>
      </c>
      <c r="D4154" t="n">
        <v>1576873</v>
      </c>
      <c r="E4154" t="inlineStr">
        <is>
          <t>SEC</t>
        </is>
      </c>
    </row>
    <row r="4155">
      <c r="A4155" s="5">
        <f>HYPERLINK("https://finance.yahoo.com/quote/SUGRF","SUGRF")</f>
        <v/>
      </c>
      <c r="B4155" t="inlineStr">
        <is>
          <t>Sucro Ltd</t>
        </is>
      </c>
      <c r="C4155" t="inlineStr">
        <is>
          <t>OTC</t>
        </is>
      </c>
      <c r="D4155" t="n">
        <v>1996493</v>
      </c>
      <c r="E4155" t="inlineStr">
        <is>
          <t>SEC</t>
        </is>
      </c>
    </row>
    <row r="4156">
      <c r="A4156" s="5">
        <f>HYPERLINK("https://finance.yahoo.com/quote/LCUT","LCUT")</f>
        <v/>
      </c>
      <c r="B4156" t="inlineStr">
        <is>
          <t>LIFETIME BRANDS, INC</t>
        </is>
      </c>
      <c r="C4156" t="inlineStr">
        <is>
          <t>Nasdaq</t>
        </is>
      </c>
      <c r="D4156" t="n">
        <v>874396</v>
      </c>
      <c r="E4156" t="inlineStr">
        <is>
          <t>SEC</t>
        </is>
      </c>
    </row>
    <row r="4157">
      <c r="A4157" s="5">
        <f>HYPERLINK("https://finance.yahoo.com/quote/NAGE","NAGE")</f>
        <v/>
      </c>
      <c r="B4157" t="inlineStr">
        <is>
          <t>Niagen Bioscience, Inc.</t>
        </is>
      </c>
      <c r="C4157" t="inlineStr">
        <is>
          <t>Nasdaq</t>
        </is>
      </c>
      <c r="D4157" t="n">
        <v>1386570</v>
      </c>
      <c r="E4157" t="inlineStr">
        <is>
          <t>SEC</t>
        </is>
      </c>
    </row>
    <row r="4158">
      <c r="A4158" s="5">
        <f>HYPERLINK("https://finance.yahoo.com/quote/FIRY","FIRY")</f>
        <v/>
      </c>
      <c r="B4158" t="inlineStr">
        <is>
          <t>Firy Inc.</t>
        </is>
      </c>
      <c r="C4158" t="inlineStr">
        <is>
          <t>NYSE</t>
        </is>
      </c>
      <c r="D4158" t="n">
        <v>1801661</v>
      </c>
      <c r="E4158" t="inlineStr">
        <is>
          <t>SEC</t>
        </is>
      </c>
    </row>
    <row r="4159">
      <c r="A4159" s="5">
        <f>HYPERLINK("https://finance.yahoo.com/quote/SBMT","SBMT")</f>
        <v/>
      </c>
      <c r="B4159" t="inlineStr">
        <is>
          <t>SILVER BOW MINING CORP.</t>
        </is>
      </c>
      <c r="C4159" t="inlineStr">
        <is>
          <t>NYSE</t>
        </is>
      </c>
      <c r="D4159" t="n">
        <v>2067674</v>
      </c>
      <c r="E4159" t="inlineStr">
        <is>
          <t>SEC</t>
        </is>
      </c>
    </row>
    <row r="4160">
      <c r="A4160" s="5">
        <f>HYPERLINK("https://finance.yahoo.com/quote/MPAA","MPAA")</f>
        <v/>
      </c>
      <c r="B4160" t="inlineStr">
        <is>
          <t>MOTORCAR PARTS OF AMERICA INC</t>
        </is>
      </c>
      <c r="C4160" t="inlineStr">
        <is>
          <t>Nasdaq</t>
        </is>
      </c>
      <c r="D4160" t="n">
        <v>918251</v>
      </c>
      <c r="E4160" t="inlineStr">
        <is>
          <t>SEC</t>
        </is>
      </c>
    </row>
    <row r="4161">
      <c r="A4161" s="5">
        <f>HYPERLINK("https://finance.yahoo.com/quote/BID","BID")</f>
        <v/>
      </c>
      <c r="B4161" t="inlineStr">
        <is>
          <t>Tribeca Strategic Acquisition Corp.</t>
        </is>
      </c>
      <c r="C4161" t="inlineStr">
        <is>
          <t>Nasdaq</t>
        </is>
      </c>
      <c r="D4161" t="n">
        <v>2094919</v>
      </c>
      <c r="E4161" t="inlineStr">
        <is>
          <t>SEC</t>
        </is>
      </c>
    </row>
    <row r="4162">
      <c r="A4162" s="5">
        <f>HYPERLINK("https://finance.yahoo.com/quote/ICTSF","ICTSF")</f>
        <v/>
      </c>
      <c r="B4162" t="inlineStr">
        <is>
          <t>ICTS INTERNATIONAL N V</t>
        </is>
      </c>
      <c r="C4162" t="inlineStr">
        <is>
          <t>OTC</t>
        </is>
      </c>
      <c r="D4162" t="n">
        <v>1010134</v>
      </c>
      <c r="E4162" t="inlineStr">
        <is>
          <t>SEC</t>
        </is>
      </c>
    </row>
    <row r="4163">
      <c r="A4163" s="5">
        <f>HYPERLINK("https://finance.yahoo.com/quote/MVST","MVST")</f>
        <v/>
      </c>
      <c r="B4163" t="inlineStr">
        <is>
          <t>Microvast Holdings, Inc.</t>
        </is>
      </c>
      <c r="C4163" t="inlineStr">
        <is>
          <t>Nasdaq</t>
        </is>
      </c>
      <c r="D4163" t="n">
        <v>1760689</v>
      </c>
      <c r="E4163" t="inlineStr">
        <is>
          <t>SEC</t>
        </is>
      </c>
    </row>
    <row r="4164">
      <c r="A4164" s="5">
        <f>HYPERLINK("https://finance.yahoo.com/quote/BSET","BSET")</f>
        <v/>
      </c>
      <c r="B4164" t="inlineStr">
        <is>
          <t>BASSETT FURNITURE INDUSTRIES INC</t>
        </is>
      </c>
      <c r="C4164" t="inlineStr">
        <is>
          <t>Nasdaq</t>
        </is>
      </c>
      <c r="D4164" t="n">
        <v>10329</v>
      </c>
      <c r="E4164" t="inlineStr">
        <is>
          <t>SEC</t>
        </is>
      </c>
    </row>
    <row r="4165">
      <c r="A4165" s="5">
        <f>HYPERLINK("https://finance.yahoo.com/quote/EPSN","EPSN")</f>
        <v/>
      </c>
      <c r="B4165" t="inlineStr">
        <is>
          <t>Epsilon Energy Ltd.</t>
        </is>
      </c>
      <c r="C4165" t="inlineStr">
        <is>
          <t>Nasdaq</t>
        </is>
      </c>
      <c r="D4165" t="n">
        <v>1726126</v>
      </c>
      <c r="E4165" t="inlineStr">
        <is>
          <t>SEC</t>
        </is>
      </c>
    </row>
    <row r="4166">
      <c r="A4166" s="5">
        <f>HYPERLINK("https://finance.yahoo.com/quote/CXDO","CXDO")</f>
        <v/>
      </c>
      <c r="B4166" t="inlineStr">
        <is>
          <t>Crexendo, Inc.</t>
        </is>
      </c>
      <c r="C4166" t="inlineStr">
        <is>
          <t>Nasdaq</t>
        </is>
      </c>
      <c r="D4166" t="n">
        <v>1075736</v>
      </c>
      <c r="E4166" t="inlineStr">
        <is>
          <t>SEC</t>
        </is>
      </c>
    </row>
    <row r="4167">
      <c r="A4167" s="5">
        <f>HYPERLINK("https://finance.yahoo.com/quote/BANX","BANX")</f>
        <v/>
      </c>
      <c r="B4167" t="inlineStr">
        <is>
          <t>ArrowMark Financial Corp.</t>
        </is>
      </c>
      <c r="C4167" t="inlineStr">
        <is>
          <t>Nasdaq</t>
        </is>
      </c>
      <c r="D4167" t="n">
        <v>1578987</v>
      </c>
      <c r="E4167" t="inlineStr">
        <is>
          <t>SEC</t>
        </is>
      </c>
    </row>
    <row r="4168">
      <c r="A4168" s="5">
        <f>HYPERLINK("https://finance.yahoo.com/quote/TII","TII")</f>
        <v/>
      </c>
      <c r="B4168" t="inlineStr">
        <is>
          <t>Titan Mining Corp</t>
        </is>
      </c>
      <c r="C4168" t="inlineStr">
        <is>
          <t>NYSE</t>
        </is>
      </c>
      <c r="D4168" t="n">
        <v>1791703</v>
      </c>
      <c r="E4168" t="inlineStr">
        <is>
          <t>SEC</t>
        </is>
      </c>
    </row>
    <row r="4169">
      <c r="A4169" s="5">
        <f>HYPERLINK("https://finance.yahoo.com/quote/ENGS","ENGS")</f>
        <v/>
      </c>
      <c r="B4169" t="inlineStr">
        <is>
          <t>Energys Group Ltd</t>
        </is>
      </c>
      <c r="C4169" t="inlineStr">
        <is>
          <t>Nasdaq</t>
        </is>
      </c>
      <c r="D4169" t="n">
        <v>1971828</v>
      </c>
      <c r="E4169" t="inlineStr">
        <is>
          <t>SEC</t>
        </is>
      </c>
    </row>
    <row r="4170">
      <c r="A4170" s="5">
        <f>HYPERLINK("https://finance.yahoo.com/quote/AGYXY","AGYXY")</f>
        <v/>
      </c>
      <c r="B4170" t="inlineStr">
        <is>
          <t>AGILYX ASA / ADR</t>
        </is>
      </c>
      <c r="C4170" t="inlineStr">
        <is>
          <t>OTC</t>
        </is>
      </c>
      <c r="D4170" t="n">
        <v>2147869</v>
      </c>
      <c r="E4170" t="inlineStr">
        <is>
          <t>SEC</t>
        </is>
      </c>
    </row>
    <row r="4171">
      <c r="A4171" s="5">
        <f>HYPERLINK("https://finance.yahoo.com/quote/FNWD","FNWD")</f>
        <v/>
      </c>
      <c r="B4171" t="inlineStr">
        <is>
          <t>Finward Bancorp</t>
        </is>
      </c>
      <c r="C4171" t="inlineStr">
        <is>
          <t>Nasdaq</t>
        </is>
      </c>
      <c r="D4171" t="n">
        <v>919864</v>
      </c>
      <c r="E4171" t="inlineStr">
        <is>
          <t>SEC</t>
        </is>
      </c>
    </row>
    <row r="4172">
      <c r="A4172" s="5">
        <f>HYPERLINK("https://finance.yahoo.com/quote/SBFG","SBFG")</f>
        <v/>
      </c>
      <c r="B4172" t="inlineStr">
        <is>
          <t>SB FINANCIAL GROUP, INC.</t>
        </is>
      </c>
      <c r="C4172" t="inlineStr">
        <is>
          <t>Nasdaq</t>
        </is>
      </c>
      <c r="D4172" t="n">
        <v>767405</v>
      </c>
      <c r="E4172" t="inlineStr">
        <is>
          <t>SEC</t>
        </is>
      </c>
    </row>
    <row r="4173">
      <c r="A4173" s="5">
        <f>HYPERLINK("https://finance.yahoo.com/quote/AMPY","AMPY")</f>
        <v/>
      </c>
      <c r="B4173" t="inlineStr">
        <is>
          <t>Amplify Energy Corp.</t>
        </is>
      </c>
      <c r="C4173" t="inlineStr">
        <is>
          <t>NYSE</t>
        </is>
      </c>
      <c r="D4173" t="n">
        <v>1533924</v>
      </c>
      <c r="E4173" t="inlineStr">
        <is>
          <t>SEC</t>
        </is>
      </c>
    </row>
    <row r="4174">
      <c r="A4174" s="5">
        <f>HYPERLINK("https://finance.yahoo.com/quote/BVFL","BVFL")</f>
        <v/>
      </c>
      <c r="B4174" t="inlineStr">
        <is>
          <t>BV Financial, Inc.</t>
        </is>
      </c>
      <c r="C4174" t="inlineStr">
        <is>
          <t>Nasdaq</t>
        </is>
      </c>
      <c r="D4174" t="n">
        <v>1302387</v>
      </c>
      <c r="E4174" t="inlineStr">
        <is>
          <t>SEC</t>
        </is>
      </c>
    </row>
    <row r="4175">
      <c r="A4175" s="5">
        <f>HYPERLINK("https://finance.yahoo.com/quote/AUC","AUC")</f>
        <v/>
      </c>
      <c r="B4175" t="inlineStr">
        <is>
          <t>ATIF Holdings Ltd</t>
        </is>
      </c>
      <c r="C4175" t="inlineStr">
        <is>
          <t>Nasdaq</t>
        </is>
      </c>
      <c r="D4175" t="n">
        <v>1755058</v>
      </c>
      <c r="E4175" t="inlineStr">
        <is>
          <t>SEC</t>
        </is>
      </c>
    </row>
    <row r="4176">
      <c r="A4176" s="5">
        <f>HYPERLINK("https://finance.yahoo.com/quote/EVMN","EVMN")</f>
        <v/>
      </c>
      <c r="B4176" t="inlineStr">
        <is>
          <t>Evommune, Inc.</t>
        </is>
      </c>
      <c r="C4176" t="inlineStr">
        <is>
          <t>NYSE</t>
        </is>
      </c>
      <c r="D4176" t="n">
        <v>2044725</v>
      </c>
      <c r="E4176" t="inlineStr">
        <is>
          <t>SEC</t>
        </is>
      </c>
    </row>
    <row r="4177">
      <c r="A4177" s="5">
        <f>HYPERLINK("https://finance.yahoo.com/quote/INGN","INGN")</f>
        <v/>
      </c>
      <c r="B4177" t="inlineStr">
        <is>
          <t>Inogen Inc</t>
        </is>
      </c>
      <c r="C4177" t="inlineStr">
        <is>
          <t>Nasdaq</t>
        </is>
      </c>
      <c r="D4177" t="n">
        <v>1294133</v>
      </c>
      <c r="E4177" t="inlineStr">
        <is>
          <t>SEC</t>
        </is>
      </c>
    </row>
    <row r="4178">
      <c r="A4178" s="5">
        <f>HYPERLINK("https://finance.yahoo.com/quote/RNAC","RNAC")</f>
        <v/>
      </c>
      <c r="B4178" t="inlineStr">
        <is>
          <t>Cartesian Therapeutics, Inc.</t>
        </is>
      </c>
      <c r="C4178" t="inlineStr">
        <is>
          <t>Nasdaq</t>
        </is>
      </c>
      <c r="D4178" t="n">
        <v>1453687</v>
      </c>
      <c r="E4178" t="inlineStr">
        <is>
          <t>SEC</t>
        </is>
      </c>
    </row>
    <row r="4179">
      <c r="A4179" s="5">
        <f>HYPERLINK("https://finance.yahoo.com/quote/ETX","ETX")</f>
        <v/>
      </c>
      <c r="B4179" t="inlineStr">
        <is>
          <t>Eaton Vance Municipal Income 2028 Term Trust</t>
        </is>
      </c>
      <c r="C4179" t="inlineStr">
        <is>
          <t>NYSE</t>
        </is>
      </c>
      <c r="D4179" t="n">
        <v>1563696</v>
      </c>
      <c r="E4179" t="inlineStr">
        <is>
          <t>SEC</t>
        </is>
      </c>
    </row>
    <row r="4180">
      <c r="A4180" s="5">
        <f>HYPERLINK("https://finance.yahoo.com/quote/NPV","NPV")</f>
        <v/>
      </c>
      <c r="B4180" t="inlineStr">
        <is>
          <t>NUVEEN VIRGINIA QUALITY MUNICIPAL INCOME FUND</t>
        </is>
      </c>
      <c r="C4180" t="inlineStr">
        <is>
          <t>NYSE</t>
        </is>
      </c>
      <c r="D4180" t="n">
        <v>897421</v>
      </c>
      <c r="E4180" t="inlineStr">
        <is>
          <t>SEC</t>
        </is>
      </c>
    </row>
    <row r="4181">
      <c r="A4181" s="5">
        <f>HYPERLINK("https://finance.yahoo.com/quote/DUOT","DUOT")</f>
        <v/>
      </c>
      <c r="B4181" t="inlineStr">
        <is>
          <t>DUOS TECHNOLOGIES GROUP, INC.</t>
        </is>
      </c>
      <c r="C4181" t="inlineStr">
        <is>
          <t>Nasdaq</t>
        </is>
      </c>
      <c r="D4181" t="n">
        <v>1396536</v>
      </c>
      <c r="E4181" t="inlineStr">
        <is>
          <t>SEC</t>
        </is>
      </c>
    </row>
    <row r="4182">
      <c r="A4182" s="5">
        <f>HYPERLINK("https://finance.yahoo.com/quote/BAFN","BAFN")</f>
        <v/>
      </c>
      <c r="B4182" t="inlineStr">
        <is>
          <t>BayFirst Financial Corp.</t>
        </is>
      </c>
      <c r="C4182" t="inlineStr">
        <is>
          <t>Nasdaq</t>
        </is>
      </c>
      <c r="D4182" t="n">
        <v>1649739</v>
      </c>
      <c r="E4182" t="inlineStr">
        <is>
          <t>SEC</t>
        </is>
      </c>
    </row>
    <row r="4183">
      <c r="A4183" s="5">
        <f>HYPERLINK("https://finance.yahoo.com/quote/SCM","SCM")</f>
        <v/>
      </c>
      <c r="B4183" t="inlineStr">
        <is>
          <t>Stellus Capital Investment Corp</t>
        </is>
      </c>
      <c r="C4183" t="inlineStr">
        <is>
          <t>NYSE</t>
        </is>
      </c>
      <c r="D4183" t="n">
        <v>1551901</v>
      </c>
      <c r="E4183" t="inlineStr">
        <is>
          <t>SEC</t>
        </is>
      </c>
    </row>
    <row r="4184">
      <c r="A4184" s="5">
        <f>HYPERLINK("https://finance.yahoo.com/quote/CATX","CATX")</f>
        <v/>
      </c>
      <c r="B4184" t="inlineStr">
        <is>
          <t>Perspective Therapeutics, Inc.</t>
        </is>
      </c>
      <c r="C4184" t="inlineStr">
        <is>
          <t>NYSE</t>
        </is>
      </c>
      <c r="D4184" t="n">
        <v>728387</v>
      </c>
      <c r="E4184" t="inlineStr">
        <is>
          <t>SEC</t>
        </is>
      </c>
    </row>
    <row r="4185">
      <c r="A4185" s="5">
        <f>HYPERLINK("https://finance.yahoo.com/quote/ADCT","ADCT")</f>
        <v/>
      </c>
      <c r="B4185" t="inlineStr">
        <is>
          <t>ADC Therapeutics SA</t>
        </is>
      </c>
      <c r="C4185" t="inlineStr">
        <is>
          <t>NYSE</t>
        </is>
      </c>
      <c r="D4185" t="n">
        <v>1771910</v>
      </c>
      <c r="E4185" t="inlineStr">
        <is>
          <t>SEC</t>
        </is>
      </c>
    </row>
    <row r="4186">
      <c r="A4186" s="5">
        <f>HYPERLINK("https://finance.yahoo.com/quote/ECBK","ECBK")</f>
        <v/>
      </c>
      <c r="B4186" t="inlineStr">
        <is>
          <t>ECB Bancorp, Inc. /MD/</t>
        </is>
      </c>
      <c r="C4186" t="inlineStr">
        <is>
          <t>Nasdaq</t>
        </is>
      </c>
      <c r="D4186" t="n">
        <v>1914605</v>
      </c>
      <c r="E4186" t="inlineStr">
        <is>
          <t>SEC</t>
        </is>
      </c>
    </row>
    <row r="4187">
      <c r="A4187" s="5">
        <f>HYPERLINK("https://finance.yahoo.com/quote/PDYN","PDYN")</f>
        <v/>
      </c>
      <c r="B4187" t="inlineStr">
        <is>
          <t>Palladyne AI Corp.</t>
        </is>
      </c>
      <c r="C4187" t="inlineStr">
        <is>
          <t>Nasdaq</t>
        </is>
      </c>
      <c r="D4187" t="n">
        <v>1826681</v>
      </c>
      <c r="E4187" t="inlineStr">
        <is>
          <t>SEC</t>
        </is>
      </c>
    </row>
    <row r="4188">
      <c r="A4188" s="5">
        <f>HYPERLINK("https://finance.yahoo.com/quote/PTHRF","PTHRF")</f>
        <v/>
      </c>
      <c r="B4188" t="inlineStr">
        <is>
          <t>Pantheon Resources plc</t>
        </is>
      </c>
      <c r="C4188" t="inlineStr">
        <is>
          <t>OTC</t>
        </is>
      </c>
      <c r="D4188" t="n">
        <v>1621910</v>
      </c>
      <c r="E4188" t="inlineStr">
        <is>
          <t>SEC</t>
        </is>
      </c>
    </row>
    <row r="4189">
      <c r="A4189" s="5">
        <f>HYPERLINK("https://finance.yahoo.com/quote/PNNT","PNNT")</f>
        <v/>
      </c>
      <c r="B4189" t="inlineStr">
        <is>
          <t>PENNANTPARK INVESTMENT CORP</t>
        </is>
      </c>
      <c r="C4189" t="inlineStr">
        <is>
          <t>NYSE</t>
        </is>
      </c>
      <c r="D4189" t="n">
        <v>1383414</v>
      </c>
      <c r="E4189" t="inlineStr">
        <is>
          <t>SEC</t>
        </is>
      </c>
    </row>
    <row r="4190">
      <c r="A4190" s="5">
        <f>HYPERLINK("https://finance.yahoo.com/quote/UXIN","UXIN")</f>
        <v/>
      </c>
      <c r="B4190" t="inlineStr">
        <is>
          <t>Uxin Ltd</t>
        </is>
      </c>
      <c r="C4190" t="inlineStr">
        <is>
          <t>Nasdaq</t>
        </is>
      </c>
      <c r="D4190" t="n">
        <v>1729173</v>
      </c>
      <c r="E4190" t="inlineStr">
        <is>
          <t>SEC</t>
        </is>
      </c>
    </row>
    <row r="4191">
      <c r="A4191" s="5">
        <f>HYPERLINK("https://finance.yahoo.com/quote/RLEA","RLEA")</f>
        <v/>
      </c>
      <c r="B4191" t="inlineStr">
        <is>
          <t>Rubber Leaf Inc</t>
        </is>
      </c>
      <c r="C4191" t="inlineStr">
        <is>
          <t>OTC</t>
        </is>
      </c>
      <c r="D4191" t="n">
        <v>1893657</v>
      </c>
      <c r="E4191" t="inlineStr">
        <is>
          <t>SEC</t>
        </is>
      </c>
    </row>
    <row r="4192">
      <c r="A4192" s="5">
        <f>HYPERLINK("https://finance.yahoo.com/quote/UTGN","UTGN")</f>
        <v/>
      </c>
      <c r="B4192" t="inlineStr">
        <is>
          <t>UTG INC</t>
        </is>
      </c>
      <c r="C4192" t="inlineStr">
        <is>
          <t>OTC</t>
        </is>
      </c>
      <c r="D4192" t="n">
        <v>832480</v>
      </c>
      <c r="E4192" t="inlineStr">
        <is>
          <t>SEC</t>
        </is>
      </c>
    </row>
    <row r="4193">
      <c r="A4193" s="5">
        <f>HYPERLINK("https://finance.yahoo.com/quote/CIA","CIA")</f>
        <v/>
      </c>
      <c r="B4193" t="inlineStr">
        <is>
          <t>CITIZENS, INC.</t>
        </is>
      </c>
      <c r="C4193" t="inlineStr">
        <is>
          <t>NYSE</t>
        </is>
      </c>
      <c r="D4193" t="n">
        <v>24090</v>
      </c>
      <c r="E4193" t="inlineStr">
        <is>
          <t>SEC</t>
        </is>
      </c>
    </row>
    <row r="4194">
      <c r="A4194" s="5">
        <f>HYPERLINK("https://finance.yahoo.com/quote/FUFU","FUFU")</f>
        <v/>
      </c>
      <c r="B4194" t="inlineStr">
        <is>
          <t>Bitfufu Inc.</t>
        </is>
      </c>
      <c r="C4194" t="inlineStr">
        <is>
          <t>Nasdaq</t>
        </is>
      </c>
      <c r="D4194" t="n">
        <v>1921158</v>
      </c>
      <c r="E4194" t="inlineStr">
        <is>
          <t>SEC</t>
        </is>
      </c>
    </row>
    <row r="4195">
      <c r="A4195" s="5">
        <f>HYPERLINK("https://finance.yahoo.com/quote/JRVR","JRVR")</f>
        <v/>
      </c>
      <c r="B4195" t="inlineStr">
        <is>
          <t>James River Group Holdings, Inc.</t>
        </is>
      </c>
      <c r="C4195" t="inlineStr">
        <is>
          <t>Nasdaq</t>
        </is>
      </c>
      <c r="D4195" t="n">
        <v>1620459</v>
      </c>
      <c r="E4195" t="inlineStr">
        <is>
          <t>SEC</t>
        </is>
      </c>
    </row>
    <row r="4196">
      <c r="A4196" s="5">
        <f>HYPERLINK("https://finance.yahoo.com/quote/CGEN","CGEN")</f>
        <v/>
      </c>
      <c r="B4196" t="inlineStr">
        <is>
          <t>COMPUGEN LTD</t>
        </is>
      </c>
      <c r="C4196" t="inlineStr">
        <is>
          <t>Nasdaq</t>
        </is>
      </c>
      <c r="D4196" t="n">
        <v>1119774</v>
      </c>
      <c r="E4196" t="inlineStr">
        <is>
          <t>SEC</t>
        </is>
      </c>
    </row>
    <row r="4197">
      <c r="A4197" s="5">
        <f>HYPERLINK("https://finance.yahoo.com/quote/WHWK","WHWK")</f>
        <v/>
      </c>
      <c r="B4197" t="inlineStr">
        <is>
          <t>Whitehawk Therapeutics, Inc.</t>
        </is>
      </c>
      <c r="C4197" t="inlineStr">
        <is>
          <t>Nasdaq</t>
        </is>
      </c>
      <c r="D4197" t="n">
        <v>1422142</v>
      </c>
      <c r="E4197" t="inlineStr">
        <is>
          <t>SEC</t>
        </is>
      </c>
    </row>
    <row r="4198">
      <c r="A4198" s="5">
        <f>HYPERLINK("https://finance.yahoo.com/quote/FLWS","FLWS")</f>
        <v/>
      </c>
      <c r="B4198" t="inlineStr">
        <is>
          <t>1 800 FLOWERS COM INC</t>
        </is>
      </c>
      <c r="C4198" t="inlineStr">
        <is>
          <t>Nasdaq</t>
        </is>
      </c>
      <c r="D4198" t="n">
        <v>1084869</v>
      </c>
      <c r="E4198" t="inlineStr">
        <is>
          <t>SEC</t>
        </is>
      </c>
    </row>
    <row r="4199">
      <c r="A4199" s="5">
        <f>HYPERLINK("https://finance.yahoo.com/quote/ACRE","ACRE")</f>
        <v/>
      </c>
      <c r="B4199" t="inlineStr">
        <is>
          <t>Ares Commercial Real Estate Corp</t>
        </is>
      </c>
      <c r="C4199" t="inlineStr">
        <is>
          <t>NYSE</t>
        </is>
      </c>
      <c r="D4199" t="n">
        <v>1529377</v>
      </c>
      <c r="E4199" t="inlineStr">
        <is>
          <t>SEC</t>
        </is>
      </c>
    </row>
    <row r="4200">
      <c r="A4200" s="5">
        <f>HYPERLINK("https://finance.yahoo.com/quote/ELDN","ELDN")</f>
        <v/>
      </c>
      <c r="B4200" t="inlineStr">
        <is>
          <t>Eledon Pharmaceuticals, Inc.</t>
        </is>
      </c>
      <c r="C4200" t="inlineStr">
        <is>
          <t>Nasdaq</t>
        </is>
      </c>
      <c r="D4200" t="n">
        <v>1404281</v>
      </c>
      <c r="E4200" t="inlineStr">
        <is>
          <t>SEC</t>
        </is>
      </c>
    </row>
    <row r="4201">
      <c r="A4201" s="5">
        <f>HYPERLINK("https://finance.yahoo.com/quote/TAYD","TAYD")</f>
        <v/>
      </c>
      <c r="B4201" t="inlineStr">
        <is>
          <t>TAYLOR DEVICES, INC.</t>
        </is>
      </c>
      <c r="C4201" t="inlineStr">
        <is>
          <t>Nasdaq</t>
        </is>
      </c>
      <c r="D4201" t="n">
        <v>96536</v>
      </c>
      <c r="E4201" t="inlineStr">
        <is>
          <t>SEC</t>
        </is>
      </c>
    </row>
    <row r="4202">
      <c r="A4202" s="5">
        <f>HYPERLINK("https://finance.yahoo.com/quote/XHG","XHG")</f>
        <v/>
      </c>
      <c r="B4202" t="inlineStr">
        <is>
          <t>XChange TEC.INC</t>
        </is>
      </c>
      <c r="C4202" t="inlineStr">
        <is>
          <t>Nasdaq</t>
        </is>
      </c>
      <c r="D4202" t="n">
        <v>1769256</v>
      </c>
      <c r="E4202" t="inlineStr">
        <is>
          <t>SEC</t>
        </is>
      </c>
    </row>
    <row r="4203">
      <c r="A4203" s="5">
        <f>HYPERLINK("https://finance.yahoo.com/quote/AOMR","AOMR")</f>
        <v/>
      </c>
      <c r="B4203" t="inlineStr">
        <is>
          <t>Angel Oak Mortgage REIT, Inc.</t>
        </is>
      </c>
      <c r="C4203" t="inlineStr">
        <is>
          <t>NYSE</t>
        </is>
      </c>
      <c r="D4203" t="n">
        <v>1766478</v>
      </c>
      <c r="E4203" t="inlineStr">
        <is>
          <t>SEC</t>
        </is>
      </c>
    </row>
    <row r="4204">
      <c r="A4204" s="5">
        <f>HYPERLINK("https://finance.yahoo.com/quote/FXHO","FXHO")</f>
        <v/>
      </c>
      <c r="B4204" t="inlineStr">
        <is>
          <t>UTime Ltd</t>
        </is>
      </c>
      <c r="C4204" t="inlineStr">
        <is>
          <t>Nasdaq</t>
        </is>
      </c>
      <c r="D4204" t="n">
        <v>1789299</v>
      </c>
      <c r="E4204" t="inlineStr">
        <is>
          <t>SEC</t>
        </is>
      </c>
    </row>
    <row r="4205">
      <c r="A4205" s="5">
        <f>HYPERLINK("https://finance.yahoo.com/quote/GDEV","GDEV")</f>
        <v/>
      </c>
      <c r="B4205" t="inlineStr">
        <is>
          <t>GDEV Inc.</t>
        </is>
      </c>
      <c r="C4205" t="inlineStr">
        <is>
          <t>Nasdaq</t>
        </is>
      </c>
      <c r="D4205" t="n">
        <v>1848739</v>
      </c>
      <c r="E4205" t="inlineStr">
        <is>
          <t>SEC</t>
        </is>
      </c>
    </row>
    <row r="4206">
      <c r="A4206" s="5">
        <f>HYPERLINK("https://finance.yahoo.com/quote/TSNDF","TSNDF")</f>
        <v/>
      </c>
      <c r="B4206" t="inlineStr">
        <is>
          <t>TerrAscend Corp.</t>
        </is>
      </c>
      <c r="C4206" t="inlineStr">
        <is>
          <t>OTC</t>
        </is>
      </c>
      <c r="D4206" t="n">
        <v>1778129</v>
      </c>
      <c r="E4206" t="inlineStr">
        <is>
          <t>SEC</t>
        </is>
      </c>
    </row>
    <row r="4207">
      <c r="A4207" s="5">
        <f>HYPERLINK("https://finance.yahoo.com/quote/DMB","DMB")</f>
        <v/>
      </c>
      <c r="B4207" t="inlineStr">
        <is>
          <t>BNY Mellon Municipal Bond Infrastructure Fund, Inc.</t>
        </is>
      </c>
      <c r="C4207" t="inlineStr">
        <is>
          <t>NYSE</t>
        </is>
      </c>
      <c r="D4207" t="n">
        <v>1565381</v>
      </c>
      <c r="E4207" t="inlineStr">
        <is>
          <t>SEC</t>
        </is>
      </c>
    </row>
    <row r="4208">
      <c r="A4208" s="5">
        <f>HYPERLINK("https://finance.yahoo.com/quote/MX","MX")</f>
        <v/>
      </c>
      <c r="B4208" t="inlineStr">
        <is>
          <t>MAGNACHIP SEMICONDUCTOR Corp</t>
        </is>
      </c>
      <c r="C4208" t="inlineStr">
        <is>
          <t>NYSE</t>
        </is>
      </c>
      <c r="D4208" t="n">
        <v>1325702</v>
      </c>
      <c r="E4208" t="inlineStr">
        <is>
          <t>SEC</t>
        </is>
      </c>
    </row>
    <row r="4209">
      <c r="A4209" s="5">
        <f>HYPERLINK("https://finance.yahoo.com/quote/CRNT","CRNT")</f>
        <v/>
      </c>
      <c r="B4209" t="inlineStr">
        <is>
          <t>CERAGON NETWORKS LTD</t>
        </is>
      </c>
      <c r="C4209" t="inlineStr">
        <is>
          <t>Nasdaq</t>
        </is>
      </c>
      <c r="D4209" t="n">
        <v>1119769</v>
      </c>
      <c r="E4209" t="inlineStr">
        <is>
          <t>SEC</t>
        </is>
      </c>
    </row>
    <row r="4210">
      <c r="A4210" s="5">
        <f>HYPERLINK("https://finance.yahoo.com/quote/SHMD","SHMD")</f>
        <v/>
      </c>
      <c r="B4210" t="inlineStr">
        <is>
          <t>SCHMID Group N.V.</t>
        </is>
      </c>
      <c r="C4210" t="inlineStr">
        <is>
          <t>Nasdaq</t>
        </is>
      </c>
      <c r="D4210" t="n">
        <v>1987240</v>
      </c>
      <c r="E4210" t="inlineStr">
        <is>
          <t>SEC</t>
        </is>
      </c>
    </row>
    <row r="4211">
      <c r="A4211" s="5">
        <f>HYPERLINK("https://finance.yahoo.com/quote/CPKF","CPKF")</f>
        <v/>
      </c>
      <c r="B4211" t="inlineStr">
        <is>
          <t>CHESAPEAKE FINANCIAL SHARES INC</t>
        </is>
      </c>
      <c r="C4211" t="inlineStr">
        <is>
          <t>OTC</t>
        </is>
      </c>
      <c r="D4211" t="n">
        <v>847538</v>
      </c>
      <c r="E4211" t="inlineStr">
        <is>
          <t>SEC</t>
        </is>
      </c>
    </row>
    <row r="4212">
      <c r="A4212" s="5">
        <f>HYPERLINK("https://finance.yahoo.com/quote/OWLS","OWLS")</f>
        <v/>
      </c>
      <c r="B4212" t="inlineStr">
        <is>
          <t>OBOOK HOLDINGS INC.</t>
        </is>
      </c>
      <c r="C4212" t="inlineStr">
        <is>
          <t>Nasdaq</t>
        </is>
      </c>
      <c r="D4212" t="n">
        <v>2025416</v>
      </c>
      <c r="E4212" t="inlineStr">
        <is>
          <t>SEC</t>
        </is>
      </c>
    </row>
    <row r="4213">
      <c r="A4213" s="5">
        <f>HYPERLINK("https://finance.yahoo.com/quote/UIS","UIS")</f>
        <v/>
      </c>
      <c r="B4213" t="inlineStr">
        <is>
          <t>UNISYS CORP</t>
        </is>
      </c>
      <c r="C4213" t="inlineStr">
        <is>
          <t>NYSE</t>
        </is>
      </c>
      <c r="D4213" t="n">
        <v>746838</v>
      </c>
      <c r="E4213" t="inlineStr">
        <is>
          <t>SEC</t>
        </is>
      </c>
    </row>
    <row r="4214">
      <c r="A4214" s="5">
        <f>HYPERLINK("https://finance.yahoo.com/quote/PRQR","PRQR")</f>
        <v/>
      </c>
      <c r="B4214" t="inlineStr">
        <is>
          <t>ProQR Therapeutics N.V.</t>
        </is>
      </c>
      <c r="C4214" t="inlineStr">
        <is>
          <t>Nasdaq</t>
        </is>
      </c>
      <c r="D4214" t="n">
        <v>1612940</v>
      </c>
      <c r="E4214" t="inlineStr">
        <is>
          <t>SEC</t>
        </is>
      </c>
    </row>
    <row r="4215">
      <c r="A4215" s="5">
        <f>HYPERLINK("https://finance.yahoo.com/quote/DSC","DSC")</f>
        <v/>
      </c>
      <c r="B4215" t="inlineStr">
        <is>
          <t>DSC Holdings Ltd.</t>
        </is>
      </c>
      <c r="C4215" t="inlineStr">
        <is>
          <t>Nasdaq</t>
        </is>
      </c>
      <c r="D4215" t="n">
        <v>1966041</v>
      </c>
      <c r="E4215" t="inlineStr">
        <is>
          <t>SEC</t>
        </is>
      </c>
    </row>
    <row r="4216">
      <c r="A4216" s="5">
        <f>HYPERLINK("https://finance.yahoo.com/quote/WHG","WHG")</f>
        <v/>
      </c>
      <c r="B4216" t="inlineStr">
        <is>
          <t>WESTWOOD HOLDINGS GROUP INC</t>
        </is>
      </c>
      <c r="C4216" t="inlineStr">
        <is>
          <t>NYSE</t>
        </is>
      </c>
      <c r="D4216" t="n">
        <v>1165002</v>
      </c>
      <c r="E4216" t="inlineStr">
        <is>
          <t>SEC</t>
        </is>
      </c>
    </row>
    <row r="4217">
      <c r="A4217" s="5">
        <f>HYPERLINK("https://finance.yahoo.com/quote/LTBR","LTBR")</f>
        <v/>
      </c>
      <c r="B4217" t="inlineStr">
        <is>
          <t>LIGHTBRIDGE Corp</t>
        </is>
      </c>
      <c r="C4217" t="inlineStr">
        <is>
          <t>Nasdaq</t>
        </is>
      </c>
      <c r="D4217" t="n">
        <v>1084554</v>
      </c>
      <c r="E4217" t="inlineStr">
        <is>
          <t>SEC</t>
        </is>
      </c>
    </row>
    <row r="4218">
      <c r="A4218" s="5">
        <f>HYPERLINK("https://finance.yahoo.com/quote/ACOG","ACOG")</f>
        <v/>
      </c>
      <c r="B4218" t="inlineStr">
        <is>
          <t>Alpha Cognition Inc.</t>
        </is>
      </c>
      <c r="C4218" t="inlineStr">
        <is>
          <t>Nasdaq</t>
        </is>
      </c>
      <c r="D4218" t="n">
        <v>1655923</v>
      </c>
      <c r="E4218" t="inlineStr">
        <is>
          <t>SEC</t>
        </is>
      </c>
    </row>
    <row r="4219">
      <c r="A4219" s="5">
        <f>HYPERLINK("https://finance.yahoo.com/quote/ARCL","ARCL")</f>
        <v/>
      </c>
      <c r="B4219" t="inlineStr">
        <is>
          <t>ARC Group Acquisition I Corp.</t>
        </is>
      </c>
      <c r="C4219" t="inlineStr">
        <is>
          <t>Nasdaq</t>
        </is>
      </c>
      <c r="D4219" t="n">
        <v>2073515</v>
      </c>
      <c r="E4219" t="inlineStr">
        <is>
          <t>SEC</t>
        </is>
      </c>
    </row>
    <row r="4220">
      <c r="A4220" s="5">
        <f>HYPERLINK("https://finance.yahoo.com/quote/YARW","YARW")</f>
        <v/>
      </c>
      <c r="B4220" t="inlineStr">
        <is>
          <t>Yarrow Bioscience, Inc.</t>
        </is>
      </c>
      <c r="C4220" t="inlineStr">
        <is>
          <t>Nasdaq</t>
        </is>
      </c>
      <c r="D4220" t="n">
        <v>1566044</v>
      </c>
      <c r="E4220" t="inlineStr">
        <is>
          <t>SEC</t>
        </is>
      </c>
    </row>
    <row r="4221">
      <c r="A4221" s="5">
        <f>HYPERLINK("https://finance.yahoo.com/quote/USAU","USAU")</f>
        <v/>
      </c>
      <c r="B4221" t="inlineStr">
        <is>
          <t>U.S. GOLD CORP.</t>
        </is>
      </c>
      <c r="C4221" t="inlineStr">
        <is>
          <t>Nasdaq</t>
        </is>
      </c>
      <c r="D4221" t="n">
        <v>27093</v>
      </c>
      <c r="E4221" t="inlineStr">
        <is>
          <t>SEC</t>
        </is>
      </c>
    </row>
    <row r="4222">
      <c r="A4222" s="5">
        <f>HYPERLINK("https://finance.yahoo.com/quote/GPAT","GPAT")</f>
        <v/>
      </c>
      <c r="B4222" t="inlineStr">
        <is>
          <t>GP-Act III Acquisition Corp.</t>
        </is>
      </c>
      <c r="C4222" t="inlineStr">
        <is>
          <t>Nasdaq</t>
        </is>
      </c>
      <c r="D4222" t="n">
        <v>1834526</v>
      </c>
      <c r="E4222" t="inlineStr">
        <is>
          <t>SEC</t>
        </is>
      </c>
    </row>
    <row r="4223">
      <c r="A4223" s="5">
        <f>HYPERLINK("https://finance.yahoo.com/quote/MPV","MPV")</f>
        <v/>
      </c>
      <c r="B4223" t="inlineStr">
        <is>
          <t>BARINGS PARTICIPATION INVESTORS</t>
        </is>
      </c>
      <c r="C4223" t="inlineStr">
        <is>
          <t>NYSE</t>
        </is>
      </c>
      <c r="D4223" t="n">
        <v>831655</v>
      </c>
      <c r="E4223" t="inlineStr">
        <is>
          <t>SEC</t>
        </is>
      </c>
    </row>
    <row r="4224">
      <c r="A4224" s="5">
        <f>HYPERLINK("https://finance.yahoo.com/quote/NCMI","NCMI")</f>
        <v/>
      </c>
      <c r="B4224" t="inlineStr">
        <is>
          <t>National CineMedia, Inc.</t>
        </is>
      </c>
      <c r="C4224" t="inlineStr">
        <is>
          <t>Nasdaq</t>
        </is>
      </c>
      <c r="D4224" t="n">
        <v>1377630</v>
      </c>
      <c r="E4224" t="inlineStr">
        <is>
          <t>SEC</t>
        </is>
      </c>
    </row>
    <row r="4225">
      <c r="A4225" s="5">
        <f>HYPERLINK("https://finance.yahoo.com/quote/INTT","INTT")</f>
        <v/>
      </c>
      <c r="B4225" t="inlineStr">
        <is>
          <t>INTEST CORP</t>
        </is>
      </c>
      <c r="C4225" t="inlineStr">
        <is>
          <t>NYSE</t>
        </is>
      </c>
      <c r="D4225" t="n">
        <v>1036262</v>
      </c>
      <c r="E4225" t="inlineStr">
        <is>
          <t>SEC</t>
        </is>
      </c>
    </row>
    <row r="4226">
      <c r="A4226" s="5">
        <f>HYPERLINK("https://finance.yahoo.com/quote/DTIL","DTIL")</f>
        <v/>
      </c>
      <c r="B4226" t="inlineStr">
        <is>
          <t>PRECISION BIOSCIENCES INC</t>
        </is>
      </c>
      <c r="C4226" t="inlineStr">
        <is>
          <t>Nasdaq</t>
        </is>
      </c>
      <c r="D4226" t="n">
        <v>1357874</v>
      </c>
      <c r="E4226" t="inlineStr">
        <is>
          <t>SEC</t>
        </is>
      </c>
    </row>
    <row r="4227">
      <c r="A4227" s="5">
        <f>HYPERLINK("https://finance.yahoo.com/quote/CHEC","CHEC")</f>
        <v/>
      </c>
      <c r="B4227" t="inlineStr">
        <is>
          <t>Chenghe Acquisition III Co.</t>
        </is>
      </c>
      <c r="C4227" t="inlineStr">
        <is>
          <t>Nasdaq</t>
        </is>
      </c>
      <c r="D4227" t="n">
        <v>2047177</v>
      </c>
      <c r="E4227" t="inlineStr">
        <is>
          <t>SEC</t>
        </is>
      </c>
    </row>
    <row r="4228">
      <c r="A4228" s="5">
        <f>HYPERLINK("https://finance.yahoo.com/quote/CHCI","CHCI")</f>
        <v/>
      </c>
      <c r="B4228" t="inlineStr">
        <is>
          <t>Comstock Holding Companies, Inc.</t>
        </is>
      </c>
      <c r="C4228" t="inlineStr">
        <is>
          <t>Nasdaq</t>
        </is>
      </c>
      <c r="D4228" t="n">
        <v>1299969</v>
      </c>
      <c r="E4228" t="inlineStr">
        <is>
          <t>SEC</t>
        </is>
      </c>
    </row>
    <row r="4229">
      <c r="A4229" s="5">
        <f>HYPERLINK("https://finance.yahoo.com/quote/WIA","WIA")</f>
        <v/>
      </c>
      <c r="B4229" t="inlineStr">
        <is>
          <t>WESTERN ASSET INFLATION-LINKED INCOME FUND</t>
        </is>
      </c>
      <c r="C4229" t="inlineStr">
        <is>
          <t>NYSE</t>
        </is>
      </c>
      <c r="D4229" t="n">
        <v>1254370</v>
      </c>
      <c r="E4229" t="inlineStr">
        <is>
          <t>SEC</t>
        </is>
      </c>
    </row>
    <row r="4230">
      <c r="A4230" s="5">
        <f>HYPERLINK("https://finance.yahoo.com/quote/XYF","XYF")</f>
        <v/>
      </c>
      <c r="B4230" t="inlineStr">
        <is>
          <t>X Financial</t>
        </is>
      </c>
      <c r="C4230" t="inlineStr">
        <is>
          <t>NYSE</t>
        </is>
      </c>
      <c r="D4230" t="n">
        <v>1725033</v>
      </c>
      <c r="E4230" t="inlineStr">
        <is>
          <t>SEC</t>
        </is>
      </c>
    </row>
    <row r="4231">
      <c r="A4231" s="5">
        <f>HYPERLINK("https://finance.yahoo.com/quote/ACR","ACR")</f>
        <v/>
      </c>
      <c r="B4231" t="inlineStr">
        <is>
          <t>ACRES Commercial Realty Corp.</t>
        </is>
      </c>
      <c r="C4231" t="inlineStr">
        <is>
          <t>NYSE</t>
        </is>
      </c>
      <c r="D4231" t="n">
        <v>1332551</v>
      </c>
      <c r="E4231" t="inlineStr">
        <is>
          <t>SEC</t>
        </is>
      </c>
    </row>
    <row r="4232">
      <c r="A4232" s="5">
        <f>HYPERLINK("https://finance.yahoo.com/quote/IVVD","IVVD")</f>
        <v/>
      </c>
      <c r="B4232" t="inlineStr">
        <is>
          <t>Invivyd, Inc.</t>
        </is>
      </c>
      <c r="C4232" t="inlineStr">
        <is>
          <t>Nasdaq</t>
        </is>
      </c>
      <c r="D4232" t="n">
        <v>1832038</v>
      </c>
      <c r="E4232" t="inlineStr">
        <is>
          <t>SEC</t>
        </is>
      </c>
    </row>
    <row r="4233">
      <c r="A4233" s="5">
        <f>HYPERLINK("https://finance.yahoo.com/quote/PAAC","PAAC")</f>
        <v/>
      </c>
      <c r="B4233" t="inlineStr">
        <is>
          <t>Proem Acquisition Corp. I</t>
        </is>
      </c>
      <c r="C4233" t="inlineStr">
        <is>
          <t>Nasdaq</t>
        </is>
      </c>
      <c r="D4233" t="n">
        <v>2087446</v>
      </c>
      <c r="E4233" t="inlineStr">
        <is>
          <t>SEC</t>
        </is>
      </c>
    </row>
    <row r="4234">
      <c r="A4234" s="5">
        <f>HYPERLINK("https://finance.yahoo.com/quote/BWIV","BWIV")</f>
        <v/>
      </c>
      <c r="B4234" t="inlineStr">
        <is>
          <t>Blue Water Acquisition Corp. IV</t>
        </is>
      </c>
      <c r="C4234" t="inlineStr">
        <is>
          <t>NYSE</t>
        </is>
      </c>
      <c r="D4234" t="n">
        <v>2082847</v>
      </c>
      <c r="E4234" t="inlineStr">
        <is>
          <t>SEC</t>
        </is>
      </c>
    </row>
    <row r="4235">
      <c r="A4235" s="5">
        <f>HYPERLINK("https://finance.yahoo.com/quote/XGN","XGN")</f>
        <v/>
      </c>
      <c r="B4235" t="inlineStr">
        <is>
          <t>EXAGEN INC.</t>
        </is>
      </c>
      <c r="C4235" t="inlineStr">
        <is>
          <t>Nasdaq</t>
        </is>
      </c>
      <c r="D4235" t="n">
        <v>1274737</v>
      </c>
      <c r="E4235" t="inlineStr">
        <is>
          <t>SEC</t>
        </is>
      </c>
    </row>
    <row r="4236">
      <c r="A4236" s="5">
        <f>HYPERLINK("https://finance.yahoo.com/quote/IDE","IDE")</f>
        <v/>
      </c>
      <c r="B4236" t="inlineStr">
        <is>
          <t>Voya Infrastructure, Industrials &amp; Materials Fund</t>
        </is>
      </c>
      <c r="C4236" t="inlineStr">
        <is>
          <t>NYSE</t>
        </is>
      </c>
      <c r="D4236" t="n">
        <v>1417802</v>
      </c>
      <c r="E4236" t="inlineStr">
        <is>
          <t>SEC</t>
        </is>
      </c>
    </row>
    <row r="4237">
      <c r="A4237" s="5">
        <f>HYPERLINK("https://finance.yahoo.com/quote/AIBZ","AIBZ")</f>
        <v/>
      </c>
      <c r="B4237" t="inlineStr">
        <is>
          <t>Bitzero Holdings Inc.</t>
        </is>
      </c>
      <c r="C4237" t="inlineStr">
        <is>
          <t>Nasdaq</t>
        </is>
      </c>
      <c r="D4237" t="n">
        <v>2100457</v>
      </c>
      <c r="E4237" t="inlineStr">
        <is>
          <t>SEC</t>
        </is>
      </c>
    </row>
    <row r="4238">
      <c r="A4238" s="5">
        <f>HYPERLINK("https://finance.yahoo.com/quote/OMSE","OMSE")</f>
        <v/>
      </c>
      <c r="B4238" t="inlineStr">
        <is>
          <t>OMS Energy Technologies Inc.</t>
        </is>
      </c>
      <c r="C4238" t="inlineStr">
        <is>
          <t>Nasdaq</t>
        </is>
      </c>
      <c r="D4238" t="n">
        <v>2012219</v>
      </c>
      <c r="E4238" t="inlineStr">
        <is>
          <t>SEC</t>
        </is>
      </c>
    </row>
    <row r="4239">
      <c r="A4239" s="5">
        <f>HYPERLINK("https://finance.yahoo.com/quote/RC","RC")</f>
        <v/>
      </c>
      <c r="B4239" t="inlineStr">
        <is>
          <t>Ready Capital Corp</t>
        </is>
      </c>
      <c r="C4239" t="inlineStr">
        <is>
          <t>NYSE</t>
        </is>
      </c>
      <c r="D4239" t="n">
        <v>1527590</v>
      </c>
      <c r="E4239" t="inlineStr">
        <is>
          <t>SEC</t>
        </is>
      </c>
    </row>
    <row r="4240">
      <c r="A4240" s="5">
        <f>HYPERLINK("https://finance.yahoo.com/quote/GSVRF","GSVRF")</f>
        <v/>
      </c>
      <c r="B4240" t="inlineStr">
        <is>
          <t>GUANAJUATO SILVER CO LTD</t>
        </is>
      </c>
      <c r="C4240" t="inlineStr">
        <is>
          <t>OTC</t>
        </is>
      </c>
      <c r="D4240" t="n">
        <v>865400</v>
      </c>
      <c r="E4240" t="inlineStr">
        <is>
          <t>SEC</t>
        </is>
      </c>
    </row>
    <row r="4241">
      <c r="A4241" s="5">
        <f>HYPERLINK("https://finance.yahoo.com/quote/KRRO","KRRO")</f>
        <v/>
      </c>
      <c r="B4241" t="inlineStr">
        <is>
          <t>Korro Bio, Inc.</t>
        </is>
      </c>
      <c r="C4241" t="inlineStr">
        <is>
          <t>Nasdaq</t>
        </is>
      </c>
      <c r="D4241" t="n">
        <v>1703647</v>
      </c>
      <c r="E4241" t="inlineStr">
        <is>
          <t>SEC</t>
        </is>
      </c>
    </row>
    <row r="4242">
      <c r="A4242" s="5">
        <f>HYPERLINK("https://finance.yahoo.com/quote/VUZI","VUZI")</f>
        <v/>
      </c>
      <c r="B4242" t="inlineStr">
        <is>
          <t>Vuzix Corp</t>
        </is>
      </c>
      <c r="C4242" t="inlineStr">
        <is>
          <t>Nasdaq</t>
        </is>
      </c>
      <c r="D4242" t="n">
        <v>1463972</v>
      </c>
      <c r="E4242" t="inlineStr">
        <is>
          <t>SEC</t>
        </is>
      </c>
    </row>
    <row r="4243">
      <c r="A4243" s="5">
        <f>HYPERLINK("https://finance.yahoo.com/quote/MRT","MRT")</f>
        <v/>
      </c>
      <c r="B4243" t="inlineStr">
        <is>
          <t>Marti Technologies, Inc.</t>
        </is>
      </c>
      <c r="C4243" t="inlineStr">
        <is>
          <t>NYSE</t>
        </is>
      </c>
      <c r="D4243" t="n">
        <v>1852767</v>
      </c>
      <c r="E4243" t="inlineStr">
        <is>
          <t>SEC</t>
        </is>
      </c>
    </row>
    <row r="4244">
      <c r="A4244" s="5">
        <f>HYPERLINK("https://finance.yahoo.com/quote/NXPGY","NXPGY")</f>
        <v/>
      </c>
      <c r="B4244" t="inlineStr">
        <is>
          <t>Mobico Group PLC/ADR</t>
        </is>
      </c>
      <c r="C4244" t="inlineStr">
        <is>
          <t>OTC</t>
        </is>
      </c>
      <c r="D4244" t="n">
        <v>1455632</v>
      </c>
      <c r="E4244" t="inlineStr">
        <is>
          <t>SEC</t>
        </is>
      </c>
    </row>
    <row r="4245">
      <c r="A4245" s="5">
        <f>HYPERLINK("https://finance.yahoo.com/quote/TPVG","TPVG")</f>
        <v/>
      </c>
      <c r="B4245" t="inlineStr">
        <is>
          <t>TriplePoint Venture Growth BDC Corp.</t>
        </is>
      </c>
      <c r="C4245" t="inlineStr">
        <is>
          <t>NYSE</t>
        </is>
      </c>
      <c r="D4245" t="n">
        <v>1580345</v>
      </c>
      <c r="E4245" t="inlineStr">
        <is>
          <t>SEC</t>
        </is>
      </c>
    </row>
    <row r="4246">
      <c r="A4246" s="5">
        <f>HYPERLINK("https://finance.yahoo.com/quote/USBC","USBC")</f>
        <v/>
      </c>
      <c r="B4246" t="inlineStr">
        <is>
          <t>USBC, Inc.</t>
        </is>
      </c>
      <c r="C4246" t="inlineStr">
        <is>
          <t>NYSE</t>
        </is>
      </c>
      <c r="D4246" t="n">
        <v>1074828</v>
      </c>
      <c r="E4246" t="inlineStr">
        <is>
          <t>SEC</t>
        </is>
      </c>
    </row>
    <row r="4247">
      <c r="A4247" s="5">
        <f>HYPERLINK("https://finance.yahoo.com/quote/ENBP","ENBP")</f>
        <v/>
      </c>
      <c r="B4247" t="inlineStr">
        <is>
          <t>ENB Financial Corp</t>
        </is>
      </c>
      <c r="C4247" t="inlineStr">
        <is>
          <t>OTC</t>
        </is>
      </c>
      <c r="D4247" t="n">
        <v>1437479</v>
      </c>
      <c r="E4247" t="inlineStr">
        <is>
          <t>SEC</t>
        </is>
      </c>
    </row>
    <row r="4248">
      <c r="A4248" s="5">
        <f>HYPERLINK("https://finance.yahoo.com/quote/PEPG","PEPG")</f>
        <v/>
      </c>
      <c r="B4248" t="inlineStr">
        <is>
          <t>PepGen Inc.</t>
        </is>
      </c>
      <c r="C4248" t="inlineStr">
        <is>
          <t>Nasdaq</t>
        </is>
      </c>
      <c r="D4248" t="n">
        <v>1835597</v>
      </c>
      <c r="E4248" t="inlineStr">
        <is>
          <t>SEC</t>
        </is>
      </c>
    </row>
    <row r="4249">
      <c r="A4249" s="5">
        <f>HYPERLINK("https://finance.yahoo.com/quote/MNSB","MNSB")</f>
        <v/>
      </c>
      <c r="B4249" t="inlineStr">
        <is>
          <t>MainStreet Bancshares, Inc.</t>
        </is>
      </c>
      <c r="C4249" t="inlineStr">
        <is>
          <t>Nasdaq</t>
        </is>
      </c>
      <c r="D4249" t="n">
        <v>1693577</v>
      </c>
      <c r="E4249" t="inlineStr">
        <is>
          <t>SEC</t>
        </is>
      </c>
    </row>
    <row r="4250">
      <c r="A4250" s="5">
        <f>HYPERLINK("https://finance.yahoo.com/quote/TRDA","TRDA")</f>
        <v/>
      </c>
      <c r="B4250" t="inlineStr">
        <is>
          <t>Entrada Therapeutics, Inc.</t>
        </is>
      </c>
      <c r="C4250" t="inlineStr">
        <is>
          <t>Nasdaq</t>
        </is>
      </c>
      <c r="D4250" t="n">
        <v>1689375</v>
      </c>
      <c r="E4250" t="inlineStr">
        <is>
          <t>SEC</t>
        </is>
      </c>
    </row>
    <row r="4251">
      <c r="A4251" s="5">
        <f>HYPERLINK("https://finance.yahoo.com/quote/OPRX","OPRX")</f>
        <v/>
      </c>
      <c r="B4251" t="inlineStr">
        <is>
          <t>OptimizeRx Corp</t>
        </is>
      </c>
      <c r="C4251" t="inlineStr">
        <is>
          <t>Nasdaq</t>
        </is>
      </c>
      <c r="D4251" t="n">
        <v>1448431</v>
      </c>
      <c r="E4251" t="inlineStr">
        <is>
          <t>SEC</t>
        </is>
      </c>
    </row>
    <row r="4252">
      <c r="A4252" s="5">
        <f>HYPERLINK("https://finance.yahoo.com/quote/ORMP","ORMP")</f>
        <v/>
      </c>
      <c r="B4252" t="inlineStr">
        <is>
          <t>ORAMED PHARMACEUTICALS INC.</t>
        </is>
      </c>
      <c r="C4252" t="inlineStr">
        <is>
          <t>Nasdaq</t>
        </is>
      </c>
      <c r="D4252" t="n">
        <v>1176309</v>
      </c>
      <c r="E4252" t="inlineStr">
        <is>
          <t>SEC</t>
        </is>
      </c>
    </row>
    <row r="4253">
      <c r="A4253" s="5">
        <f>HYPERLINK("https://finance.yahoo.com/quote/LAWR","LAWR")</f>
        <v/>
      </c>
      <c r="B4253" t="inlineStr">
        <is>
          <t>Robot Consulting Co., Ltd.</t>
        </is>
      </c>
      <c r="C4253" t="inlineStr">
        <is>
          <t>Nasdaq</t>
        </is>
      </c>
      <c r="D4253" t="n">
        <v>2007599</v>
      </c>
      <c r="E4253" t="inlineStr">
        <is>
          <t>SEC</t>
        </is>
      </c>
    </row>
    <row r="4254">
      <c r="A4254" s="5">
        <f>HYPERLINK("https://finance.yahoo.com/quote/MITT","MITT")</f>
        <v/>
      </c>
      <c r="B4254" t="inlineStr">
        <is>
          <t>TPG Mortgage Investment Trust, Inc.</t>
        </is>
      </c>
      <c r="C4254" t="inlineStr">
        <is>
          <t>NYSE</t>
        </is>
      </c>
      <c r="D4254" t="n">
        <v>1514281</v>
      </c>
      <c r="E4254" t="inlineStr">
        <is>
          <t>SEC</t>
        </is>
      </c>
    </row>
    <row r="4255">
      <c r="A4255" s="5">
        <f>HYPERLINK("https://finance.yahoo.com/quote/NXH","NXH")</f>
        <v/>
      </c>
      <c r="B4255" t="inlineStr">
        <is>
          <t>NEIGHBORHOOD INTELLIGENCE, INC.</t>
        </is>
      </c>
      <c r="C4255" t="inlineStr">
        <is>
          <t>Nasdaq</t>
        </is>
      </c>
      <c r="D4255" t="n">
        <v>1130713</v>
      </c>
      <c r="E4255" t="inlineStr">
        <is>
          <t>SEC</t>
        </is>
      </c>
    </row>
    <row r="4256">
      <c r="A4256" s="5">
        <f>HYPERLINK("https://finance.yahoo.com/quote/BSFC","BSFC")</f>
        <v/>
      </c>
      <c r="B4256" t="inlineStr">
        <is>
          <t>Blue Star Foods Corp.</t>
        </is>
      </c>
      <c r="C4256" t="inlineStr"/>
      <c r="D4256" t="n">
        <v>1730773</v>
      </c>
      <c r="E4256" t="inlineStr">
        <is>
          <t>SEC</t>
        </is>
      </c>
    </row>
    <row r="4257">
      <c r="A4257" s="5">
        <f>HYPERLINK("https://finance.yahoo.com/quote/ESOA","ESOA")</f>
        <v/>
      </c>
      <c r="B4257" t="inlineStr">
        <is>
          <t>Energy Services of America CORP</t>
        </is>
      </c>
      <c r="C4257" t="inlineStr">
        <is>
          <t>Nasdaq</t>
        </is>
      </c>
      <c r="D4257" t="n">
        <v>1357971</v>
      </c>
      <c r="E4257" t="inlineStr">
        <is>
          <t>SEC</t>
        </is>
      </c>
    </row>
    <row r="4258">
      <c r="A4258" s="5">
        <f>HYPERLINK("https://finance.yahoo.com/quote/OPP","OPP")</f>
        <v/>
      </c>
      <c r="B4258" t="inlineStr">
        <is>
          <t>RiverNorth/DoubleLine Strategic Opportunity Fund, Inc.</t>
        </is>
      </c>
      <c r="C4258" t="inlineStr">
        <is>
          <t>NYSE</t>
        </is>
      </c>
      <c r="D4258" t="n">
        <v>1678130</v>
      </c>
      <c r="E4258" t="inlineStr">
        <is>
          <t>SEC</t>
        </is>
      </c>
    </row>
    <row r="4259">
      <c r="A4259" s="5">
        <f>HYPERLINK("https://finance.yahoo.com/quote/CURI","CURI")</f>
        <v/>
      </c>
      <c r="B4259" t="inlineStr">
        <is>
          <t>CuriosityStream Inc.</t>
        </is>
      </c>
      <c r="C4259" t="inlineStr">
        <is>
          <t>Nasdaq</t>
        </is>
      </c>
      <c r="D4259" t="n">
        <v>1776909</v>
      </c>
      <c r="E4259" t="inlineStr">
        <is>
          <t>SEC</t>
        </is>
      </c>
    </row>
    <row r="4260">
      <c r="A4260" s="5">
        <f>HYPERLINK("https://finance.yahoo.com/quote/AEHL","AEHL")</f>
        <v/>
      </c>
      <c r="B4260" t="inlineStr">
        <is>
          <t>Antelope Enterprise Holdings Ltd</t>
        </is>
      </c>
      <c r="C4260" t="inlineStr">
        <is>
          <t>Nasdaq</t>
        </is>
      </c>
      <c r="D4260" t="n">
        <v>1470683</v>
      </c>
      <c r="E4260" t="inlineStr">
        <is>
          <t>SEC</t>
        </is>
      </c>
    </row>
    <row r="4261">
      <c r="A4261" s="5">
        <f>HYPERLINK("https://finance.yahoo.com/quote/RDCM","RDCM")</f>
        <v/>
      </c>
      <c r="B4261" t="inlineStr">
        <is>
          <t>RADCOM LTD</t>
        </is>
      </c>
      <c r="C4261" t="inlineStr">
        <is>
          <t>Nasdaq</t>
        </is>
      </c>
      <c r="D4261" t="n">
        <v>1016838</v>
      </c>
      <c r="E4261" t="inlineStr">
        <is>
          <t>SEC</t>
        </is>
      </c>
    </row>
    <row r="4262">
      <c r="A4262" s="5">
        <f>HYPERLINK("https://finance.yahoo.com/quote/CTAA","CTAA")</f>
        <v/>
      </c>
      <c r="B4262" t="inlineStr">
        <is>
          <t>Clearthink 1 Acquisition Corp.</t>
        </is>
      </c>
      <c r="C4262" t="inlineStr">
        <is>
          <t>Nasdaq</t>
        </is>
      </c>
      <c r="D4262" t="n">
        <v>2094073</v>
      </c>
      <c r="E4262" t="inlineStr">
        <is>
          <t>SEC</t>
        </is>
      </c>
    </row>
    <row r="4263">
      <c r="A4263" s="5">
        <f>HYPERLINK("https://finance.yahoo.com/quote/WHF","WHF")</f>
        <v/>
      </c>
      <c r="B4263" t="inlineStr">
        <is>
          <t>WhiteHorse Finance, Inc.</t>
        </is>
      </c>
      <c r="C4263" t="inlineStr">
        <is>
          <t>Nasdaq</t>
        </is>
      </c>
      <c r="D4263" t="n">
        <v>1552198</v>
      </c>
      <c r="E4263" t="inlineStr">
        <is>
          <t>SEC</t>
        </is>
      </c>
    </row>
    <row r="4264">
      <c r="A4264" s="5">
        <f>HYPERLINK("https://finance.yahoo.com/quote/VRA","VRA")</f>
        <v/>
      </c>
      <c r="B4264" t="inlineStr">
        <is>
          <t>Vera Bradley, Inc.</t>
        </is>
      </c>
      <c r="C4264" t="inlineStr">
        <is>
          <t>Nasdaq</t>
        </is>
      </c>
      <c r="D4264" t="n">
        <v>1495320</v>
      </c>
      <c r="E4264" t="inlineStr">
        <is>
          <t>SEC</t>
        </is>
      </c>
    </row>
    <row r="4265">
      <c r="A4265" s="5">
        <f>HYPERLINK("https://finance.yahoo.com/quote/IPHA","IPHA")</f>
        <v/>
      </c>
      <c r="B4265" t="inlineStr">
        <is>
          <t>Innate Pharma SA</t>
        </is>
      </c>
      <c r="C4265" t="inlineStr">
        <is>
          <t>Nasdaq</t>
        </is>
      </c>
      <c r="D4265" t="n">
        <v>1598599</v>
      </c>
      <c r="E4265" t="inlineStr">
        <is>
          <t>SEC</t>
        </is>
      </c>
    </row>
    <row r="4266">
      <c r="A4266" s="5">
        <f>HYPERLINK("https://finance.yahoo.com/quote/TGMPF","TGMPF")</f>
        <v/>
      </c>
      <c r="B4266" t="inlineStr">
        <is>
          <t>Tantalus Systems Holding Inc.</t>
        </is>
      </c>
      <c r="C4266" t="inlineStr">
        <is>
          <t>OTC</t>
        </is>
      </c>
      <c r="D4266" t="n">
        <v>2025947</v>
      </c>
      <c r="E4266" t="inlineStr">
        <is>
          <t>SEC</t>
        </is>
      </c>
    </row>
    <row r="4267">
      <c r="A4267" s="5">
        <f>HYPERLINK("https://finance.yahoo.com/quote/VLN","VLN")</f>
        <v/>
      </c>
      <c r="B4267" t="inlineStr">
        <is>
          <t>Valens Semiconductor Ltd.</t>
        </is>
      </c>
      <c r="C4267" t="inlineStr">
        <is>
          <t>NYSE</t>
        </is>
      </c>
      <c r="D4267" t="n">
        <v>1863006</v>
      </c>
      <c r="E4267" t="inlineStr">
        <is>
          <t>SEC</t>
        </is>
      </c>
    </row>
    <row r="4268">
      <c r="A4268" s="5">
        <f>HYPERLINK("https://finance.yahoo.com/quote/SSTK","SSTK")</f>
        <v/>
      </c>
      <c r="B4268" t="inlineStr">
        <is>
          <t>Shutterstock, Inc.</t>
        </is>
      </c>
      <c r="C4268" t="inlineStr">
        <is>
          <t>NYSE</t>
        </is>
      </c>
      <c r="D4268" t="n">
        <v>1549346</v>
      </c>
      <c r="E4268" t="inlineStr">
        <is>
          <t>SEC</t>
        </is>
      </c>
    </row>
    <row r="4269">
      <c r="A4269" s="5">
        <f>HYPERLINK("https://finance.yahoo.com/quote/TOYO","TOYO")</f>
        <v/>
      </c>
      <c r="B4269" t="inlineStr">
        <is>
          <t>TOYO Co., Ltd</t>
        </is>
      </c>
      <c r="C4269" t="inlineStr">
        <is>
          <t>Nasdaq</t>
        </is>
      </c>
      <c r="D4269" t="n">
        <v>1985273</v>
      </c>
      <c r="E4269" t="inlineStr">
        <is>
          <t>SEC</t>
        </is>
      </c>
    </row>
    <row r="4270">
      <c r="A4270" s="5">
        <f>HYPERLINK("https://finance.yahoo.com/quote/EBMT","EBMT")</f>
        <v/>
      </c>
      <c r="B4270" t="inlineStr">
        <is>
          <t>Eagle Bancorp Montana, Inc.</t>
        </is>
      </c>
      <c r="C4270" t="inlineStr">
        <is>
          <t>Nasdaq</t>
        </is>
      </c>
      <c r="D4270" t="n">
        <v>1478454</v>
      </c>
      <c r="E4270" t="inlineStr">
        <is>
          <t>SEC</t>
        </is>
      </c>
    </row>
    <row r="4271">
      <c r="A4271" s="5">
        <f>HYPERLINK("https://finance.yahoo.com/quote/CMTG","CMTG")</f>
        <v/>
      </c>
      <c r="B4271" t="inlineStr">
        <is>
          <t>Claros Mortgage Trust, Inc.</t>
        </is>
      </c>
      <c r="C4271" t="inlineStr">
        <is>
          <t>NYSE</t>
        </is>
      </c>
      <c r="D4271" t="n">
        <v>1666291</v>
      </c>
      <c r="E4271" t="inlineStr">
        <is>
          <t>SEC</t>
        </is>
      </c>
    </row>
    <row r="4272">
      <c r="A4272" s="5">
        <f>HYPERLINK("https://finance.yahoo.com/quote/OCLT","OCLT")</f>
        <v/>
      </c>
      <c r="B4272" t="inlineStr">
        <is>
          <t>OceanLight Acquisition Corp</t>
        </is>
      </c>
      <c r="C4272" t="inlineStr">
        <is>
          <t>Nasdaq</t>
        </is>
      </c>
      <c r="D4272" t="n">
        <v>2137679</v>
      </c>
      <c r="E4272" t="inlineStr">
        <is>
          <t>SEC</t>
        </is>
      </c>
    </row>
    <row r="4273">
      <c r="A4273" s="5">
        <f>HYPERLINK("https://finance.yahoo.com/quote/GGT","GGT")</f>
        <v/>
      </c>
      <c r="B4273" t="inlineStr">
        <is>
          <t>GABELLI MULTIMEDIA TRUST INC.</t>
        </is>
      </c>
      <c r="C4273" t="inlineStr">
        <is>
          <t>NYSE</t>
        </is>
      </c>
      <c r="D4273" t="n">
        <v>921671</v>
      </c>
      <c r="E4273" t="inlineStr">
        <is>
          <t>SEC</t>
        </is>
      </c>
    </row>
    <row r="4274">
      <c r="A4274" s="5">
        <f>HYPERLINK("https://finance.yahoo.com/quote/STLE","STLE")</f>
        <v/>
      </c>
      <c r="B4274" t="inlineStr">
        <is>
          <t>STEELE BANCORP INC</t>
        </is>
      </c>
      <c r="C4274" t="inlineStr">
        <is>
          <t>OTC</t>
        </is>
      </c>
      <c r="D4274" t="n">
        <v>779227</v>
      </c>
      <c r="E4274" t="inlineStr">
        <is>
          <t>SEC</t>
        </is>
      </c>
    </row>
    <row r="4275">
      <c r="A4275" s="5">
        <f>HYPERLINK("https://finance.yahoo.com/quote/NMP","NMP")</f>
        <v/>
      </c>
      <c r="B4275" t="inlineStr">
        <is>
          <t>NMP Acquisition Corp.</t>
        </is>
      </c>
      <c r="C4275" t="inlineStr">
        <is>
          <t>Nasdaq</t>
        </is>
      </c>
      <c r="D4275" t="n">
        <v>2054876</v>
      </c>
      <c r="E4275" t="inlineStr">
        <is>
          <t>SEC</t>
        </is>
      </c>
    </row>
    <row r="4276">
      <c r="A4276" s="5">
        <f>HYPERLINK("https://finance.yahoo.com/quote/GF","GF")</f>
        <v/>
      </c>
      <c r="B4276" t="inlineStr">
        <is>
          <t>NEW GERMANY FUND INC</t>
        </is>
      </c>
      <c r="C4276" t="inlineStr">
        <is>
          <t>NYSE</t>
        </is>
      </c>
      <c r="D4276" t="n">
        <v>858706</v>
      </c>
      <c r="E4276" t="inlineStr">
        <is>
          <t>SEC</t>
        </is>
      </c>
    </row>
    <row r="4277">
      <c r="A4277" s="5">
        <f>HYPERLINK("https://finance.yahoo.com/quote/HNVR","HNVR")</f>
        <v/>
      </c>
      <c r="B4277" t="inlineStr">
        <is>
          <t>Hanover Bancorp, Inc. /MD</t>
        </is>
      </c>
      <c r="C4277" t="inlineStr">
        <is>
          <t>Nasdaq</t>
        </is>
      </c>
      <c r="D4277" t="n">
        <v>1828588</v>
      </c>
      <c r="E4277" t="inlineStr">
        <is>
          <t>SEC</t>
        </is>
      </c>
    </row>
    <row r="4278">
      <c r="A4278" s="5">
        <f>HYPERLINK("https://finance.yahoo.com/quote/ACMIF","ACMIF")</f>
        <v/>
      </c>
      <c r="B4278" t="inlineStr">
        <is>
          <t>Allied Critical Metals Corp.</t>
        </is>
      </c>
      <c r="C4278" t="inlineStr">
        <is>
          <t>OTC</t>
        </is>
      </c>
      <c r="D4278" t="n">
        <v>2065282</v>
      </c>
      <c r="E4278" t="inlineStr">
        <is>
          <t>SEC</t>
        </is>
      </c>
    </row>
    <row r="4279">
      <c r="A4279" s="5">
        <f>HYPERLINK("https://finance.yahoo.com/quote/BGS","BGS")</f>
        <v/>
      </c>
      <c r="B4279" t="inlineStr">
        <is>
          <t>B&amp;G Foods, Inc.</t>
        </is>
      </c>
      <c r="C4279" t="inlineStr">
        <is>
          <t>NYSE</t>
        </is>
      </c>
      <c r="D4279" t="n">
        <v>1278027</v>
      </c>
      <c r="E4279" t="inlineStr">
        <is>
          <t>SEC</t>
        </is>
      </c>
    </row>
    <row r="4280">
      <c r="A4280" s="5">
        <f>HYPERLINK("https://finance.yahoo.com/quote/VBF","VBF")</f>
        <v/>
      </c>
      <c r="B4280" t="inlineStr">
        <is>
          <t>Invesco Bond Fund</t>
        </is>
      </c>
      <c r="C4280" t="inlineStr">
        <is>
          <t>NYSE</t>
        </is>
      </c>
      <c r="D4280" t="n">
        <v>5094</v>
      </c>
      <c r="E4280" t="inlineStr">
        <is>
          <t>SEC</t>
        </is>
      </c>
    </row>
    <row r="4281">
      <c r="A4281" s="5">
        <f>HYPERLINK("https://finance.yahoo.com/quote/WRIV","WRIV")</f>
        <v/>
      </c>
      <c r="B4281" t="inlineStr">
        <is>
          <t>WHITE RIVER BANCSHARES CO</t>
        </is>
      </c>
      <c r="C4281" t="inlineStr">
        <is>
          <t>OTC</t>
        </is>
      </c>
      <c r="D4281" t="n">
        <v>1328409</v>
      </c>
      <c r="E4281" t="inlineStr">
        <is>
          <t>SEC</t>
        </is>
      </c>
    </row>
    <row r="4282">
      <c r="A4282" s="5">
        <f>HYPERLINK("https://finance.yahoo.com/quote/AXREF","AXREF")</f>
        <v/>
      </c>
      <c r="B4282" t="inlineStr">
        <is>
          <t>AMARC RESOURCES LTD</t>
        </is>
      </c>
      <c r="C4282" t="inlineStr">
        <is>
          <t>OTC</t>
        </is>
      </c>
      <c r="D4282" t="n">
        <v>1175596</v>
      </c>
      <c r="E4282" t="inlineStr">
        <is>
          <t>SEC</t>
        </is>
      </c>
    </row>
    <row r="4283">
      <c r="A4283" s="5">
        <f>HYPERLINK("https://finance.yahoo.com/quote/VNJA","VNJA")</f>
        <v/>
      </c>
      <c r="B4283" t="inlineStr">
        <is>
          <t>VANJIA CORP</t>
        </is>
      </c>
      <c r="C4283" t="inlineStr">
        <is>
          <t>OTC</t>
        </is>
      </c>
      <c r="D4283" t="n">
        <v>1532383</v>
      </c>
      <c r="E4283" t="inlineStr">
        <is>
          <t>SEC</t>
        </is>
      </c>
    </row>
    <row r="4284">
      <c r="A4284" s="5">
        <f>HYPERLINK("https://finance.yahoo.com/quote/TONX","TONX")</f>
        <v/>
      </c>
      <c r="B4284" t="inlineStr">
        <is>
          <t>TON Strategy Co</t>
        </is>
      </c>
      <c r="C4284" t="inlineStr">
        <is>
          <t>Nasdaq</t>
        </is>
      </c>
      <c r="D4284" t="n">
        <v>1566610</v>
      </c>
      <c r="E4284" t="inlineStr">
        <is>
          <t>SEC</t>
        </is>
      </c>
    </row>
    <row r="4285">
      <c r="A4285" s="5">
        <f>HYPERLINK("https://finance.yahoo.com/quote/SRI","SRI")</f>
        <v/>
      </c>
      <c r="B4285" t="inlineStr">
        <is>
          <t>STONERIDGE INC</t>
        </is>
      </c>
      <c r="C4285" t="inlineStr">
        <is>
          <t>NYSE</t>
        </is>
      </c>
      <c r="D4285" t="n">
        <v>1043337</v>
      </c>
      <c r="E4285" t="inlineStr">
        <is>
          <t>SEC</t>
        </is>
      </c>
    </row>
    <row r="4286">
      <c r="A4286" s="5">
        <f>HYPERLINK("https://finance.yahoo.com/quote/EXOD","EXOD")</f>
        <v/>
      </c>
      <c r="B4286" t="inlineStr">
        <is>
          <t>Exodus Movement, Inc.</t>
        </is>
      </c>
      <c r="C4286" t="inlineStr">
        <is>
          <t>NYSE</t>
        </is>
      </c>
      <c r="D4286" t="n">
        <v>1821534</v>
      </c>
      <c r="E4286" t="inlineStr">
        <is>
          <t>SEC</t>
        </is>
      </c>
    </row>
    <row r="4287">
      <c r="A4287" s="5">
        <f>HYPERLINK("https://finance.yahoo.com/quote/AMRO","AMRO")</f>
        <v/>
      </c>
      <c r="B4287" t="inlineStr">
        <is>
          <t>Amaero Inc.</t>
        </is>
      </c>
      <c r="C4287" t="inlineStr">
        <is>
          <t>Nasdaq</t>
        </is>
      </c>
      <c r="D4287" t="n">
        <v>2141616</v>
      </c>
      <c r="E4287" t="inlineStr">
        <is>
          <t>SEC</t>
        </is>
      </c>
    </row>
    <row r="4288">
      <c r="A4288" s="5">
        <f>HYPERLINK("https://finance.yahoo.com/quote/SION","SION")</f>
        <v/>
      </c>
      <c r="B4288" t="inlineStr">
        <is>
          <t>Sionna Therapeutics, Inc.</t>
        </is>
      </c>
      <c r="C4288" t="inlineStr">
        <is>
          <t>Nasdaq</t>
        </is>
      </c>
      <c r="D4288" t="n">
        <v>2036042</v>
      </c>
      <c r="E4288" t="inlineStr">
        <is>
          <t>SEC</t>
        </is>
      </c>
    </row>
    <row r="4289">
      <c r="A4289" s="5">
        <f>HYPERLINK("https://finance.yahoo.com/quote/SAGU","SAGU")</f>
        <v/>
      </c>
      <c r="B4289" t="inlineStr">
        <is>
          <t>Shreya Acquisition Group</t>
        </is>
      </c>
      <c r="C4289" t="inlineStr">
        <is>
          <t>NYSE</t>
        </is>
      </c>
      <c r="D4289" t="n">
        <v>2083452</v>
      </c>
      <c r="E4289" t="inlineStr">
        <is>
          <t>SEC</t>
        </is>
      </c>
    </row>
    <row r="4290">
      <c r="A4290" s="5">
        <f>HYPERLINK("https://finance.yahoo.com/quote/NNNN","NNNN")</f>
        <v/>
      </c>
      <c r="B4290" t="inlineStr">
        <is>
          <t>Anbio Biotechnology</t>
        </is>
      </c>
      <c r="C4290" t="inlineStr">
        <is>
          <t>Nasdaq</t>
        </is>
      </c>
      <c r="D4290" t="n">
        <v>1982708</v>
      </c>
      <c r="E4290" t="inlineStr">
        <is>
          <t>SEC</t>
        </is>
      </c>
    </row>
    <row r="4291">
      <c r="A4291" s="5">
        <f>HYPERLINK("https://finance.yahoo.com/quote/STIM","STIM")</f>
        <v/>
      </c>
      <c r="B4291" t="inlineStr">
        <is>
          <t>Neuronetics, Inc.</t>
        </is>
      </c>
      <c r="C4291" t="inlineStr">
        <is>
          <t>Nasdaq</t>
        </is>
      </c>
      <c r="D4291" t="n">
        <v>1227636</v>
      </c>
      <c r="E4291" t="inlineStr">
        <is>
          <t>SEC</t>
        </is>
      </c>
    </row>
    <row r="4292">
      <c r="A4292" s="5">
        <f>HYPERLINK("https://finance.yahoo.com/quote/QUIK","QUIK")</f>
        <v/>
      </c>
      <c r="B4292" t="inlineStr">
        <is>
          <t>QUICKLOGIC Corp</t>
        </is>
      </c>
      <c r="C4292" t="inlineStr">
        <is>
          <t>Nasdaq</t>
        </is>
      </c>
      <c r="D4292" t="n">
        <v>882508</v>
      </c>
      <c r="E4292" t="inlineStr">
        <is>
          <t>SEC</t>
        </is>
      </c>
    </row>
    <row r="4293">
      <c r="A4293" s="5">
        <f>HYPERLINK("https://finance.yahoo.com/quote/EMIS","EMIS")</f>
        <v/>
      </c>
      <c r="B4293" t="inlineStr">
        <is>
          <t>Emmis Acquisition Corp.</t>
        </is>
      </c>
      <c r="C4293" t="inlineStr">
        <is>
          <t>Nasdaq</t>
        </is>
      </c>
      <c r="D4293" t="n">
        <v>2075816</v>
      </c>
      <c r="E4293" t="inlineStr">
        <is>
          <t>SEC</t>
        </is>
      </c>
    </row>
    <row r="4294">
      <c r="A4294" s="5">
        <f>HYPERLINK("https://finance.yahoo.com/quote/ATER","ATER")</f>
        <v/>
      </c>
      <c r="B4294" t="inlineStr">
        <is>
          <t>Aterian, Inc.</t>
        </is>
      </c>
      <c r="C4294" t="inlineStr">
        <is>
          <t>Nasdaq</t>
        </is>
      </c>
      <c r="D4294" t="n">
        <v>1757715</v>
      </c>
      <c r="E4294" t="inlineStr">
        <is>
          <t>SEC</t>
        </is>
      </c>
    </row>
    <row r="4295">
      <c r="A4295" s="5">
        <f>HYPERLINK("https://finance.yahoo.com/quote/MINE","MINE")</f>
        <v/>
      </c>
      <c r="B4295" t="inlineStr">
        <is>
          <t>MAYFAIR GOLD CORP.</t>
        </is>
      </c>
      <c r="C4295" t="inlineStr">
        <is>
          <t>NYSE</t>
        </is>
      </c>
      <c r="D4295" t="n">
        <v>1823255</v>
      </c>
      <c r="E4295" t="inlineStr">
        <is>
          <t>SEC</t>
        </is>
      </c>
    </row>
    <row r="4296">
      <c r="A4296" s="5">
        <f>HYPERLINK("https://finance.yahoo.com/quote/QRED","QRED")</f>
        <v/>
      </c>
      <c r="B4296" t="inlineStr">
        <is>
          <t>QuasarEdge Acquisition Corp</t>
        </is>
      </c>
      <c r="C4296" t="inlineStr">
        <is>
          <t>NYSE</t>
        </is>
      </c>
      <c r="D4296" t="n">
        <v>2085177</v>
      </c>
      <c r="E4296" t="inlineStr">
        <is>
          <t>SEC</t>
        </is>
      </c>
    </row>
    <row r="4297">
      <c r="A4297" s="5">
        <f>HYPERLINK("https://finance.yahoo.com/quote/RVII","RVII")</f>
        <v/>
      </c>
      <c r="B4297" t="inlineStr">
        <is>
          <t>Robinhood Ventures Fund II</t>
        </is>
      </c>
      <c r="C4297" t="inlineStr">
        <is>
          <t>NYSE</t>
        </is>
      </c>
      <c r="D4297" t="n">
        <v>2131040</v>
      </c>
      <c r="E4297" t="inlineStr">
        <is>
          <t>SEC</t>
        </is>
      </c>
    </row>
    <row r="4298">
      <c r="A4298" s="5">
        <f>HYPERLINK("https://finance.yahoo.com/quote/GLDG","GLDG")</f>
        <v/>
      </c>
      <c r="B4298" t="inlineStr">
        <is>
          <t>GoldMining Inc.</t>
        </is>
      </c>
      <c r="C4298" t="inlineStr">
        <is>
          <t>NYSE</t>
        </is>
      </c>
      <c r="D4298" t="n">
        <v>1538847</v>
      </c>
      <c r="E4298" t="inlineStr">
        <is>
          <t>SEC</t>
        </is>
      </c>
    </row>
    <row r="4299">
      <c r="A4299" s="5">
        <f>HYPERLINK("https://finance.yahoo.com/quote/GLED","GLED")</f>
        <v/>
      </c>
      <c r="B4299" t="inlineStr">
        <is>
          <t>GalaxyEdge Acquisition Corp</t>
        </is>
      </c>
      <c r="C4299" t="inlineStr">
        <is>
          <t>NYSE</t>
        </is>
      </c>
      <c r="D4299" t="n">
        <v>2091484</v>
      </c>
      <c r="E4299" t="inlineStr">
        <is>
          <t>SEC</t>
        </is>
      </c>
    </row>
    <row r="4300">
      <c r="A4300" s="5">
        <f>HYPERLINK("https://finance.yahoo.com/quote/LKSP","LKSP")</f>
        <v/>
      </c>
      <c r="B4300" t="inlineStr">
        <is>
          <t>Lake Superior Acquisition Corp</t>
        </is>
      </c>
      <c r="C4300" t="inlineStr">
        <is>
          <t>Nasdaq</t>
        </is>
      </c>
      <c r="D4300" t="n">
        <v>2043508</v>
      </c>
      <c r="E4300" t="inlineStr">
        <is>
          <t>SEC</t>
        </is>
      </c>
    </row>
    <row r="4301">
      <c r="A4301" s="5">
        <f>HYPERLINK("https://finance.yahoo.com/quote/AP","AP")</f>
        <v/>
      </c>
      <c r="B4301" t="inlineStr">
        <is>
          <t>AMPCO PITTSBURGH CORP</t>
        </is>
      </c>
      <c r="C4301" t="inlineStr">
        <is>
          <t>NYSE</t>
        </is>
      </c>
      <c r="D4301" t="n">
        <v>6176</v>
      </c>
      <c r="E4301" t="inlineStr">
        <is>
          <t>SEC</t>
        </is>
      </c>
    </row>
    <row r="4302">
      <c r="A4302" s="5">
        <f>HYPERLINK("https://finance.yahoo.com/quote/FLC","FLC")</f>
        <v/>
      </c>
      <c r="B4302" t="inlineStr">
        <is>
          <t>FLAHERTY &amp; CRUMRINE TOTAL RETURN FUND INC</t>
        </is>
      </c>
      <c r="C4302" t="inlineStr">
        <is>
          <t>NYSE</t>
        </is>
      </c>
      <c r="D4302" t="n">
        <v>1245648</v>
      </c>
      <c r="E4302" t="inlineStr">
        <is>
          <t>SEC</t>
        </is>
      </c>
    </row>
    <row r="4303">
      <c r="A4303" s="5">
        <f>HYPERLINK("https://finance.yahoo.com/quote/CAN","CAN")</f>
        <v/>
      </c>
      <c r="B4303" t="inlineStr">
        <is>
          <t>Canaan Inc.</t>
        </is>
      </c>
      <c r="C4303" t="inlineStr">
        <is>
          <t>Nasdaq</t>
        </is>
      </c>
      <c r="D4303" t="n">
        <v>1780652</v>
      </c>
      <c r="E4303" t="inlineStr">
        <is>
          <t>SEC</t>
        </is>
      </c>
    </row>
    <row r="4304">
      <c r="A4304" s="5">
        <f>HYPERLINK("https://finance.yahoo.com/quote/NRO","NRO")</f>
        <v/>
      </c>
      <c r="B4304" t="inlineStr">
        <is>
          <t>NEUBERGER REAL ESTATE SECURITIES INCOME FUND INC</t>
        </is>
      </c>
      <c r="C4304" t="inlineStr">
        <is>
          <t>NYSE</t>
        </is>
      </c>
      <c r="D4304" t="n">
        <v>1261166</v>
      </c>
      <c r="E4304" t="inlineStr">
        <is>
          <t>SEC</t>
        </is>
      </c>
    </row>
    <row r="4305">
      <c r="A4305" s="5">
        <f>HYPERLINK("https://finance.yahoo.com/quote/WENC","WENC")</f>
        <v/>
      </c>
      <c r="B4305" t="inlineStr">
        <is>
          <t>West Enclave Merger Corp.</t>
        </is>
      </c>
      <c r="C4305" t="inlineStr">
        <is>
          <t>NYSE</t>
        </is>
      </c>
      <c r="D4305" t="n">
        <v>2104260</v>
      </c>
      <c r="E4305" t="inlineStr">
        <is>
          <t>SEC</t>
        </is>
      </c>
    </row>
    <row r="4306">
      <c r="A4306" s="5">
        <f>HYPERLINK("https://finance.yahoo.com/quote/DMRC","DMRC")</f>
        <v/>
      </c>
      <c r="B4306" t="inlineStr">
        <is>
          <t>Digimarc Corp</t>
        </is>
      </c>
      <c r="C4306" t="inlineStr">
        <is>
          <t>Nasdaq</t>
        </is>
      </c>
      <c r="D4306" t="n">
        <v>2119322</v>
      </c>
      <c r="E4306" t="inlineStr">
        <is>
          <t>SEC</t>
        </is>
      </c>
    </row>
    <row r="4307">
      <c r="A4307" s="5">
        <f>HYPERLINK("https://finance.yahoo.com/quote/ALXO","ALXO")</f>
        <v/>
      </c>
      <c r="B4307" t="inlineStr">
        <is>
          <t>ALX ONCOLOGY HOLDINGS INC</t>
        </is>
      </c>
      <c r="C4307" t="inlineStr">
        <is>
          <t>Nasdaq</t>
        </is>
      </c>
      <c r="D4307" t="n">
        <v>1810182</v>
      </c>
      <c r="E4307" t="inlineStr">
        <is>
          <t>SEC</t>
        </is>
      </c>
    </row>
    <row r="4308">
      <c r="A4308" s="5">
        <f>HYPERLINK("https://finance.yahoo.com/quote/LAFA","LAFA")</f>
        <v/>
      </c>
      <c r="B4308" t="inlineStr">
        <is>
          <t>LaFayette Acquisition Corp.</t>
        </is>
      </c>
      <c r="C4308" t="inlineStr">
        <is>
          <t>Nasdaq</t>
        </is>
      </c>
      <c r="D4308" t="n">
        <v>2079106</v>
      </c>
      <c r="E4308" t="inlineStr">
        <is>
          <t>SEC</t>
        </is>
      </c>
    </row>
    <row r="4309">
      <c r="A4309" s="5">
        <f>HYPERLINK("https://finance.yahoo.com/quote/FJDI","FJDI")</f>
        <v/>
      </c>
      <c r="B4309" t="inlineStr">
        <is>
          <t>ARC Group Securities Acquisition I</t>
        </is>
      </c>
      <c r="C4309" t="inlineStr">
        <is>
          <t>Nasdaq</t>
        </is>
      </c>
      <c r="D4309" t="n">
        <v>2094712</v>
      </c>
      <c r="E4309" t="inlineStr">
        <is>
          <t>SEC</t>
        </is>
      </c>
    </row>
    <row r="4310">
      <c r="A4310" s="5">
        <f>HYPERLINK("https://finance.yahoo.com/quote/DHF","DHF")</f>
        <v/>
      </c>
      <c r="B4310" t="inlineStr">
        <is>
          <t>BNY MELLON HIGH YIELD STRATEGIES FUND</t>
        </is>
      </c>
      <c r="C4310" t="inlineStr">
        <is>
          <t>NYSE</t>
        </is>
      </c>
      <c r="D4310" t="n">
        <v>1057861</v>
      </c>
      <c r="E4310" t="inlineStr">
        <is>
          <t>SEC</t>
        </is>
      </c>
    </row>
    <row r="4311">
      <c r="A4311" s="5">
        <f>HYPERLINK("https://finance.yahoo.com/quote/SPEG","SPEG")</f>
        <v/>
      </c>
      <c r="B4311" t="inlineStr">
        <is>
          <t>Silver Pegasus Acquisition Corp.</t>
        </is>
      </c>
      <c r="C4311" t="inlineStr">
        <is>
          <t>Nasdaq</t>
        </is>
      </c>
      <c r="D4311" t="n">
        <v>2028735</v>
      </c>
      <c r="E4311" t="inlineStr">
        <is>
          <t>SEC</t>
        </is>
      </c>
    </row>
    <row r="4312">
      <c r="A4312" s="5">
        <f>HYPERLINK("https://finance.yahoo.com/quote/FMAC","FMAC")</f>
        <v/>
      </c>
      <c r="B4312" t="inlineStr">
        <is>
          <t>Future Money Acquisition Corp</t>
        </is>
      </c>
      <c r="C4312" t="inlineStr">
        <is>
          <t>Nasdaq</t>
        </is>
      </c>
      <c r="D4312" t="n">
        <v>2099232</v>
      </c>
      <c r="E4312" t="inlineStr">
        <is>
          <t>SEC</t>
        </is>
      </c>
    </row>
    <row r="4313">
      <c r="A4313" s="5">
        <f>HYPERLINK("https://finance.yahoo.com/quote/NEN","NEN")</f>
        <v/>
      </c>
      <c r="B4313" t="inlineStr">
        <is>
          <t>NEW ENGLAND REALTY ASSOCIATES LIMITED PARTNERSHIP</t>
        </is>
      </c>
      <c r="C4313" t="inlineStr">
        <is>
          <t>NYSE</t>
        </is>
      </c>
      <c r="D4313" t="n">
        <v>746514</v>
      </c>
      <c r="E4313" t="inlineStr">
        <is>
          <t>SEC</t>
        </is>
      </c>
    </row>
    <row r="4314">
      <c r="A4314" s="5">
        <f>HYPERLINK("https://finance.yahoo.com/quote/GOW","GOW")</f>
        <v/>
      </c>
      <c r="B4314" t="inlineStr">
        <is>
          <t>GOWell Energy Technology</t>
        </is>
      </c>
      <c r="C4314" t="inlineStr">
        <is>
          <t>Nasdaq</t>
        </is>
      </c>
      <c r="D4314" t="n">
        <v>2097702</v>
      </c>
      <c r="E4314" t="inlineStr">
        <is>
          <t>SEC</t>
        </is>
      </c>
    </row>
    <row r="4315">
      <c r="A4315" s="5">
        <f>HYPERLINK("https://finance.yahoo.com/quote/ADAG","ADAG")</f>
        <v/>
      </c>
      <c r="B4315" t="inlineStr">
        <is>
          <t>Adagene Inc.</t>
        </is>
      </c>
      <c r="C4315" t="inlineStr">
        <is>
          <t>Nasdaq</t>
        </is>
      </c>
      <c r="D4315" t="n">
        <v>1818838</v>
      </c>
      <c r="E4315" t="inlineStr">
        <is>
          <t>SEC</t>
        </is>
      </c>
    </row>
    <row r="4316">
      <c r="A4316" s="5">
        <f>HYPERLINK("https://finance.yahoo.com/quote/SLBK","SLBK")</f>
        <v/>
      </c>
      <c r="B4316" t="inlineStr">
        <is>
          <t>Skyline Bankshares, Inc.</t>
        </is>
      </c>
      <c r="C4316" t="inlineStr">
        <is>
          <t>OTC</t>
        </is>
      </c>
      <c r="D4316" t="n">
        <v>1657642</v>
      </c>
      <c r="E4316" t="inlineStr">
        <is>
          <t>SEC</t>
        </is>
      </c>
    </row>
    <row r="4317">
      <c r="A4317" s="5">
        <f>HYPERLINK("https://finance.yahoo.com/quote/EHI","EHI")</f>
        <v/>
      </c>
      <c r="B4317" t="inlineStr">
        <is>
          <t>WESTERN ASSET GLOBAL HIGH INCOME FUND INC.</t>
        </is>
      </c>
      <c r="C4317" t="inlineStr">
        <is>
          <t>NYSE</t>
        </is>
      </c>
      <c r="D4317" t="n">
        <v>1228509</v>
      </c>
      <c r="E4317" t="inlineStr">
        <is>
          <t>SEC</t>
        </is>
      </c>
    </row>
    <row r="4318">
      <c r="A4318" s="5">
        <f>HYPERLINK("https://finance.yahoo.com/quote/WPAC","WPAC")</f>
        <v/>
      </c>
      <c r="B4318" t="inlineStr">
        <is>
          <t>White Pearl Acquisition Corp.</t>
        </is>
      </c>
      <c r="C4318" t="inlineStr">
        <is>
          <t>NYSE</t>
        </is>
      </c>
      <c r="D4318" t="n">
        <v>2081536</v>
      </c>
      <c r="E4318" t="inlineStr">
        <is>
          <t>SEC</t>
        </is>
      </c>
    </row>
    <row r="4319">
      <c r="A4319" s="5">
        <f>HYPERLINK("https://finance.yahoo.com/quote/SANG","SANG")</f>
        <v/>
      </c>
      <c r="B4319" t="inlineStr">
        <is>
          <t>Sangoma Technologies Corp</t>
        </is>
      </c>
      <c r="C4319" t="inlineStr">
        <is>
          <t>Nasdaq</t>
        </is>
      </c>
      <c r="D4319" t="n">
        <v>1753368</v>
      </c>
      <c r="E4319" t="inlineStr">
        <is>
          <t>SEC</t>
        </is>
      </c>
    </row>
    <row r="4320">
      <c r="A4320" s="5">
        <f>HYPERLINK("https://finance.yahoo.com/quote/AKBA","AKBA")</f>
        <v/>
      </c>
      <c r="B4320" t="inlineStr">
        <is>
          <t>Akebia Therapeutics, Inc.</t>
        </is>
      </c>
      <c r="C4320" t="inlineStr">
        <is>
          <t>Nasdaq</t>
        </is>
      </c>
      <c r="D4320" t="n">
        <v>1517022</v>
      </c>
      <c r="E4320" t="inlineStr">
        <is>
          <t>SEC</t>
        </is>
      </c>
    </row>
    <row r="4321">
      <c r="A4321" s="5">
        <f>HYPERLINK("https://finance.yahoo.com/quote/PNPNF","PNPNF")</f>
        <v/>
      </c>
      <c r="B4321" t="inlineStr">
        <is>
          <t>POWER METALLIC MINES INC.</t>
        </is>
      </c>
      <c r="C4321" t="inlineStr">
        <is>
          <t>OTC</t>
        </is>
      </c>
      <c r="D4321" t="n">
        <v>855950</v>
      </c>
      <c r="E4321" t="inlineStr">
        <is>
          <t>SEC</t>
        </is>
      </c>
    </row>
    <row r="4322">
      <c r="A4322" s="5">
        <f>HYPERLINK("https://finance.yahoo.com/quote/EMYB","EMYB")</f>
        <v/>
      </c>
      <c r="B4322" t="inlineStr">
        <is>
          <t>Embassy Bancorp, Inc.</t>
        </is>
      </c>
      <c r="C4322" t="inlineStr">
        <is>
          <t>OTC</t>
        </is>
      </c>
      <c r="D4322" t="n">
        <v>1449794</v>
      </c>
      <c r="E4322" t="inlineStr">
        <is>
          <t>SEC</t>
        </is>
      </c>
    </row>
    <row r="4323">
      <c r="A4323" s="5">
        <f>HYPERLINK("https://finance.yahoo.com/quote/NBP","NBP")</f>
        <v/>
      </c>
      <c r="B4323" t="inlineStr">
        <is>
          <t>NovaBridge Biosciences</t>
        </is>
      </c>
      <c r="C4323" t="inlineStr">
        <is>
          <t>Nasdaq</t>
        </is>
      </c>
      <c r="D4323" t="n">
        <v>1778016</v>
      </c>
      <c r="E4323" t="inlineStr">
        <is>
          <t>SEC</t>
        </is>
      </c>
    </row>
    <row r="4324">
      <c r="A4324" s="5">
        <f>HYPERLINK("https://finance.yahoo.com/quote/BMMX","BMMX")</f>
        <v/>
      </c>
      <c r="B4324" t="inlineStr">
        <is>
          <t>Black Mammoth Metals Corp</t>
        </is>
      </c>
      <c r="C4324" t="inlineStr">
        <is>
          <t>Nasdaq</t>
        </is>
      </c>
      <c r="D4324" t="n">
        <v>1929908</v>
      </c>
      <c r="E4324" t="inlineStr">
        <is>
          <t>SEC</t>
        </is>
      </c>
    </row>
    <row r="4325">
      <c r="A4325" s="5">
        <f>HYPERLINK("https://finance.yahoo.com/quote/HWAIF","HWAIF")</f>
        <v/>
      </c>
      <c r="B4325" t="inlineStr">
        <is>
          <t>Healwell AI Inc.</t>
        </is>
      </c>
      <c r="C4325" t="inlineStr">
        <is>
          <t>OTC</t>
        </is>
      </c>
      <c r="D4325" t="n">
        <v>1999124</v>
      </c>
      <c r="E4325" t="inlineStr">
        <is>
          <t>SEC</t>
        </is>
      </c>
    </row>
    <row r="4326">
      <c r="A4326" s="5">
        <f>HYPERLINK("https://finance.yahoo.com/quote/DEFT","DEFT")</f>
        <v/>
      </c>
      <c r="B4326" t="inlineStr">
        <is>
          <t>Defi Technologies, Inc.</t>
        </is>
      </c>
      <c r="C4326" t="inlineStr">
        <is>
          <t>Nasdaq</t>
        </is>
      </c>
      <c r="D4326" t="n">
        <v>1888274</v>
      </c>
      <c r="E4326" t="inlineStr">
        <is>
          <t>SEC</t>
        </is>
      </c>
    </row>
    <row r="4327">
      <c r="A4327" s="5">
        <f>HYPERLINK("https://finance.yahoo.com/quote/CGNRF","CGNRF")</f>
        <v/>
      </c>
      <c r="B4327" t="inlineStr">
        <is>
          <t>Copper Giant Resources Corp.</t>
        </is>
      </c>
      <c r="C4327" t="inlineStr">
        <is>
          <t>OTC</t>
        </is>
      </c>
      <c r="D4327" t="n">
        <v>1580110</v>
      </c>
      <c r="E4327" t="inlineStr">
        <is>
          <t>SEC</t>
        </is>
      </c>
    </row>
    <row r="4328">
      <c r="A4328" s="5">
        <f>HYPERLINK("https://finance.yahoo.com/quote/OCAC","OCAC")</f>
        <v/>
      </c>
      <c r="B4328" t="inlineStr">
        <is>
          <t>Ocean Capital Acquisition Corp</t>
        </is>
      </c>
      <c r="C4328" t="inlineStr">
        <is>
          <t>NYSE</t>
        </is>
      </c>
      <c r="D4328" t="n">
        <v>1926314</v>
      </c>
      <c r="E4328" t="inlineStr">
        <is>
          <t>SEC</t>
        </is>
      </c>
    </row>
    <row r="4329">
      <c r="A4329" s="5">
        <f>HYPERLINK("https://finance.yahoo.com/quote/STRO","STRO")</f>
        <v/>
      </c>
      <c r="B4329" t="inlineStr">
        <is>
          <t>SUTRO BIOPHARMA, INC.</t>
        </is>
      </c>
      <c r="C4329" t="inlineStr">
        <is>
          <t>Nasdaq</t>
        </is>
      </c>
      <c r="D4329" t="n">
        <v>1382101</v>
      </c>
      <c r="E4329" t="inlineStr">
        <is>
          <t>SEC</t>
        </is>
      </c>
    </row>
    <row r="4330">
      <c r="A4330" s="5">
        <f>HYPERLINK("https://finance.yahoo.com/quote/ATGL","ATGL")</f>
        <v/>
      </c>
      <c r="B4330" t="inlineStr">
        <is>
          <t>Alpha Technology Group Ltd</t>
        </is>
      </c>
      <c r="C4330" t="inlineStr">
        <is>
          <t>Nasdaq</t>
        </is>
      </c>
      <c r="D4330" t="n">
        <v>1967621</v>
      </c>
      <c r="E4330" t="inlineStr">
        <is>
          <t>SEC</t>
        </is>
      </c>
    </row>
    <row r="4331">
      <c r="A4331" s="5">
        <f>HYPERLINK("https://finance.yahoo.com/quote/EPM","EPM")</f>
        <v/>
      </c>
      <c r="B4331" t="inlineStr">
        <is>
          <t>EVOLUTION PETROLEUM CORP</t>
        </is>
      </c>
      <c r="C4331" t="inlineStr">
        <is>
          <t>NYSE</t>
        </is>
      </c>
      <c r="D4331" t="n">
        <v>1006655</v>
      </c>
      <c r="E4331" t="inlineStr">
        <is>
          <t>SEC</t>
        </is>
      </c>
    </row>
    <row r="4332">
      <c r="A4332" s="5">
        <f>HYPERLINK("https://finance.yahoo.com/quote/ECF","ECF")</f>
        <v/>
      </c>
      <c r="B4332" t="inlineStr">
        <is>
          <t>ELLSWORTH GROWTH &amp; INCOME FUND LTD</t>
        </is>
      </c>
      <c r="C4332" t="inlineStr">
        <is>
          <t>NYSE</t>
        </is>
      </c>
      <c r="D4332" t="n">
        <v>793040</v>
      </c>
      <c r="E4332" t="inlineStr">
        <is>
          <t>SEC</t>
        </is>
      </c>
    </row>
    <row r="4333">
      <c r="A4333" s="5">
        <f>HYPERLINK("https://finance.yahoo.com/quote/PHCI","PHCI")</f>
        <v/>
      </c>
      <c r="B4333" t="inlineStr">
        <is>
          <t>Panamera Holdings Corp</t>
        </is>
      </c>
      <c r="C4333" t="inlineStr">
        <is>
          <t>OTC</t>
        </is>
      </c>
      <c r="D4333" t="n">
        <v>1620749</v>
      </c>
      <c r="E4333" t="inlineStr">
        <is>
          <t>SEC</t>
        </is>
      </c>
    </row>
    <row r="4334">
      <c r="A4334" s="5">
        <f>HYPERLINK("https://finance.yahoo.com/quote/GIBO","GIBO")</f>
        <v/>
      </c>
      <c r="B4334" t="inlineStr">
        <is>
          <t>GIBO HOLDINGS Ltd</t>
        </is>
      </c>
      <c r="C4334" t="inlineStr">
        <is>
          <t>Nasdaq</t>
        </is>
      </c>
      <c r="D4334" t="n">
        <v>2034520</v>
      </c>
      <c r="E4334" t="inlineStr">
        <is>
          <t>SEC</t>
        </is>
      </c>
    </row>
    <row r="4335">
      <c r="A4335" s="5">
        <f>HYPERLINK("https://finance.yahoo.com/quote/AMBR","AMBR")</f>
        <v/>
      </c>
      <c r="B4335" t="inlineStr">
        <is>
          <t>Amber International Holding Ltd</t>
        </is>
      </c>
      <c r="C4335" t="inlineStr">
        <is>
          <t>Nasdaq</t>
        </is>
      </c>
      <c r="D4335" t="n">
        <v>1697818</v>
      </c>
      <c r="E4335" t="inlineStr">
        <is>
          <t>SEC</t>
        </is>
      </c>
    </row>
    <row r="4336">
      <c r="A4336" s="5">
        <f>HYPERLINK("https://finance.yahoo.com/quote/ONEW","ONEW")</f>
        <v/>
      </c>
      <c r="B4336" t="inlineStr">
        <is>
          <t>OneWater Marine Inc.</t>
        </is>
      </c>
      <c r="C4336" t="inlineStr">
        <is>
          <t>Nasdaq</t>
        </is>
      </c>
      <c r="D4336" t="n">
        <v>1772921</v>
      </c>
      <c r="E4336" t="inlineStr">
        <is>
          <t>SEC</t>
        </is>
      </c>
    </row>
    <row r="4337">
      <c r="A4337" s="5">
        <f>HYPERLINK("https://finance.yahoo.com/quote/CHRS","CHRS")</f>
        <v/>
      </c>
      <c r="B4337" t="inlineStr">
        <is>
          <t>Coherus Oncology, Inc.</t>
        </is>
      </c>
      <c r="C4337" t="inlineStr">
        <is>
          <t>Nasdaq</t>
        </is>
      </c>
      <c r="D4337" t="n">
        <v>1512762</v>
      </c>
      <c r="E4337" t="inlineStr">
        <is>
          <t>SEC</t>
        </is>
      </c>
    </row>
    <row r="4338">
      <c r="A4338" s="5">
        <f>HYPERLINK("https://finance.yahoo.com/quote/TONT","TONT")</f>
        <v/>
      </c>
      <c r="B4338" t="inlineStr">
        <is>
          <t>Graf Global Corp.</t>
        </is>
      </c>
      <c r="C4338" t="inlineStr">
        <is>
          <t>NYSE</t>
        </is>
      </c>
      <c r="D4338" t="n">
        <v>1897463</v>
      </c>
      <c r="E4338" t="inlineStr">
        <is>
          <t>SEC</t>
        </is>
      </c>
    </row>
    <row r="4339">
      <c r="A4339" s="5">
        <f>HYPERLINK("https://finance.yahoo.com/quote/RRGB","RRGB")</f>
        <v/>
      </c>
      <c r="B4339" t="inlineStr">
        <is>
          <t>RED ROBIN GOURMET BURGERS INC</t>
        </is>
      </c>
      <c r="C4339" t="inlineStr">
        <is>
          <t>Nasdaq</t>
        </is>
      </c>
      <c r="D4339" t="n">
        <v>1171759</v>
      </c>
      <c r="E4339" t="inlineStr">
        <is>
          <t>SEC</t>
        </is>
      </c>
    </row>
    <row r="4340">
      <c r="A4340" s="5">
        <f>HYPERLINK("https://finance.yahoo.com/quote/BRLT","BRLT")</f>
        <v/>
      </c>
      <c r="B4340" t="inlineStr">
        <is>
          <t>Brilliant Earth Group, Inc.</t>
        </is>
      </c>
      <c r="C4340" t="inlineStr">
        <is>
          <t>Nasdaq</t>
        </is>
      </c>
      <c r="D4340" t="n">
        <v>1866757</v>
      </c>
      <c r="E4340" t="inlineStr">
        <is>
          <t>SEC</t>
        </is>
      </c>
    </row>
    <row r="4341">
      <c r="A4341" s="5">
        <f>HYPERLINK("https://finance.yahoo.com/quote/NSLR","NSLR")</f>
        <v/>
      </c>
      <c r="B4341" t="inlineStr">
        <is>
          <t>Neostellar Capital Corp.</t>
        </is>
      </c>
      <c r="C4341" t="inlineStr">
        <is>
          <t>Nasdaq</t>
        </is>
      </c>
      <c r="D4341" t="n">
        <v>1509470</v>
      </c>
      <c r="E4341" t="inlineStr">
        <is>
          <t>SEC</t>
        </is>
      </c>
    </row>
    <row r="4342">
      <c r="A4342" s="5">
        <f>HYPERLINK("https://finance.yahoo.com/quote/VNCE","VNCE")</f>
        <v/>
      </c>
      <c r="B4342" t="inlineStr">
        <is>
          <t>VINCE HOLDING CORP.</t>
        </is>
      </c>
      <c r="C4342" t="inlineStr">
        <is>
          <t>Nasdaq</t>
        </is>
      </c>
      <c r="D4342" t="n">
        <v>1579157</v>
      </c>
      <c r="E4342" t="inlineStr">
        <is>
          <t>SEC</t>
        </is>
      </c>
    </row>
    <row r="4343">
      <c r="A4343" s="5">
        <f>HYPERLINK("https://finance.yahoo.com/quote/NGEN","NGEN")</f>
        <v/>
      </c>
      <c r="B4343" t="inlineStr">
        <is>
          <t>NERVGEN PHARMA CORP.</t>
        </is>
      </c>
      <c r="C4343" t="inlineStr">
        <is>
          <t>Nasdaq</t>
        </is>
      </c>
      <c r="D4343" t="n">
        <v>1751912</v>
      </c>
      <c r="E4343" t="inlineStr">
        <is>
          <t>SEC</t>
        </is>
      </c>
    </row>
    <row r="4344">
      <c r="A4344" s="5">
        <f>HYPERLINK("https://finance.yahoo.com/quote/MDWD","MDWD")</f>
        <v/>
      </c>
      <c r="B4344" t="inlineStr">
        <is>
          <t>MediWound Ltd.</t>
        </is>
      </c>
      <c r="C4344" t="inlineStr">
        <is>
          <t>Nasdaq</t>
        </is>
      </c>
      <c r="D4344" t="n">
        <v>1593984</v>
      </c>
      <c r="E4344" t="inlineStr">
        <is>
          <t>SEC</t>
        </is>
      </c>
    </row>
    <row r="4345">
      <c r="A4345" s="5">
        <f>HYPERLINK("https://finance.yahoo.com/quote/INAC","INAC")</f>
        <v/>
      </c>
      <c r="B4345" t="inlineStr">
        <is>
          <t>Indigo Acquisition Corp.</t>
        </is>
      </c>
      <c r="C4345" t="inlineStr">
        <is>
          <t>Nasdaq</t>
        </is>
      </c>
      <c r="D4345" t="n">
        <v>2063816</v>
      </c>
      <c r="E4345" t="inlineStr">
        <is>
          <t>SEC</t>
        </is>
      </c>
    </row>
    <row r="4346">
      <c r="A4346" s="5">
        <f>HYPERLINK("https://finance.yahoo.com/quote/UTKN","UTKN")</f>
        <v/>
      </c>
      <c r="B4346" t="inlineStr">
        <is>
          <t>Universal Token</t>
        </is>
      </c>
      <c r="C4346" t="inlineStr">
        <is>
          <t>OTC</t>
        </is>
      </c>
      <c r="D4346" t="n">
        <v>1919182</v>
      </c>
      <c r="E4346" t="inlineStr">
        <is>
          <t>SEC</t>
        </is>
      </c>
    </row>
    <row r="4347">
      <c r="A4347" s="5">
        <f>HYPERLINK("https://finance.yahoo.com/quote/UPB","UPB")</f>
        <v/>
      </c>
      <c r="B4347" t="inlineStr">
        <is>
          <t>Upstream Bio, Inc.</t>
        </is>
      </c>
      <c r="C4347" t="inlineStr">
        <is>
          <t>Nasdaq</t>
        </is>
      </c>
      <c r="D4347" t="n">
        <v>2022626</v>
      </c>
      <c r="E4347" t="inlineStr">
        <is>
          <t>SEC</t>
        </is>
      </c>
    </row>
    <row r="4348">
      <c r="A4348" s="5">
        <f>HYPERLINK("https://finance.yahoo.com/quote/MSC","MSC")</f>
        <v/>
      </c>
      <c r="B4348" t="inlineStr">
        <is>
          <t>STUDIO CITY INTERNATIONAL HOLDINGS Ltd</t>
        </is>
      </c>
      <c r="C4348" t="inlineStr">
        <is>
          <t>NYSE</t>
        </is>
      </c>
      <c r="D4348" t="n">
        <v>1713334</v>
      </c>
      <c r="E4348" t="inlineStr">
        <is>
          <t>SEC</t>
        </is>
      </c>
    </row>
    <row r="4349">
      <c r="A4349" s="5">
        <f>HYPERLINK("https://finance.yahoo.com/quote/YCY","YCY")</f>
        <v/>
      </c>
      <c r="B4349" t="inlineStr">
        <is>
          <t>AA Mission Acquisition Corp. II</t>
        </is>
      </c>
      <c r="C4349" t="inlineStr">
        <is>
          <t>NYSE</t>
        </is>
      </c>
      <c r="D4349" t="n">
        <v>2075336</v>
      </c>
      <c r="E4349" t="inlineStr">
        <is>
          <t>SEC</t>
        </is>
      </c>
    </row>
    <row r="4350">
      <c r="A4350" s="5">
        <f>HYPERLINK("https://finance.yahoo.com/quote/PNI","PNI")</f>
        <v/>
      </c>
      <c r="B4350" t="inlineStr">
        <is>
          <t>PIMCO NEW YORK MUNICIPAL INCOME FUND II</t>
        </is>
      </c>
      <c r="C4350" t="inlineStr">
        <is>
          <t>NYSE</t>
        </is>
      </c>
      <c r="D4350" t="n">
        <v>1170311</v>
      </c>
      <c r="E4350" t="inlineStr">
        <is>
          <t>SEC</t>
        </is>
      </c>
    </row>
    <row r="4351">
      <c r="A4351" s="5">
        <f>HYPERLINK("https://finance.yahoo.com/quote/ROSS","ROSS")</f>
        <v/>
      </c>
      <c r="B4351" t="inlineStr">
        <is>
          <t>BPGC Acquisition Corp.</t>
        </is>
      </c>
      <c r="C4351" t="inlineStr"/>
      <c r="D4351" t="n">
        <v>1841610</v>
      </c>
      <c r="E4351" t="inlineStr">
        <is>
          <t>SEC</t>
        </is>
      </c>
    </row>
    <row r="4352">
      <c r="A4352" s="5">
        <f>HYPERLINK("https://finance.yahoo.com/quote/DIBS","DIBS")</f>
        <v/>
      </c>
      <c r="B4352" t="inlineStr">
        <is>
          <t>1stdibs.com, Inc.</t>
        </is>
      </c>
      <c r="C4352" t="inlineStr">
        <is>
          <t>Nasdaq</t>
        </is>
      </c>
      <c r="D4352" t="n">
        <v>1600641</v>
      </c>
      <c r="E4352" t="inlineStr">
        <is>
          <t>SEC</t>
        </is>
      </c>
    </row>
    <row r="4353">
      <c r="A4353" s="5">
        <f>HYPERLINK("https://finance.yahoo.com/quote/AIRO","AIRO")</f>
        <v/>
      </c>
      <c r="B4353" t="inlineStr">
        <is>
          <t>AIRO Group Holdings, Inc.</t>
        </is>
      </c>
      <c r="C4353" t="inlineStr">
        <is>
          <t>Nasdaq</t>
        </is>
      </c>
      <c r="D4353" t="n">
        <v>1927958</v>
      </c>
      <c r="E4353" t="inlineStr">
        <is>
          <t>SEC</t>
        </is>
      </c>
    </row>
    <row r="4354">
      <c r="A4354" s="5">
        <f>HYPERLINK("https://finance.yahoo.com/quote/DLTH","DLTH")</f>
        <v/>
      </c>
      <c r="B4354" t="inlineStr">
        <is>
          <t>DULUTH HOLDINGS INC.</t>
        </is>
      </c>
      <c r="C4354" t="inlineStr">
        <is>
          <t>Nasdaq</t>
        </is>
      </c>
      <c r="D4354" t="n">
        <v>1649744</v>
      </c>
      <c r="E4354" t="inlineStr">
        <is>
          <t>SEC</t>
        </is>
      </c>
    </row>
    <row r="4355">
      <c r="A4355" s="5">
        <f>HYPERLINK("https://finance.yahoo.com/quote/KTGDF","KTGDF")</f>
        <v/>
      </c>
      <c r="B4355" t="inlineStr">
        <is>
          <t>K2 Gold Corp</t>
        </is>
      </c>
      <c r="C4355" t="inlineStr">
        <is>
          <t>OTC</t>
        </is>
      </c>
      <c r="D4355" t="n">
        <v>1583962</v>
      </c>
      <c r="E4355" t="inlineStr">
        <is>
          <t>SEC</t>
        </is>
      </c>
    </row>
    <row r="4356">
      <c r="A4356" s="5">
        <f>HYPERLINK("https://finance.yahoo.com/quote/HGLB","HGLB")</f>
        <v/>
      </c>
      <c r="B4356" t="inlineStr">
        <is>
          <t>HIGHLAND GLOBAL ALLOCATION FUND</t>
        </is>
      </c>
      <c r="C4356" t="inlineStr">
        <is>
          <t>NYSE</t>
        </is>
      </c>
      <c r="D4356" t="n">
        <v>1622148</v>
      </c>
      <c r="E4356" t="inlineStr">
        <is>
          <t>SEC</t>
        </is>
      </c>
    </row>
    <row r="4357">
      <c r="A4357" s="5">
        <f>HYPERLINK("https://finance.yahoo.com/quote/TORO","TORO")</f>
        <v/>
      </c>
      <c r="B4357" t="inlineStr">
        <is>
          <t>TORO CORP.</t>
        </is>
      </c>
      <c r="C4357" t="inlineStr">
        <is>
          <t>Nasdaq</t>
        </is>
      </c>
      <c r="D4357" t="n">
        <v>1941131</v>
      </c>
      <c r="E4357" t="inlineStr">
        <is>
          <t>SEC</t>
        </is>
      </c>
    </row>
    <row r="4358">
      <c r="A4358" s="5">
        <f>HYPERLINK("https://finance.yahoo.com/quote/OSS","OSS")</f>
        <v/>
      </c>
      <c r="B4358" t="inlineStr">
        <is>
          <t>ONE STOP SYSTEMS, INC.</t>
        </is>
      </c>
      <c r="C4358" t="inlineStr">
        <is>
          <t>Nasdaq</t>
        </is>
      </c>
      <c r="D4358" t="n">
        <v>1394056</v>
      </c>
      <c r="E4358" t="inlineStr">
        <is>
          <t>SEC</t>
        </is>
      </c>
    </row>
    <row r="4359">
      <c r="A4359" s="5">
        <f>HYPERLINK("https://finance.yahoo.com/quote/GSIT","GSIT")</f>
        <v/>
      </c>
      <c r="B4359" t="inlineStr">
        <is>
          <t>GSI TECHNOLOGY INC</t>
        </is>
      </c>
      <c r="C4359" t="inlineStr">
        <is>
          <t>Nasdaq</t>
        </is>
      </c>
      <c r="D4359" t="n">
        <v>1126741</v>
      </c>
      <c r="E4359" t="inlineStr">
        <is>
          <t>SEC</t>
        </is>
      </c>
    </row>
    <row r="4360">
      <c r="A4360" s="5">
        <f>HYPERLINK("https://finance.yahoo.com/quote/ESP","ESP")</f>
        <v/>
      </c>
      <c r="B4360" t="inlineStr">
        <is>
          <t>ESPEY MFG &amp; ELECTRONICS CORP</t>
        </is>
      </c>
      <c r="C4360" t="inlineStr">
        <is>
          <t>NYSE</t>
        </is>
      </c>
      <c r="D4360" t="n">
        <v>33533</v>
      </c>
      <c r="E4360" t="inlineStr">
        <is>
          <t>SEC</t>
        </is>
      </c>
    </row>
    <row r="4361">
      <c r="A4361" s="5">
        <f>HYPERLINK("https://finance.yahoo.com/quote/FINW","FINW")</f>
        <v/>
      </c>
      <c r="B4361" t="inlineStr">
        <is>
          <t>Finwise Bancorp</t>
        </is>
      </c>
      <c r="C4361" t="inlineStr">
        <is>
          <t>Nasdaq</t>
        </is>
      </c>
      <c r="D4361" t="n">
        <v>1856365</v>
      </c>
      <c r="E4361" t="inlineStr">
        <is>
          <t>SEC</t>
        </is>
      </c>
    </row>
    <row r="4362">
      <c r="A4362" s="5">
        <f>HYPERLINK("https://finance.yahoo.com/quote/CNTN","CNTN")</f>
        <v/>
      </c>
      <c r="B4362" t="inlineStr">
        <is>
          <t>Canton Strategic Holdings, Inc.</t>
        </is>
      </c>
      <c r="C4362" t="inlineStr">
        <is>
          <t>Nasdaq</t>
        </is>
      </c>
      <c r="D4362" t="n">
        <v>1861657</v>
      </c>
      <c r="E4362" t="inlineStr">
        <is>
          <t>SEC</t>
        </is>
      </c>
    </row>
    <row r="4363">
      <c r="A4363" s="5">
        <f>HYPERLINK("https://finance.yahoo.com/quote/EGAN","EGAN")</f>
        <v/>
      </c>
      <c r="B4363" t="inlineStr">
        <is>
          <t>EGAIN Corp</t>
        </is>
      </c>
      <c r="C4363" t="inlineStr">
        <is>
          <t>Nasdaq</t>
        </is>
      </c>
      <c r="D4363" t="n">
        <v>1066194</v>
      </c>
      <c r="E4363" t="inlineStr">
        <is>
          <t>SEC</t>
        </is>
      </c>
    </row>
    <row r="4364">
      <c r="A4364" s="5">
        <f>HYPERLINK("https://finance.yahoo.com/quote/CEPS","CEPS")</f>
        <v/>
      </c>
      <c r="B4364" t="inlineStr">
        <is>
          <t>Cantor Equity Partners VI, Inc.</t>
        </is>
      </c>
      <c r="C4364" t="inlineStr">
        <is>
          <t>Nasdaq</t>
        </is>
      </c>
      <c r="D4364" t="n">
        <v>2089536</v>
      </c>
      <c r="E4364" t="inlineStr">
        <is>
          <t>SEC</t>
        </is>
      </c>
    </row>
    <row r="4365">
      <c r="A4365" s="5">
        <f>HYPERLINK("https://finance.yahoo.com/quote/HSDT","HSDT")</f>
        <v/>
      </c>
      <c r="B4365" t="inlineStr">
        <is>
          <t>Solana Co</t>
        </is>
      </c>
      <c r="C4365" t="inlineStr">
        <is>
          <t>Nasdaq</t>
        </is>
      </c>
      <c r="D4365" t="n">
        <v>1610853</v>
      </c>
      <c r="E4365" t="inlineStr">
        <is>
          <t>SEC</t>
        </is>
      </c>
    </row>
    <row r="4366">
      <c r="A4366" s="5">
        <f>HYPERLINK("https://finance.yahoo.com/quote/APUR","APUR")</f>
        <v/>
      </c>
      <c r="B4366" t="inlineStr">
        <is>
          <t>Aperture AC</t>
        </is>
      </c>
      <c r="C4366" t="inlineStr">
        <is>
          <t>Nasdaq</t>
        </is>
      </c>
      <c r="D4366" t="n">
        <v>2093524</v>
      </c>
      <c r="E4366" t="inlineStr">
        <is>
          <t>SEC</t>
        </is>
      </c>
    </row>
    <row r="4367">
      <c r="A4367" s="5">
        <f>HYPERLINK("https://finance.yahoo.com/quote/EML","EML")</f>
        <v/>
      </c>
      <c r="B4367" t="inlineStr">
        <is>
          <t>EASTERN CO</t>
        </is>
      </c>
      <c r="C4367" t="inlineStr">
        <is>
          <t>Nasdaq</t>
        </is>
      </c>
      <c r="D4367" t="n">
        <v>31107</v>
      </c>
      <c r="E4367" t="inlineStr">
        <is>
          <t>SEC</t>
        </is>
      </c>
    </row>
    <row r="4368">
      <c r="A4368" s="5">
        <f>HYPERLINK("https://finance.yahoo.com/quote/OZ","OZ")</f>
        <v/>
      </c>
      <c r="B4368" t="inlineStr">
        <is>
          <t>Belpointe PREP, LLC</t>
        </is>
      </c>
      <c r="C4368" t="inlineStr">
        <is>
          <t>NYSE</t>
        </is>
      </c>
      <c r="D4368" t="n">
        <v>1807046</v>
      </c>
      <c r="E4368" t="inlineStr">
        <is>
          <t>SEC</t>
        </is>
      </c>
    </row>
    <row r="4369">
      <c r="A4369" s="5">
        <f>HYPERLINK("https://finance.yahoo.com/quote/ALPX","ALPX")</f>
        <v/>
      </c>
      <c r="B4369" t="inlineStr">
        <is>
          <t>Alpex Acquisition Corp</t>
        </is>
      </c>
      <c r="C4369" t="inlineStr">
        <is>
          <t>Nasdaq</t>
        </is>
      </c>
      <c r="D4369" t="n">
        <v>2125551</v>
      </c>
      <c r="E4369" t="inlineStr">
        <is>
          <t>SEC</t>
        </is>
      </c>
    </row>
    <row r="4370">
      <c r="A4370" s="5">
        <f>HYPERLINK("https://finance.yahoo.com/quote/TRAD","TRAD")</f>
        <v/>
      </c>
      <c r="B4370" t="inlineStr">
        <is>
          <t>APEX Tech Acquisition Inc.</t>
        </is>
      </c>
      <c r="C4370" t="inlineStr">
        <is>
          <t>NYSE</t>
        </is>
      </c>
      <c r="D4370" t="n">
        <v>2085485</v>
      </c>
      <c r="E4370" t="inlineStr">
        <is>
          <t>SEC</t>
        </is>
      </c>
    </row>
    <row r="4371">
      <c r="A4371" s="5">
        <f>HYPERLINK("https://finance.yahoo.com/quote/TETOF","TETOF")</f>
        <v/>
      </c>
      <c r="B4371" t="inlineStr">
        <is>
          <t>Tectonic Metals Inc.</t>
        </is>
      </c>
      <c r="C4371" t="inlineStr">
        <is>
          <t>OTC</t>
        </is>
      </c>
      <c r="D4371" t="n">
        <v>1783432</v>
      </c>
      <c r="E4371" t="inlineStr">
        <is>
          <t>SEC</t>
        </is>
      </c>
    </row>
    <row r="4372">
      <c r="A4372" s="5">
        <f>HYPERLINK("https://finance.yahoo.com/quote/POLE","POLE")</f>
        <v/>
      </c>
      <c r="B4372" t="inlineStr">
        <is>
          <t>Andretti Acquisition Corp. II</t>
        </is>
      </c>
      <c r="C4372" t="inlineStr">
        <is>
          <t>Nasdaq</t>
        </is>
      </c>
      <c r="D4372" t="n">
        <v>2025341</v>
      </c>
      <c r="E4372" t="inlineStr">
        <is>
          <t>SEC</t>
        </is>
      </c>
    </row>
    <row r="4373">
      <c r="A4373" s="5">
        <f>HYPERLINK("https://finance.yahoo.com/quote/NIU","NIU")</f>
        <v/>
      </c>
      <c r="B4373" t="inlineStr">
        <is>
          <t>Niu Technologies</t>
        </is>
      </c>
      <c r="C4373" t="inlineStr">
        <is>
          <t>Nasdaq</t>
        </is>
      </c>
      <c r="D4373" t="n">
        <v>1744781</v>
      </c>
      <c r="E4373" t="inlineStr">
        <is>
          <t>SEC</t>
        </is>
      </c>
    </row>
    <row r="4374">
      <c r="A4374" s="5">
        <f>HYPERLINK("https://finance.yahoo.com/quote/XFLH","XFLH")</f>
        <v/>
      </c>
      <c r="B4374" t="inlineStr">
        <is>
          <t>XFLH Capital Corp</t>
        </is>
      </c>
      <c r="C4374" t="inlineStr">
        <is>
          <t>NYSE</t>
        </is>
      </c>
      <c r="D4374" t="n">
        <v>2088103</v>
      </c>
      <c r="E4374" t="inlineStr">
        <is>
          <t>SEC</t>
        </is>
      </c>
    </row>
    <row r="4375">
      <c r="A4375" s="5">
        <f>HYPERLINK("https://finance.yahoo.com/quote/FMBM","FMBM")</f>
        <v/>
      </c>
      <c r="B4375" t="inlineStr">
        <is>
          <t>F&amp;M BANK CORP</t>
        </is>
      </c>
      <c r="C4375" t="inlineStr">
        <is>
          <t>OTC</t>
        </is>
      </c>
      <c r="D4375" t="n">
        <v>740806</v>
      </c>
      <c r="E4375" t="inlineStr">
        <is>
          <t>SEC</t>
        </is>
      </c>
    </row>
    <row r="4376">
      <c r="A4376" s="5">
        <f>HYPERLINK("https://finance.yahoo.com/quote/RVLGF","RVLGF")</f>
        <v/>
      </c>
      <c r="B4376" t="inlineStr">
        <is>
          <t>Revival Gold Inc.</t>
        </is>
      </c>
      <c r="C4376" t="inlineStr">
        <is>
          <t>OTC</t>
        </is>
      </c>
      <c r="D4376" t="n">
        <v>1616885</v>
      </c>
      <c r="E4376" t="inlineStr">
        <is>
          <t>SEC</t>
        </is>
      </c>
    </row>
    <row r="4377">
      <c r="A4377" s="5">
        <f>HYPERLINK("https://finance.yahoo.com/quote/HUCK","HUCK")</f>
        <v/>
      </c>
      <c r="B4377" t="inlineStr">
        <is>
          <t>Huckleberry.ai, Inc.</t>
        </is>
      </c>
      <c r="C4377" t="inlineStr">
        <is>
          <t>Nasdaq</t>
        </is>
      </c>
      <c r="D4377" t="n">
        <v>1505952</v>
      </c>
      <c r="E4377" t="inlineStr">
        <is>
          <t>SEC</t>
        </is>
      </c>
    </row>
    <row r="4378">
      <c r="A4378" s="5">
        <f>HYPERLINK("https://finance.yahoo.com/quote/NCO","NCO")</f>
        <v/>
      </c>
      <c r="B4378" t="inlineStr">
        <is>
          <t>Southern Cross Acquisition I Corp.</t>
        </is>
      </c>
      <c r="C4378" t="inlineStr">
        <is>
          <t>Nasdaq</t>
        </is>
      </c>
      <c r="D4378" t="n">
        <v>2116230</v>
      </c>
      <c r="E4378" t="inlineStr">
        <is>
          <t>SEC</t>
        </is>
      </c>
    </row>
    <row r="4379">
      <c r="A4379" s="5">
        <f>HYPERLINK("https://finance.yahoo.com/quote/EGG","EGG")</f>
        <v/>
      </c>
      <c r="B4379" t="inlineStr">
        <is>
          <t>ENIGMATIG LTD</t>
        </is>
      </c>
      <c r="C4379" t="inlineStr">
        <is>
          <t>NYSE</t>
        </is>
      </c>
      <c r="D4379" t="n">
        <v>1982961</v>
      </c>
      <c r="E4379" t="inlineStr">
        <is>
          <t>SEC</t>
        </is>
      </c>
    </row>
    <row r="4380">
      <c r="A4380" s="5">
        <f>HYPERLINK("https://finance.yahoo.com/quote/LSBK","LSBK")</f>
        <v/>
      </c>
      <c r="B4380" t="inlineStr">
        <is>
          <t>Lake Shore Bancorp, Inc. /MD/</t>
        </is>
      </c>
      <c r="C4380" t="inlineStr">
        <is>
          <t>Nasdaq</t>
        </is>
      </c>
      <c r="D4380" t="n">
        <v>2059653</v>
      </c>
      <c r="E4380" t="inlineStr">
        <is>
          <t>SEC</t>
        </is>
      </c>
    </row>
    <row r="4381">
      <c r="A4381" s="5">
        <f>HYPERLINK("https://finance.yahoo.com/quote/DAVI","DAVI")</f>
        <v/>
      </c>
      <c r="B4381" t="inlineStr">
        <is>
          <t>DAVION HEALTHCARE PLC</t>
        </is>
      </c>
      <c r="C4381" t="inlineStr">
        <is>
          <t>Nasdaq</t>
        </is>
      </c>
      <c r="D4381" t="n">
        <v>2039072</v>
      </c>
      <c r="E4381" t="inlineStr">
        <is>
          <t>SEC</t>
        </is>
      </c>
    </row>
    <row r="4382">
      <c r="A4382" s="5">
        <f>HYPERLINK("https://finance.yahoo.com/quote/FGBI","FGBI")</f>
        <v/>
      </c>
      <c r="B4382" t="inlineStr">
        <is>
          <t>First Guaranty Bancshares, Inc.</t>
        </is>
      </c>
      <c r="C4382" t="inlineStr">
        <is>
          <t>Nasdaq</t>
        </is>
      </c>
      <c r="D4382" t="n">
        <v>1408534</v>
      </c>
      <c r="E4382" t="inlineStr">
        <is>
          <t>SEC</t>
        </is>
      </c>
    </row>
    <row r="4383">
      <c r="A4383" s="5">
        <f>HYPERLINK("https://finance.yahoo.com/quote/MGNX","MGNX")</f>
        <v/>
      </c>
      <c r="B4383" t="inlineStr">
        <is>
          <t>MACROGENICS INC</t>
        </is>
      </c>
      <c r="C4383" t="inlineStr">
        <is>
          <t>Nasdaq</t>
        </is>
      </c>
      <c r="D4383" t="n">
        <v>1125345</v>
      </c>
      <c r="E4383" t="inlineStr">
        <is>
          <t>SEC</t>
        </is>
      </c>
    </row>
    <row r="4384">
      <c r="A4384" s="5">
        <f>HYPERLINK("https://finance.yahoo.com/quote/MYX","MYX")</f>
        <v/>
      </c>
      <c r="B4384" t="inlineStr">
        <is>
          <t>Maywood Acquisition Corp. 2</t>
        </is>
      </c>
      <c r="C4384" t="inlineStr">
        <is>
          <t>Nasdaq</t>
        </is>
      </c>
      <c r="D4384" t="n">
        <v>2080087</v>
      </c>
      <c r="E4384" t="inlineStr">
        <is>
          <t>SEC</t>
        </is>
      </c>
    </row>
    <row r="4385">
      <c r="A4385" s="5">
        <f>HYPERLINK("https://finance.yahoo.com/quote/PAXG","PAXG")</f>
        <v/>
      </c>
      <c r="B4385" t="inlineStr">
        <is>
          <t>Pine Tree Acquisition Corp.</t>
        </is>
      </c>
      <c r="C4385" t="inlineStr">
        <is>
          <t>Nasdaq</t>
        </is>
      </c>
      <c r="D4385" t="n">
        <v>2076561</v>
      </c>
      <c r="E4385" t="inlineStr">
        <is>
          <t>SEC</t>
        </is>
      </c>
    </row>
    <row r="4386">
      <c r="A4386" s="5">
        <f>HYPERLINK("https://finance.yahoo.com/quote/MRUWY","MRUWY")</f>
        <v/>
      </c>
      <c r="B4386" t="inlineStr">
        <is>
          <t>Maruwa Co., Ltd./ADR</t>
        </is>
      </c>
      <c r="C4386" t="inlineStr">
        <is>
          <t>OTC</t>
        </is>
      </c>
      <c r="D4386" t="n">
        <v>2093667</v>
      </c>
      <c r="E4386" t="inlineStr">
        <is>
          <t>SEC</t>
        </is>
      </c>
    </row>
    <row r="4387">
      <c r="A4387" s="5">
        <f>HYPERLINK("https://finance.yahoo.com/quote/KRMD","KRMD")</f>
        <v/>
      </c>
      <c r="B4387" t="inlineStr">
        <is>
          <t>KORU Medical Systems, Inc.</t>
        </is>
      </c>
      <c r="C4387" t="inlineStr">
        <is>
          <t>Nasdaq</t>
        </is>
      </c>
      <c r="D4387" t="n">
        <v>704440</v>
      </c>
      <c r="E4387" t="inlineStr">
        <is>
          <t>SEC</t>
        </is>
      </c>
    </row>
    <row r="4388">
      <c r="A4388" s="5">
        <f>HYPERLINK("https://finance.yahoo.com/quote/ZJYL","ZJYL")</f>
        <v/>
      </c>
      <c r="B4388" t="inlineStr">
        <is>
          <t>Jin Medical International Ltd.</t>
        </is>
      </c>
      <c r="C4388" t="inlineStr">
        <is>
          <t>Nasdaq</t>
        </is>
      </c>
      <c r="D4388" t="n">
        <v>1837821</v>
      </c>
      <c r="E4388" t="inlineStr">
        <is>
          <t>SEC</t>
        </is>
      </c>
    </row>
    <row r="4389">
      <c r="A4389" s="5">
        <f>HYPERLINK("https://finance.yahoo.com/quote/MHF","MHF")</f>
        <v/>
      </c>
      <c r="B4389" t="inlineStr">
        <is>
          <t>WESTERN ASSET MUNICIPAL HIGH INCOME FUND INC.</t>
        </is>
      </c>
      <c r="C4389" t="inlineStr">
        <is>
          <t>NYSE</t>
        </is>
      </c>
      <c r="D4389" t="n">
        <v>830487</v>
      </c>
      <c r="E4389" t="inlineStr">
        <is>
          <t>SEC</t>
        </is>
      </c>
    </row>
    <row r="4390">
      <c r="A4390" s="5">
        <f>HYPERLINK("https://finance.yahoo.com/quote/ZPTA","ZPTA")</f>
        <v/>
      </c>
      <c r="B4390" t="inlineStr">
        <is>
          <t>Zapata Quantum, Inc.</t>
        </is>
      </c>
      <c r="C4390" t="inlineStr">
        <is>
          <t>OTC</t>
        </is>
      </c>
      <c r="D4390" t="n">
        <v>1843714</v>
      </c>
      <c r="E4390" t="inlineStr">
        <is>
          <t>SEC</t>
        </is>
      </c>
    </row>
    <row r="4391">
      <c r="A4391" s="5">
        <f>HYPERLINK("https://finance.yahoo.com/quote/REA","REA")</f>
        <v/>
      </c>
      <c r="B4391" t="inlineStr">
        <is>
          <t>Rare Earths Americas, Inc.</t>
        </is>
      </c>
      <c r="C4391" t="inlineStr">
        <is>
          <t>NYSE</t>
        </is>
      </c>
      <c r="D4391" t="n">
        <v>2095743</v>
      </c>
      <c r="E4391" t="inlineStr">
        <is>
          <t>SEC</t>
        </is>
      </c>
    </row>
    <row r="4392">
      <c r="A4392" s="5">
        <f>HYPERLINK("https://finance.yahoo.com/quote/CLAR","CLAR")</f>
        <v/>
      </c>
      <c r="B4392" t="inlineStr">
        <is>
          <t>Clarus Corp</t>
        </is>
      </c>
      <c r="C4392" t="inlineStr">
        <is>
          <t>Nasdaq</t>
        </is>
      </c>
      <c r="D4392" t="n">
        <v>913277</v>
      </c>
      <c r="E4392" t="inlineStr">
        <is>
          <t>SEC</t>
        </is>
      </c>
    </row>
    <row r="4393">
      <c r="A4393" s="5">
        <f>HYPERLINK("https://finance.yahoo.com/quote/PIM","PIM")</f>
        <v/>
      </c>
      <c r="B4393" t="inlineStr">
        <is>
          <t>FRANKLIN MASTER INTERMEDIATE INCOME TRUST</t>
        </is>
      </c>
      <c r="C4393" t="inlineStr">
        <is>
          <t>NYSE</t>
        </is>
      </c>
      <c r="D4393" t="n">
        <v>830622</v>
      </c>
      <c r="E4393" t="inlineStr">
        <is>
          <t>SEC</t>
        </is>
      </c>
    </row>
    <row r="4394">
      <c r="A4394" s="5">
        <f>HYPERLINK("https://finance.yahoo.com/quote/GRX","GRX")</f>
        <v/>
      </c>
      <c r="B4394" t="inlineStr">
        <is>
          <t>Gabelli Healthcare &amp; WellnessRx Trust</t>
        </is>
      </c>
      <c r="C4394" t="inlineStr">
        <is>
          <t>NYSE</t>
        </is>
      </c>
      <c r="D4394" t="n">
        <v>1391437</v>
      </c>
      <c r="E4394" t="inlineStr">
        <is>
          <t>SEC</t>
        </is>
      </c>
    </row>
    <row r="4395">
      <c r="A4395" s="5">
        <f>HYPERLINK("https://finance.yahoo.com/quote/SCTSF","SCTSF")</f>
        <v/>
      </c>
      <c r="B4395" t="inlineStr">
        <is>
          <t>Scottie Resources Corp.</t>
        </is>
      </c>
      <c r="C4395" t="inlineStr">
        <is>
          <t>OTC</t>
        </is>
      </c>
      <c r="D4395" t="n">
        <v>1790538</v>
      </c>
      <c r="E4395" t="inlineStr">
        <is>
          <t>SEC</t>
        </is>
      </c>
    </row>
    <row r="4396">
      <c r="A4396" s="5">
        <f>HYPERLINK("https://finance.yahoo.com/quote/DOUG","DOUG")</f>
        <v/>
      </c>
      <c r="B4396" t="inlineStr">
        <is>
          <t>Douglas Elliman Inc.</t>
        </is>
      </c>
      <c r="C4396" t="inlineStr">
        <is>
          <t>NYSE</t>
        </is>
      </c>
      <c r="D4396" t="n">
        <v>1878897</v>
      </c>
      <c r="E4396" t="inlineStr">
        <is>
          <t>SEC</t>
        </is>
      </c>
    </row>
    <row r="4397">
      <c r="A4397" s="5">
        <f>HYPERLINK("https://finance.yahoo.com/quote/HTLM","HTLM")</f>
        <v/>
      </c>
      <c r="B4397" t="inlineStr">
        <is>
          <t>HomesToLife Ltd</t>
        </is>
      </c>
      <c r="C4397" t="inlineStr">
        <is>
          <t>Nasdaq</t>
        </is>
      </c>
      <c r="D4397" t="n">
        <v>2023153</v>
      </c>
      <c r="E4397" t="inlineStr">
        <is>
          <t>SEC</t>
        </is>
      </c>
    </row>
    <row r="4398">
      <c r="A4398" s="5">
        <f>HYPERLINK("https://finance.yahoo.com/quote/NSAI","NSAI")</f>
        <v/>
      </c>
      <c r="B4398" t="inlineStr">
        <is>
          <t>NorthStrive Acquisition Corp I.</t>
        </is>
      </c>
      <c r="C4398" t="inlineStr">
        <is>
          <t>Nasdaq</t>
        </is>
      </c>
      <c r="D4398" t="n">
        <v>2133719</v>
      </c>
      <c r="E4398" t="inlineStr">
        <is>
          <t>SEC</t>
        </is>
      </c>
    </row>
    <row r="4399">
      <c r="A4399" s="5">
        <f>HYPERLINK("https://finance.yahoo.com/quote/ABOS","ABOS")</f>
        <v/>
      </c>
      <c r="B4399" t="inlineStr">
        <is>
          <t>Acumen Pharmaceuticals, Inc.</t>
        </is>
      </c>
      <c r="C4399" t="inlineStr">
        <is>
          <t>Nasdaq</t>
        </is>
      </c>
      <c r="D4399" t="n">
        <v>1576885</v>
      </c>
      <c r="E4399" t="inlineStr">
        <is>
          <t>SEC</t>
        </is>
      </c>
    </row>
    <row r="4400">
      <c r="A4400" s="5">
        <f>HYPERLINK("https://finance.yahoo.com/quote/MSLE","MSLE")</f>
        <v/>
      </c>
      <c r="B4400" t="inlineStr">
        <is>
          <t>Satellos Bioscience Inc.</t>
        </is>
      </c>
      <c r="C4400" t="inlineStr">
        <is>
          <t>Nasdaq</t>
        </is>
      </c>
      <c r="D4400" t="n">
        <v>1421642</v>
      </c>
      <c r="E4400" t="inlineStr">
        <is>
          <t>SEC</t>
        </is>
      </c>
    </row>
    <row r="4401">
      <c r="A4401" s="5">
        <f>HYPERLINK("https://finance.yahoo.com/quote/NLOP","NLOP")</f>
        <v/>
      </c>
      <c r="B4401" t="inlineStr">
        <is>
          <t>Net Lease Office Properties</t>
        </is>
      </c>
      <c r="C4401" t="inlineStr">
        <is>
          <t>NYSE</t>
        </is>
      </c>
      <c r="D4401" t="n">
        <v>1952976</v>
      </c>
      <c r="E4401" t="inlineStr">
        <is>
          <t>SEC</t>
        </is>
      </c>
    </row>
    <row r="4402">
      <c r="A4402" s="5">
        <f>HYPERLINK("https://finance.yahoo.com/quote/DERM","DERM")</f>
        <v/>
      </c>
      <c r="B4402" t="inlineStr">
        <is>
          <t>Journey Medical Corp</t>
        </is>
      </c>
      <c r="C4402" t="inlineStr">
        <is>
          <t>Nasdaq</t>
        </is>
      </c>
      <c r="D4402" t="n">
        <v>1867066</v>
      </c>
      <c r="E4402" t="inlineStr">
        <is>
          <t>SEC</t>
        </is>
      </c>
    </row>
    <row r="4403">
      <c r="A4403" s="5">
        <f>HYPERLINK("https://finance.yahoo.com/quote/TLAC","TLAC")</f>
        <v/>
      </c>
      <c r="B4403" t="inlineStr">
        <is>
          <t>Three Lions Acquisition Corp.</t>
        </is>
      </c>
      <c r="C4403" t="inlineStr">
        <is>
          <t>Nasdaq</t>
        </is>
      </c>
      <c r="D4403" t="n">
        <v>2128462</v>
      </c>
      <c r="E4403" t="inlineStr">
        <is>
          <t>SEC</t>
        </is>
      </c>
    </row>
    <row r="4404">
      <c r="A4404" s="5">
        <f>HYPERLINK("https://finance.yahoo.com/quote/MXCT","MXCT")</f>
        <v/>
      </c>
      <c r="B4404" t="inlineStr">
        <is>
          <t>MAXCYTE, INC.</t>
        </is>
      </c>
      <c r="C4404" t="inlineStr">
        <is>
          <t>Nasdaq</t>
        </is>
      </c>
      <c r="D4404" t="n">
        <v>1287098</v>
      </c>
      <c r="E4404" t="inlineStr">
        <is>
          <t>SEC</t>
        </is>
      </c>
    </row>
    <row r="4405">
      <c r="A4405" s="5">
        <f>HYPERLINK("https://finance.yahoo.com/quote/BHAV","BHAV")</f>
        <v/>
      </c>
      <c r="B4405" t="inlineStr">
        <is>
          <t>BHAV Acquisition Corp</t>
        </is>
      </c>
      <c r="C4405" t="inlineStr">
        <is>
          <t>Nasdaq</t>
        </is>
      </c>
      <c r="D4405" t="n">
        <v>2097288</v>
      </c>
      <c r="E4405" t="inlineStr">
        <is>
          <t>SEC</t>
        </is>
      </c>
    </row>
    <row r="4406">
      <c r="A4406" s="5">
        <f>HYPERLINK("https://finance.yahoo.com/quote/VTN","VTN")</f>
        <v/>
      </c>
      <c r="B4406" t="inlineStr">
        <is>
          <t>Invesco Trust for Investment Grade New York Municipals</t>
        </is>
      </c>
      <c r="C4406" t="inlineStr">
        <is>
          <t>NYSE</t>
        </is>
      </c>
      <c r="D4406" t="n">
        <v>883265</v>
      </c>
      <c r="E4406" t="inlineStr">
        <is>
          <t>SEC</t>
        </is>
      </c>
    </row>
    <row r="4407">
      <c r="A4407" s="5">
        <f>HYPERLINK("https://finance.yahoo.com/quote/TMCR","TMCR")</f>
        <v/>
      </c>
      <c r="B4407" t="inlineStr">
        <is>
          <t>Metals Royalty Co Inc.</t>
        </is>
      </c>
      <c r="C4407" t="inlineStr">
        <is>
          <t>Nasdaq</t>
        </is>
      </c>
      <c r="D4407" t="n">
        <v>2087398</v>
      </c>
      <c r="E4407" t="inlineStr">
        <is>
          <t>SEC</t>
        </is>
      </c>
    </row>
    <row r="4408">
      <c r="A4408" s="5">
        <f>HYPERLINK("https://finance.yahoo.com/quote/LEE","LEE")</f>
        <v/>
      </c>
      <c r="B4408" t="inlineStr">
        <is>
          <t>LEE ENTERPRISES, Inc</t>
        </is>
      </c>
      <c r="C4408" t="inlineStr">
        <is>
          <t>Nasdaq</t>
        </is>
      </c>
      <c r="D4408" t="n">
        <v>58361</v>
      </c>
      <c r="E4408" t="inlineStr">
        <is>
          <t>SEC</t>
        </is>
      </c>
    </row>
    <row r="4409">
      <c r="A4409" s="5">
        <f>HYPERLINK("https://finance.yahoo.com/quote/DPRO","DPRO")</f>
        <v/>
      </c>
      <c r="B4409" t="inlineStr">
        <is>
          <t>Draganfly Inc.</t>
        </is>
      </c>
      <c r="C4409" t="inlineStr">
        <is>
          <t>Nasdaq</t>
        </is>
      </c>
      <c r="D4409" t="n">
        <v>1786286</v>
      </c>
      <c r="E4409" t="inlineStr">
        <is>
          <t>SEC</t>
        </is>
      </c>
    </row>
    <row r="4410">
      <c r="A4410" s="5">
        <f>HYPERLINK("https://finance.yahoo.com/quote/NUCL","NUCL")</f>
        <v/>
      </c>
      <c r="B4410" t="inlineStr">
        <is>
          <t>Eagle Nuclear Energy Corp.</t>
        </is>
      </c>
      <c r="C4410" t="inlineStr">
        <is>
          <t>Nasdaq</t>
        </is>
      </c>
      <c r="D4410" t="n">
        <v>2089283</v>
      </c>
      <c r="E4410" t="inlineStr">
        <is>
          <t>SEC</t>
        </is>
      </c>
    </row>
    <row r="4411">
      <c r="A4411" s="5">
        <f>HYPERLINK("https://finance.yahoo.com/quote/EARN","EARN")</f>
        <v/>
      </c>
      <c r="B4411" t="inlineStr">
        <is>
          <t>Ellington Credit Co</t>
        </is>
      </c>
      <c r="C4411" t="inlineStr">
        <is>
          <t>NYSE</t>
        </is>
      </c>
      <c r="D4411" t="n">
        <v>1560672</v>
      </c>
      <c r="E4411" t="inlineStr">
        <is>
          <t>SEC</t>
        </is>
      </c>
    </row>
    <row r="4412">
      <c r="A4412" s="5">
        <f>HYPERLINK("https://finance.yahoo.com/quote/ONEN","ONEN")</f>
        <v/>
      </c>
      <c r="B4412" t="inlineStr">
        <is>
          <t>ONE Nuclear Energy Inc.</t>
        </is>
      </c>
      <c r="C4412" t="inlineStr">
        <is>
          <t>Nasdaq</t>
        </is>
      </c>
      <c r="D4412" t="n">
        <v>1846416</v>
      </c>
      <c r="E4412" t="inlineStr">
        <is>
          <t>SEC</t>
        </is>
      </c>
    </row>
    <row r="4413">
      <c r="A4413" s="5">
        <f>HYPERLINK("https://finance.yahoo.com/quote/GLATF","GLATF")</f>
        <v/>
      </c>
      <c r="B4413" t="inlineStr">
        <is>
          <t>Global Atomic Corp</t>
        </is>
      </c>
      <c r="C4413" t="inlineStr">
        <is>
          <t>OTC</t>
        </is>
      </c>
      <c r="D4413" t="n">
        <v>1716410</v>
      </c>
      <c r="E4413" t="inlineStr">
        <is>
          <t>SEC</t>
        </is>
      </c>
    </row>
    <row r="4414">
      <c r="A4414" s="5">
        <f>HYPERLINK("https://finance.yahoo.com/quote/MOLN","MOLN")</f>
        <v/>
      </c>
      <c r="B4414" t="inlineStr">
        <is>
          <t>MOLECULAR PARTNERS AG</t>
        </is>
      </c>
      <c r="C4414" t="inlineStr">
        <is>
          <t>Nasdaq</t>
        </is>
      </c>
      <c r="D4414" t="n">
        <v>1745114</v>
      </c>
      <c r="E4414" t="inlineStr">
        <is>
          <t>SEC</t>
        </is>
      </c>
    </row>
    <row r="4415">
      <c r="A4415" s="5">
        <f>HYPERLINK("https://finance.yahoo.com/quote/AGXPF","AGXPF")</f>
        <v/>
      </c>
      <c r="B4415" t="inlineStr">
        <is>
          <t>SILVER X MINING CORP.</t>
        </is>
      </c>
      <c r="C4415" t="inlineStr">
        <is>
          <t>OTC</t>
        </is>
      </c>
      <c r="D4415" t="n">
        <v>1482436</v>
      </c>
      <c r="E4415" t="inlineStr">
        <is>
          <t>SEC</t>
        </is>
      </c>
    </row>
    <row r="4416">
      <c r="A4416" s="5">
        <f>HYPERLINK("https://finance.yahoo.com/quote/OXSQ","OXSQ")</f>
        <v/>
      </c>
      <c r="B4416" t="inlineStr">
        <is>
          <t>Oxford Square Capital Corp.</t>
        </is>
      </c>
      <c r="C4416" t="inlineStr">
        <is>
          <t>Nasdaq</t>
        </is>
      </c>
      <c r="D4416" t="n">
        <v>1259429</v>
      </c>
      <c r="E4416" t="inlineStr">
        <is>
          <t>SEC</t>
        </is>
      </c>
    </row>
    <row r="4417">
      <c r="A4417" s="5">
        <f>HYPERLINK("https://finance.yahoo.com/quote/VRXA","VRXA")</f>
        <v/>
      </c>
      <c r="B4417" t="inlineStr">
        <is>
          <t>Veraxa Biotech AG - Post de-SPAC</t>
        </is>
      </c>
      <c r="C4417" t="inlineStr">
        <is>
          <t>Nasdaq</t>
        </is>
      </c>
      <c r="D4417" t="n">
        <v>2079109</v>
      </c>
      <c r="E4417" t="inlineStr">
        <is>
          <t>SEC</t>
        </is>
      </c>
    </row>
    <row r="4418">
      <c r="A4418" s="5">
        <f>HYPERLINK("https://finance.yahoo.com/quote/EU","EU")</f>
        <v/>
      </c>
      <c r="B4418" t="inlineStr">
        <is>
          <t>enCore Energy Corp.</t>
        </is>
      </c>
      <c r="C4418" t="inlineStr">
        <is>
          <t>Nasdaq</t>
        </is>
      </c>
      <c r="D4418" t="n">
        <v>1500881</v>
      </c>
      <c r="E4418" t="inlineStr">
        <is>
          <t>SEC</t>
        </is>
      </c>
    </row>
    <row r="4419">
      <c r="A4419" s="5">
        <f>HYPERLINK("https://finance.yahoo.com/quote/CDXS","CDXS")</f>
        <v/>
      </c>
      <c r="B4419" t="inlineStr">
        <is>
          <t>CODEXIS, INC.</t>
        </is>
      </c>
      <c r="C4419" t="inlineStr">
        <is>
          <t>Nasdaq</t>
        </is>
      </c>
      <c r="D4419" t="n">
        <v>1200375</v>
      </c>
      <c r="E4419" t="inlineStr">
        <is>
          <t>SEC</t>
        </is>
      </c>
    </row>
    <row r="4420">
      <c r="A4420" s="5">
        <f>HYPERLINK("https://finance.yahoo.com/quote/FREVS","FREVS")</f>
        <v/>
      </c>
      <c r="B4420" t="inlineStr">
        <is>
          <t>FIRST REAL ESTATE INVESTMENT TRUST OF NEW JERSEY, INC.</t>
        </is>
      </c>
      <c r="C4420" t="inlineStr">
        <is>
          <t>OTC</t>
        </is>
      </c>
      <c r="D4420" t="n">
        <v>36840</v>
      </c>
      <c r="E4420" t="inlineStr">
        <is>
          <t>SEC</t>
        </is>
      </c>
    </row>
    <row r="4421">
      <c r="A4421" s="5">
        <f>HYPERLINK("https://finance.yahoo.com/quote/RFAM","RFAM")</f>
        <v/>
      </c>
      <c r="B4421" t="inlineStr">
        <is>
          <t>RF Acquisition Corp III</t>
        </is>
      </c>
      <c r="C4421" t="inlineStr">
        <is>
          <t>Nasdaq</t>
        </is>
      </c>
      <c r="D4421" t="n">
        <v>2091712</v>
      </c>
      <c r="E4421" t="inlineStr">
        <is>
          <t>SEC</t>
        </is>
      </c>
    </row>
    <row r="4422">
      <c r="A4422" s="5">
        <f>HYPERLINK("https://finance.yahoo.com/quote/SEVN","SEVN")</f>
        <v/>
      </c>
      <c r="B4422" t="inlineStr">
        <is>
          <t>Seven Hills Realty Trust</t>
        </is>
      </c>
      <c r="C4422" t="inlineStr">
        <is>
          <t>Nasdaq</t>
        </is>
      </c>
      <c r="D4422" t="n">
        <v>1452477</v>
      </c>
      <c r="E4422" t="inlineStr">
        <is>
          <t>SEC</t>
        </is>
      </c>
    </row>
    <row r="4423">
      <c r="A4423" s="5">
        <f>HYPERLINK("https://finance.yahoo.com/quote/RNA","RNA")</f>
        <v/>
      </c>
      <c r="B4423" t="inlineStr">
        <is>
          <t>Atrium Therapeutics, Inc.</t>
        </is>
      </c>
      <c r="C4423" t="inlineStr">
        <is>
          <t>Nasdaq</t>
        </is>
      </c>
      <c r="D4423" t="n">
        <v>2093101</v>
      </c>
      <c r="E4423" t="inlineStr">
        <is>
          <t>SEC</t>
        </is>
      </c>
    </row>
    <row r="4424">
      <c r="A4424" s="5">
        <f>HYPERLINK("https://finance.yahoo.com/quote/SLNH","SLNH")</f>
        <v/>
      </c>
      <c r="B4424" t="inlineStr">
        <is>
          <t>Soluna Holdings, Inc</t>
        </is>
      </c>
      <c r="C4424" t="inlineStr">
        <is>
          <t>Nasdaq</t>
        </is>
      </c>
      <c r="D4424" t="n">
        <v>64463</v>
      </c>
      <c r="E4424" t="inlineStr">
        <is>
          <t>SEC</t>
        </is>
      </c>
    </row>
    <row r="4425">
      <c r="A4425" s="5">
        <f>HYPERLINK("https://finance.yahoo.com/quote/SCPQ","SCPQ")</f>
        <v/>
      </c>
      <c r="B4425" t="inlineStr">
        <is>
          <t>Social Commerce Partners Corp</t>
        </is>
      </c>
      <c r="C4425" t="inlineStr">
        <is>
          <t>Nasdaq</t>
        </is>
      </c>
      <c r="D4425" t="n">
        <v>2083143</v>
      </c>
      <c r="E4425" t="inlineStr">
        <is>
          <t>SEC</t>
        </is>
      </c>
    </row>
    <row r="4426">
      <c r="A4426" s="5">
        <f>HYPERLINK("https://finance.yahoo.com/quote/NSTR","NSTR")</f>
        <v/>
      </c>
      <c r="B4426" t="inlineStr">
        <is>
          <t>NorthStar Earth &amp; Space Enterprises, Inc.</t>
        </is>
      </c>
      <c r="C4426" t="inlineStr">
        <is>
          <t>NYSE</t>
        </is>
      </c>
      <c r="D4426" t="n">
        <v>2080023</v>
      </c>
      <c r="E4426" t="inlineStr">
        <is>
          <t>SEC</t>
        </is>
      </c>
    </row>
    <row r="4427">
      <c r="A4427" s="5">
        <f>HYPERLINK("https://finance.yahoo.com/quote/UAC","UAC")</f>
        <v/>
      </c>
      <c r="B4427" t="inlineStr">
        <is>
          <t>United Acquisition Corp. I</t>
        </is>
      </c>
      <c r="C4427" t="inlineStr">
        <is>
          <t>NYSE</t>
        </is>
      </c>
      <c r="D4427" t="n">
        <v>2098669</v>
      </c>
      <c r="E4427" t="inlineStr">
        <is>
          <t>SEC</t>
        </is>
      </c>
    </row>
    <row r="4428">
      <c r="A4428" s="5">
        <f>HYPERLINK("https://finance.yahoo.com/quote/TARA","TARA")</f>
        <v/>
      </c>
      <c r="B4428" t="inlineStr">
        <is>
          <t>Protara Therapeutics, Inc.</t>
        </is>
      </c>
      <c r="C4428" t="inlineStr">
        <is>
          <t>Nasdaq</t>
        </is>
      </c>
      <c r="D4428" t="n">
        <v>1359931</v>
      </c>
      <c r="E4428" t="inlineStr">
        <is>
          <t>SEC</t>
        </is>
      </c>
    </row>
    <row r="4429">
      <c r="A4429" s="5">
        <f>HYPERLINK("https://finance.yahoo.com/quote/GNT","GNT")</f>
        <v/>
      </c>
      <c r="B4429" t="inlineStr">
        <is>
          <t>GAMCO Natural Resources, Gold &amp; Income Trust</t>
        </is>
      </c>
      <c r="C4429" t="inlineStr">
        <is>
          <t>NYSE</t>
        </is>
      </c>
      <c r="D4429" t="n">
        <v>1438893</v>
      </c>
      <c r="E4429" t="inlineStr">
        <is>
          <t>SEC</t>
        </is>
      </c>
    </row>
    <row r="4430">
      <c r="A4430" s="5">
        <f>HYPERLINK("https://finance.yahoo.com/quote/EDF","EDF")</f>
        <v/>
      </c>
      <c r="B4430" t="inlineStr">
        <is>
          <t>Virtus Stone Harbor Emerging Markets Income Fund</t>
        </is>
      </c>
      <c r="C4430" t="inlineStr">
        <is>
          <t>NYSE</t>
        </is>
      </c>
      <c r="D4430" t="n">
        <v>1501103</v>
      </c>
      <c r="E4430" t="inlineStr">
        <is>
          <t>SEC</t>
        </is>
      </c>
    </row>
    <row r="4431">
      <c r="A4431" s="5">
        <f>HYPERLINK("https://finance.yahoo.com/quote/MENS","MENS")</f>
        <v/>
      </c>
      <c r="B4431" t="inlineStr">
        <is>
          <t>Jyong Biotech Ltd.</t>
        </is>
      </c>
      <c r="C4431" t="inlineStr">
        <is>
          <t>Nasdaq</t>
        </is>
      </c>
      <c r="D4431" t="n">
        <v>1954488</v>
      </c>
      <c r="E4431" t="inlineStr">
        <is>
          <t>SEC</t>
        </is>
      </c>
    </row>
    <row r="4432">
      <c r="A4432" s="5">
        <f>HYPERLINK("https://finance.yahoo.com/quote/BMN","BMN")</f>
        <v/>
      </c>
      <c r="B4432" t="inlineStr">
        <is>
          <t>BlackRock 2037 Municipal Target Term Trust</t>
        </is>
      </c>
      <c r="C4432" t="inlineStr">
        <is>
          <t>NYSE</t>
        </is>
      </c>
      <c r="D4432" t="n">
        <v>1832871</v>
      </c>
      <c r="E4432" t="inlineStr">
        <is>
          <t>SEC</t>
        </is>
      </c>
    </row>
    <row r="4433">
      <c r="A4433" s="5">
        <f>HYPERLINK("https://finance.yahoo.com/quote/HURC","HURC")</f>
        <v/>
      </c>
      <c r="B4433" t="inlineStr">
        <is>
          <t>HURCO COMPANIES INC</t>
        </is>
      </c>
      <c r="C4433" t="inlineStr">
        <is>
          <t>Nasdaq</t>
        </is>
      </c>
      <c r="D4433" t="n">
        <v>315374</v>
      </c>
      <c r="E4433" t="inlineStr">
        <is>
          <t>SEC</t>
        </is>
      </c>
    </row>
    <row r="4434">
      <c r="A4434" s="5">
        <f>HYPERLINK("https://finance.yahoo.com/quote/RAIL","RAIL")</f>
        <v/>
      </c>
      <c r="B4434" t="inlineStr">
        <is>
          <t>FreightCar America, Inc.</t>
        </is>
      </c>
      <c r="C4434" t="inlineStr">
        <is>
          <t>Nasdaq</t>
        </is>
      </c>
      <c r="D4434" t="n">
        <v>1320854</v>
      </c>
      <c r="E4434" t="inlineStr">
        <is>
          <t>SEC</t>
        </is>
      </c>
    </row>
    <row r="4435">
      <c r="A4435" s="5">
        <f>HYPERLINK("https://finance.yahoo.com/quote/CCNB","CCNB")</f>
        <v/>
      </c>
      <c r="B4435" t="inlineStr">
        <is>
          <t>Coastal Carolina Bancshares, Inc.</t>
        </is>
      </c>
      <c r="C4435" t="inlineStr">
        <is>
          <t>OTC</t>
        </is>
      </c>
      <c r="D4435" t="n">
        <v>1437213</v>
      </c>
      <c r="E4435" t="inlineStr">
        <is>
          <t>SEC</t>
        </is>
      </c>
    </row>
    <row r="4436">
      <c r="A4436" s="5">
        <f>HYPERLINK("https://finance.yahoo.com/quote/FTHA","FTHA")</f>
        <v/>
      </c>
      <c r="B4436" t="inlineStr">
        <is>
          <t>Forefront Tech Holdings Acquisition Corp</t>
        </is>
      </c>
      <c r="C4436" t="inlineStr">
        <is>
          <t>Nasdaq</t>
        </is>
      </c>
      <c r="D4436" t="n">
        <v>2097986</v>
      </c>
      <c r="E4436" t="inlineStr">
        <is>
          <t>SEC</t>
        </is>
      </c>
    </row>
    <row r="4437">
      <c r="A4437" s="5">
        <f>HYPERLINK("https://finance.yahoo.com/quote/SRBK","SRBK")</f>
        <v/>
      </c>
      <c r="B4437" t="inlineStr">
        <is>
          <t>SR Bancorp, Inc.</t>
        </is>
      </c>
      <c r="C4437" t="inlineStr">
        <is>
          <t>Nasdaq</t>
        </is>
      </c>
      <c r="D4437" t="n">
        <v>1951276</v>
      </c>
      <c r="E4437" t="inlineStr">
        <is>
          <t>SEC</t>
        </is>
      </c>
    </row>
    <row r="4438">
      <c r="A4438" s="5">
        <f>HYPERLINK("https://finance.yahoo.com/quote/AGMRF","AGMRF")</f>
        <v/>
      </c>
      <c r="B4438" t="inlineStr">
        <is>
          <t>Silver Mountain Resources, Inc.</t>
        </is>
      </c>
      <c r="C4438" t="inlineStr">
        <is>
          <t>OTC</t>
        </is>
      </c>
      <c r="D4438" t="n">
        <v>2022059</v>
      </c>
      <c r="E4438" t="inlineStr">
        <is>
          <t>SEC</t>
        </is>
      </c>
    </row>
    <row r="4439">
      <c r="A4439" s="5">
        <f>HYPERLINK("https://finance.yahoo.com/quote/HURA","HURA")</f>
        <v/>
      </c>
      <c r="B4439" t="inlineStr">
        <is>
          <t>TuHURA Biosciences, Inc./NV</t>
        </is>
      </c>
      <c r="C4439" t="inlineStr">
        <is>
          <t>Nasdaq</t>
        </is>
      </c>
      <c r="D4439" t="n">
        <v>1498382</v>
      </c>
      <c r="E4439" t="inlineStr">
        <is>
          <t>SEC</t>
        </is>
      </c>
    </row>
    <row r="4440">
      <c r="A4440" s="5">
        <f>HYPERLINK("https://finance.yahoo.com/quote/PLUN","PLUN")</f>
        <v/>
      </c>
      <c r="B4440" t="inlineStr">
        <is>
          <t>Plutonian Acquisition Corp. II</t>
        </is>
      </c>
      <c r="C4440" t="inlineStr">
        <is>
          <t>NYSE</t>
        </is>
      </c>
      <c r="D4440" t="n">
        <v>2065661</v>
      </c>
      <c r="E4440" t="inlineStr">
        <is>
          <t>SEC</t>
        </is>
      </c>
    </row>
    <row r="4441">
      <c r="A4441" s="5">
        <f>HYPERLINK("https://finance.yahoo.com/quote/RILY","RILY")</f>
        <v/>
      </c>
      <c r="B4441" t="inlineStr">
        <is>
          <t>BRC Group Holdings, Inc.</t>
        </is>
      </c>
      <c r="C4441" t="inlineStr">
        <is>
          <t>Nasdaq</t>
        </is>
      </c>
      <c r="D4441" t="n">
        <v>1464790</v>
      </c>
      <c r="E4441" t="inlineStr">
        <is>
          <t>SEC</t>
        </is>
      </c>
    </row>
    <row r="4442">
      <c r="A4442" s="5">
        <f>HYPERLINK("https://finance.yahoo.com/quote/TCX","TCX")</f>
        <v/>
      </c>
      <c r="B4442" t="inlineStr">
        <is>
          <t>TUCOWS INC /PA/</t>
        </is>
      </c>
      <c r="C4442" t="inlineStr">
        <is>
          <t>Nasdaq</t>
        </is>
      </c>
      <c r="D4442" t="n">
        <v>909494</v>
      </c>
      <c r="E4442" t="inlineStr">
        <is>
          <t>SEC</t>
        </is>
      </c>
    </row>
    <row r="4443">
      <c r="A4443" s="5">
        <f>HYPERLINK("https://finance.yahoo.com/quote/CMPX","CMPX")</f>
        <v/>
      </c>
      <c r="B4443" t="inlineStr">
        <is>
          <t>Compass Therapeutics, Inc.</t>
        </is>
      </c>
      <c r="C4443" t="inlineStr">
        <is>
          <t>Nasdaq</t>
        </is>
      </c>
      <c r="D4443" t="n">
        <v>1738021</v>
      </c>
      <c r="E4443" t="inlineStr">
        <is>
          <t>SEC</t>
        </is>
      </c>
    </row>
    <row r="4444">
      <c r="A4444" s="5">
        <f>HYPERLINK("https://finance.yahoo.com/quote/ARMP","ARMP")</f>
        <v/>
      </c>
      <c r="B4444" t="inlineStr">
        <is>
          <t>Armata Pharmaceuticals, Inc.</t>
        </is>
      </c>
      <c r="C4444" t="inlineStr">
        <is>
          <t>NYSE</t>
        </is>
      </c>
      <c r="D4444" t="n">
        <v>921114</v>
      </c>
      <c r="E4444" t="inlineStr">
        <is>
          <t>SEC</t>
        </is>
      </c>
    </row>
    <row r="4445">
      <c r="A4445" s="5">
        <f>HYPERLINK("https://finance.yahoo.com/quote/TCXB","TCXB")</f>
        <v/>
      </c>
      <c r="B4445" t="inlineStr">
        <is>
          <t>TCGX Acquisition Corp. II</t>
        </is>
      </c>
      <c r="C4445" t="inlineStr">
        <is>
          <t>Nasdaq</t>
        </is>
      </c>
      <c r="D4445" t="n">
        <v>2149916</v>
      </c>
      <c r="E4445" t="inlineStr">
        <is>
          <t>SEC</t>
        </is>
      </c>
    </row>
    <row r="4446">
      <c r="A4446" s="5">
        <f>HYPERLINK("https://finance.yahoo.com/quote/HOFT","HOFT")</f>
        <v/>
      </c>
      <c r="B4446" t="inlineStr">
        <is>
          <t>HOOKER FURNISHINGS Corp</t>
        </is>
      </c>
      <c r="C4446" t="inlineStr">
        <is>
          <t>Nasdaq</t>
        </is>
      </c>
      <c r="D4446" t="n">
        <v>1077688</v>
      </c>
      <c r="E4446" t="inlineStr">
        <is>
          <t>SEC</t>
        </is>
      </c>
    </row>
    <row r="4447">
      <c r="A4447" s="5">
        <f>HYPERLINK("https://finance.yahoo.com/quote/QTRX","QTRX")</f>
        <v/>
      </c>
      <c r="B4447" t="inlineStr">
        <is>
          <t>Quanterix Corp</t>
        </is>
      </c>
      <c r="C4447" t="inlineStr">
        <is>
          <t>Nasdaq</t>
        </is>
      </c>
      <c r="D4447" t="n">
        <v>1503274</v>
      </c>
      <c r="E4447" t="inlineStr">
        <is>
          <t>SEC</t>
        </is>
      </c>
    </row>
    <row r="4448">
      <c r="A4448" s="5">
        <f>HYPERLINK("https://finance.yahoo.com/quote/FISN","FISN")</f>
        <v/>
      </c>
      <c r="B4448" t="inlineStr">
        <is>
          <t>DEEP FISSION, INC.</t>
        </is>
      </c>
      <c r="C4448" t="inlineStr">
        <is>
          <t>Nasdaq</t>
        </is>
      </c>
      <c r="D4448" t="n">
        <v>1918102</v>
      </c>
      <c r="E4448" t="inlineStr">
        <is>
          <t>SEC</t>
        </is>
      </c>
    </row>
    <row r="4449">
      <c r="A4449" s="5">
        <f>HYPERLINK("https://finance.yahoo.com/quote/CRDL","CRDL")</f>
        <v/>
      </c>
      <c r="B4449" t="inlineStr">
        <is>
          <t>Cardiol Therapeutics Inc.</t>
        </is>
      </c>
      <c r="C4449" t="inlineStr">
        <is>
          <t>Nasdaq</t>
        </is>
      </c>
      <c r="D4449" t="n">
        <v>1702123</v>
      </c>
      <c r="E4449" t="inlineStr">
        <is>
          <t>SEC</t>
        </is>
      </c>
    </row>
    <row r="4450">
      <c r="A4450" s="5">
        <f>HYPERLINK("https://finance.yahoo.com/quote/LODE","LODE")</f>
        <v/>
      </c>
      <c r="B4450" t="inlineStr">
        <is>
          <t>Comstock Inc.</t>
        </is>
      </c>
      <c r="C4450" t="inlineStr">
        <is>
          <t>NYSE</t>
        </is>
      </c>
      <c r="D4450" t="n">
        <v>1120970</v>
      </c>
      <c r="E4450" t="inlineStr">
        <is>
          <t>SEC</t>
        </is>
      </c>
    </row>
    <row r="4451">
      <c r="A4451" s="5">
        <f>HYPERLINK("https://finance.yahoo.com/quote/WW","WW")</f>
        <v/>
      </c>
      <c r="B4451" t="inlineStr">
        <is>
          <t>WW INTERNATIONAL, INC.</t>
        </is>
      </c>
      <c r="C4451" t="inlineStr">
        <is>
          <t>Nasdaq</t>
        </is>
      </c>
      <c r="D4451" t="n">
        <v>105319</v>
      </c>
      <c r="E4451" t="inlineStr">
        <is>
          <t>SEC</t>
        </is>
      </c>
    </row>
    <row r="4452">
      <c r="A4452" s="5">
        <f>HYPERLINK("https://finance.yahoo.com/quote/CUE","CUE")</f>
        <v/>
      </c>
      <c r="B4452" t="inlineStr">
        <is>
          <t>Cue Biopharma, Inc.</t>
        </is>
      </c>
      <c r="C4452" t="inlineStr">
        <is>
          <t>Nasdaq</t>
        </is>
      </c>
      <c r="D4452" t="n">
        <v>1645460</v>
      </c>
      <c r="E4452" t="inlineStr">
        <is>
          <t>SEC</t>
        </is>
      </c>
    </row>
    <row r="4453">
      <c r="A4453" s="5">
        <f>HYPERLINK("https://finance.yahoo.com/quote/MSD","MSD")</f>
        <v/>
      </c>
      <c r="B4453" t="inlineStr">
        <is>
          <t>MORGAN STANLEY EMERGING MARKETS DEBT FUND INC</t>
        </is>
      </c>
      <c r="C4453" t="inlineStr">
        <is>
          <t>NYSE</t>
        </is>
      </c>
      <c r="D4453" t="n">
        <v>904112</v>
      </c>
      <c r="E4453" t="inlineStr">
        <is>
          <t>SEC</t>
        </is>
      </c>
    </row>
    <row r="4454">
      <c r="A4454" s="5">
        <f>HYPERLINK("https://finance.yahoo.com/quote/HEQ","HEQ")</f>
        <v/>
      </c>
      <c r="B4454" t="inlineStr">
        <is>
          <t>John Hancock Diversified Income Fund</t>
        </is>
      </c>
      <c r="C4454" t="inlineStr">
        <is>
          <t>NYSE</t>
        </is>
      </c>
      <c r="D4454" t="n">
        <v>1496749</v>
      </c>
      <c r="E4454" t="inlineStr">
        <is>
          <t>SEC</t>
        </is>
      </c>
    </row>
    <row r="4455">
      <c r="A4455" s="5">
        <f>HYPERLINK("https://finance.yahoo.com/quote/NAKA","NAKA")</f>
        <v/>
      </c>
      <c r="B4455" t="inlineStr">
        <is>
          <t>Nakamoto Inc.</t>
        </is>
      </c>
      <c r="C4455" t="inlineStr">
        <is>
          <t>Nasdaq</t>
        </is>
      </c>
      <c r="D4455" t="n">
        <v>1946573</v>
      </c>
      <c r="E4455" t="inlineStr">
        <is>
          <t>SEC</t>
        </is>
      </c>
    </row>
    <row r="4456">
      <c r="A4456" s="5">
        <f>HYPERLINK("https://finance.yahoo.com/quote/PLG","PLG")</f>
        <v/>
      </c>
      <c r="B4456" t="inlineStr">
        <is>
          <t>PLATINUM GROUP METALS LTD</t>
        </is>
      </c>
      <c r="C4456" t="inlineStr">
        <is>
          <t>NYSE</t>
        </is>
      </c>
      <c r="D4456" t="n">
        <v>1095052</v>
      </c>
      <c r="E4456" t="inlineStr">
        <is>
          <t>SEC</t>
        </is>
      </c>
    </row>
    <row r="4457">
      <c r="A4457" s="5">
        <f>HYPERLINK("https://finance.yahoo.com/quote/BOTJ","BOTJ")</f>
        <v/>
      </c>
      <c r="B4457" t="inlineStr">
        <is>
          <t>BANK OF THE JAMES FINANCIAL GROUP INC</t>
        </is>
      </c>
      <c r="C4457" t="inlineStr">
        <is>
          <t>Nasdaq</t>
        </is>
      </c>
      <c r="D4457" t="n">
        <v>1275101</v>
      </c>
      <c r="E4457" t="inlineStr">
        <is>
          <t>SEC</t>
        </is>
      </c>
    </row>
    <row r="4458">
      <c r="A4458" s="5">
        <f>HYPERLINK("https://finance.yahoo.com/quote/ALMU","ALMU")</f>
        <v/>
      </c>
      <c r="B4458" t="inlineStr">
        <is>
          <t>Aeluma, Inc.</t>
        </is>
      </c>
      <c r="C4458" t="inlineStr">
        <is>
          <t>Nasdaq</t>
        </is>
      </c>
      <c r="D4458" t="n">
        <v>1828805</v>
      </c>
      <c r="E4458" t="inlineStr">
        <is>
          <t>SEC</t>
        </is>
      </c>
    </row>
    <row r="4459">
      <c r="A4459" s="5">
        <f>HYPERLINK("https://finance.yahoo.com/quote/SPE","SPE")</f>
        <v/>
      </c>
      <c r="B4459" t="inlineStr">
        <is>
          <t>SPECIAL OPPORTUNITIES FUND, INC.</t>
        </is>
      </c>
      <c r="C4459" t="inlineStr">
        <is>
          <t>NYSE</t>
        </is>
      </c>
      <c r="D4459" t="n">
        <v>897802</v>
      </c>
      <c r="E4459" t="inlineStr">
        <is>
          <t>SEC</t>
        </is>
      </c>
    </row>
    <row r="4460">
      <c r="A4460" s="5">
        <f>HYPERLINK("https://finance.yahoo.com/quote/OGI","OGI")</f>
        <v/>
      </c>
      <c r="B4460" t="inlineStr">
        <is>
          <t>ORGANIGRAM GLOBAL INC.</t>
        </is>
      </c>
      <c r="C4460" t="inlineStr">
        <is>
          <t>Nasdaq</t>
        </is>
      </c>
      <c r="D4460" t="n">
        <v>1620737</v>
      </c>
      <c r="E4460" t="inlineStr">
        <is>
          <t>SEC</t>
        </is>
      </c>
    </row>
    <row r="4461">
      <c r="A4461" s="5">
        <f>HYPERLINK("https://finance.yahoo.com/quote/STLRF","STLRF")</f>
        <v/>
      </c>
      <c r="B4461" t="inlineStr">
        <is>
          <t>STLLR Gold Inc.</t>
        </is>
      </c>
      <c r="C4461" t="inlineStr">
        <is>
          <t>OTC</t>
        </is>
      </c>
      <c r="D4461" t="n">
        <v>1979408</v>
      </c>
      <c r="E4461" t="inlineStr">
        <is>
          <t>SEC</t>
        </is>
      </c>
    </row>
    <row r="4462">
      <c r="A4462" s="5">
        <f>HYPERLINK("https://finance.yahoo.com/quote/PFD","PFD")</f>
        <v/>
      </c>
      <c r="B4462" t="inlineStr">
        <is>
          <t>FLAHERTY &amp; CRUMRINE PREFERRED &amp; INCOME FUND INC</t>
        </is>
      </c>
      <c r="C4462" t="inlineStr">
        <is>
          <t>NYSE</t>
        </is>
      </c>
      <c r="D4462" t="n">
        <v>868578</v>
      </c>
      <c r="E4462" t="inlineStr">
        <is>
          <t>SEC</t>
        </is>
      </c>
    </row>
    <row r="4463">
      <c r="A4463" s="5">
        <f>HYPERLINK("https://finance.yahoo.com/quote/ANTX","ANTX")</f>
        <v/>
      </c>
      <c r="B4463" t="inlineStr">
        <is>
          <t>AN2 Therapeutics, Inc.</t>
        </is>
      </c>
      <c r="C4463" t="inlineStr">
        <is>
          <t>Nasdaq</t>
        </is>
      </c>
      <c r="D4463" t="n">
        <v>1880438</v>
      </c>
      <c r="E4463" t="inlineStr">
        <is>
          <t>SEC</t>
        </is>
      </c>
    </row>
    <row r="4464">
      <c r="A4464" s="5">
        <f>HYPERLINK("https://finance.yahoo.com/quote/RTSN","RTSN")</f>
        <v/>
      </c>
      <c r="B4464" t="inlineStr">
        <is>
          <t>Retension Pharmaceuticals, Inc.</t>
        </is>
      </c>
      <c r="C4464" t="inlineStr">
        <is>
          <t>Nasdaq</t>
        </is>
      </c>
      <c r="D4464" t="n">
        <v>2002988</v>
      </c>
      <c r="E4464" t="inlineStr">
        <is>
          <t>SEC</t>
        </is>
      </c>
    </row>
    <row r="4465">
      <c r="A4465" s="5">
        <f>HYPERLINK("https://finance.yahoo.com/quote/TNYZF","TNYZF")</f>
        <v/>
      </c>
      <c r="B4465" t="inlineStr">
        <is>
          <t>Tiny Ltd.</t>
        </is>
      </c>
      <c r="C4465" t="inlineStr">
        <is>
          <t>OTC</t>
        </is>
      </c>
      <c r="D4465" t="n">
        <v>1836775</v>
      </c>
      <c r="E4465" t="inlineStr">
        <is>
          <t>SEC</t>
        </is>
      </c>
    </row>
    <row r="4466">
      <c r="A4466" s="5">
        <f>HYPERLINK("https://finance.yahoo.com/quote/MRDN","MRDN")</f>
        <v/>
      </c>
      <c r="B4466" t="inlineStr">
        <is>
          <t>Meridian Holdings Inc./NV</t>
        </is>
      </c>
      <c r="C4466" t="inlineStr">
        <is>
          <t>Nasdaq</t>
        </is>
      </c>
      <c r="D4466" t="n">
        <v>1437925</v>
      </c>
      <c r="E4466" t="inlineStr">
        <is>
          <t>SEC</t>
        </is>
      </c>
    </row>
    <row r="4467">
      <c r="A4467" s="5">
        <f>HYPERLINK("https://finance.yahoo.com/quote/LGCY","LGCY")</f>
        <v/>
      </c>
      <c r="B4467" t="inlineStr">
        <is>
          <t>Legacy Education Inc.</t>
        </is>
      </c>
      <c r="C4467" t="inlineStr">
        <is>
          <t>NYSE</t>
        </is>
      </c>
      <c r="D4467" t="n">
        <v>1836754</v>
      </c>
      <c r="E4467" t="inlineStr">
        <is>
          <t>SEC</t>
        </is>
      </c>
    </row>
    <row r="4468">
      <c r="A4468" s="5">
        <f>HYPERLINK("https://finance.yahoo.com/quote/HYNE","HYNE")</f>
        <v/>
      </c>
      <c r="B4468" t="inlineStr">
        <is>
          <t>Hoyne Bancorp, Inc.</t>
        </is>
      </c>
      <c r="C4468" t="inlineStr">
        <is>
          <t>Nasdaq</t>
        </is>
      </c>
      <c r="D4468" t="n">
        <v>2073153</v>
      </c>
      <c r="E4468" t="inlineStr">
        <is>
          <t>SEC</t>
        </is>
      </c>
    </row>
    <row r="4469">
      <c r="A4469" s="5">
        <f>HYPERLINK("https://finance.yahoo.com/quote/CLPR","CLPR")</f>
        <v/>
      </c>
      <c r="B4469" t="inlineStr">
        <is>
          <t>Clipper Realty Inc.</t>
        </is>
      </c>
      <c r="C4469" t="inlineStr">
        <is>
          <t>NYSE</t>
        </is>
      </c>
      <c r="D4469" t="n">
        <v>1649096</v>
      </c>
      <c r="E4469" t="inlineStr">
        <is>
          <t>SEC</t>
        </is>
      </c>
    </row>
    <row r="4470">
      <c r="A4470" s="5">
        <f>HYPERLINK("https://finance.yahoo.com/quote/BGX","BGX")</f>
        <v/>
      </c>
      <c r="B4470" t="inlineStr">
        <is>
          <t>Blackstone Long-Short Credit Income Fund</t>
        </is>
      </c>
      <c r="C4470" t="inlineStr">
        <is>
          <t>NYSE</t>
        </is>
      </c>
      <c r="D4470" t="n">
        <v>1504234</v>
      </c>
      <c r="E4470" t="inlineStr">
        <is>
          <t>SEC</t>
        </is>
      </c>
    </row>
    <row r="4471">
      <c r="A4471" s="5">
        <f>HYPERLINK("https://finance.yahoo.com/quote/TRAK","TRAK")</f>
        <v/>
      </c>
      <c r="B4471" t="inlineStr">
        <is>
          <t>ReposiTrak, Inc.</t>
        </is>
      </c>
      <c r="C4471" t="inlineStr">
        <is>
          <t>NYSE</t>
        </is>
      </c>
      <c r="D4471" t="n">
        <v>50471</v>
      </c>
      <c r="E4471" t="inlineStr">
        <is>
          <t>SEC</t>
        </is>
      </c>
    </row>
    <row r="4472">
      <c r="A4472" s="5">
        <f>HYPERLINK("https://finance.yahoo.com/quote/AIAI","AIAI")</f>
        <v/>
      </c>
      <c r="B4472" t="inlineStr">
        <is>
          <t>AIAI Holdings Corp</t>
        </is>
      </c>
      <c r="C4472" t="inlineStr">
        <is>
          <t>Nasdaq</t>
        </is>
      </c>
      <c r="D4472" t="n">
        <v>2096362</v>
      </c>
      <c r="E4472" t="inlineStr">
        <is>
          <t>SEC</t>
        </is>
      </c>
    </row>
    <row r="4473">
      <c r="A4473" s="5">
        <f>HYPERLINK("https://finance.yahoo.com/quote/AURFF","AURFF")</f>
        <v/>
      </c>
      <c r="B4473" t="inlineStr">
        <is>
          <t>Tincorp Metals Inc.</t>
        </is>
      </c>
      <c r="C4473" t="inlineStr">
        <is>
          <t>OTC</t>
        </is>
      </c>
      <c r="D4473" t="n">
        <v>1864597</v>
      </c>
      <c r="E4473" t="inlineStr">
        <is>
          <t>SEC</t>
        </is>
      </c>
    </row>
    <row r="4474">
      <c r="A4474" s="5">
        <f>HYPERLINK("https://finance.yahoo.com/quote/MED","MED")</f>
        <v/>
      </c>
      <c r="B4474" t="inlineStr">
        <is>
          <t>MEDIFAST INC</t>
        </is>
      </c>
      <c r="C4474" t="inlineStr">
        <is>
          <t>NYSE</t>
        </is>
      </c>
      <c r="D4474" t="n">
        <v>910329</v>
      </c>
      <c r="E4474" t="inlineStr">
        <is>
          <t>SEC</t>
        </is>
      </c>
    </row>
    <row r="4475">
      <c r="A4475" s="5">
        <f>HYPERLINK("https://finance.yahoo.com/quote/CAAS","CAAS")</f>
        <v/>
      </c>
      <c r="B4475" t="inlineStr">
        <is>
          <t>China Automotive Systems, Inc.</t>
        </is>
      </c>
      <c r="C4475" t="inlineStr">
        <is>
          <t>Nasdaq</t>
        </is>
      </c>
      <c r="D4475" t="n">
        <v>2037400</v>
      </c>
      <c r="E4475" t="inlineStr">
        <is>
          <t>SEC</t>
        </is>
      </c>
    </row>
    <row r="4476">
      <c r="A4476" s="5">
        <f>HYPERLINK("https://finance.yahoo.com/quote/TSKFF","TSKFF")</f>
        <v/>
      </c>
      <c r="B4476" t="inlineStr">
        <is>
          <t>Talisker Resources Ltd.</t>
        </is>
      </c>
      <c r="C4476" t="inlineStr">
        <is>
          <t>OTC</t>
        </is>
      </c>
      <c r="D4476" t="n">
        <v>1803800</v>
      </c>
      <c r="E4476" t="inlineStr">
        <is>
          <t>SEC</t>
        </is>
      </c>
    </row>
    <row r="4477">
      <c r="A4477" s="5">
        <f>HYPERLINK("https://finance.yahoo.com/quote/TBXXF","TBXXF")</f>
        <v/>
      </c>
      <c r="B4477" t="inlineStr">
        <is>
          <t>King Copper Discovery Corp.</t>
        </is>
      </c>
      <c r="C4477" t="inlineStr">
        <is>
          <t>OTC</t>
        </is>
      </c>
      <c r="D4477" t="n">
        <v>1785476</v>
      </c>
      <c r="E4477" t="inlineStr">
        <is>
          <t>SEC</t>
        </is>
      </c>
    </row>
    <row r="4478">
      <c r="A4478" s="5">
        <f>HYPERLINK("https://finance.yahoo.com/quote/FTCO","FTCO")</f>
        <v/>
      </c>
      <c r="B4478" t="inlineStr">
        <is>
          <t>Fortitude Gold Corp</t>
        </is>
      </c>
      <c r="C4478" t="inlineStr">
        <is>
          <t>OTC</t>
        </is>
      </c>
      <c r="D4478" t="n">
        <v>1828377</v>
      </c>
      <c r="E4478" t="inlineStr">
        <is>
          <t>SEC</t>
        </is>
      </c>
    </row>
    <row r="4479">
      <c r="A4479" s="5">
        <f>HYPERLINK("https://finance.yahoo.com/quote/BNR","BNR")</f>
        <v/>
      </c>
      <c r="B4479" t="inlineStr">
        <is>
          <t>Burning Rock Biotech Ltd</t>
        </is>
      </c>
      <c r="C4479" t="inlineStr">
        <is>
          <t>Nasdaq</t>
        </is>
      </c>
      <c r="D4479" t="n">
        <v>1792267</v>
      </c>
      <c r="E4479" t="inlineStr">
        <is>
          <t>SEC</t>
        </is>
      </c>
    </row>
    <row r="4480">
      <c r="A4480" s="5">
        <f>HYPERLINK("https://finance.yahoo.com/quote/SPRB","SPRB")</f>
        <v/>
      </c>
      <c r="B4480" t="inlineStr">
        <is>
          <t>SPRUCE BIOSCIENCES, INC.</t>
        </is>
      </c>
      <c r="C4480" t="inlineStr">
        <is>
          <t>Nasdaq</t>
        </is>
      </c>
      <c r="D4480" t="n">
        <v>1683553</v>
      </c>
      <c r="E4480" t="inlineStr">
        <is>
          <t>SEC</t>
        </is>
      </c>
    </row>
    <row r="4481">
      <c r="A4481" s="5">
        <f>HYPERLINK("https://finance.yahoo.com/quote/MPA","MPA")</f>
        <v/>
      </c>
      <c r="B4481" t="inlineStr">
        <is>
          <t>BLACKROCK MUNIYIELD PENNSYLVANIA QUALITY FUND</t>
        </is>
      </c>
      <c r="C4481" t="inlineStr">
        <is>
          <t>NYSE</t>
        </is>
      </c>
      <c r="D4481" t="n">
        <v>891038</v>
      </c>
      <c r="E4481" t="inlineStr">
        <is>
          <t>SEC</t>
        </is>
      </c>
    </row>
    <row r="4482">
      <c r="A4482" s="5">
        <f>HYPERLINK("https://finance.yahoo.com/quote/GLND","GLND")</f>
        <v/>
      </c>
      <c r="B4482" t="inlineStr">
        <is>
          <t>Greenland Energy Co</t>
        </is>
      </c>
      <c r="C4482" t="inlineStr">
        <is>
          <t>Nasdaq</t>
        </is>
      </c>
      <c r="D4482" t="n">
        <v>2093507</v>
      </c>
      <c r="E4482" t="inlineStr">
        <is>
          <t>SEC</t>
        </is>
      </c>
    </row>
    <row r="4483">
      <c r="A4483" s="5">
        <f>HYPERLINK("https://finance.yahoo.com/quote/TLYS","TLYS")</f>
        <v/>
      </c>
      <c r="B4483" t="inlineStr">
        <is>
          <t>TILLY'S, INC.</t>
        </is>
      </c>
      <c r="C4483" t="inlineStr">
        <is>
          <t>NYSE</t>
        </is>
      </c>
      <c r="D4483" t="n">
        <v>1524025</v>
      </c>
      <c r="E4483" t="inlineStr">
        <is>
          <t>SEC</t>
        </is>
      </c>
    </row>
    <row r="4484">
      <c r="A4484" s="5">
        <f>HYPERLINK("https://finance.yahoo.com/quote/FTZFF","FTZFF")</f>
        <v/>
      </c>
      <c r="B4484" t="inlineStr">
        <is>
          <t>Fitzroy Minerals Inc.</t>
        </is>
      </c>
      <c r="C4484" t="inlineStr">
        <is>
          <t>OTC</t>
        </is>
      </c>
      <c r="D4484" t="n">
        <v>1819258</v>
      </c>
      <c r="E4484" t="inlineStr">
        <is>
          <t>SEC</t>
        </is>
      </c>
    </row>
    <row r="4485">
      <c r="A4485" s="5">
        <f>HYPERLINK("https://finance.yahoo.com/quote/PLBY","PLBY")</f>
        <v/>
      </c>
      <c r="B4485" t="inlineStr">
        <is>
          <t>Playboy, Inc.</t>
        </is>
      </c>
      <c r="C4485" t="inlineStr">
        <is>
          <t>Nasdaq</t>
        </is>
      </c>
      <c r="D4485" t="n">
        <v>1803914</v>
      </c>
      <c r="E4485" t="inlineStr">
        <is>
          <t>SEC</t>
        </is>
      </c>
    </row>
    <row r="4486">
      <c r="A4486" s="5">
        <f>HYPERLINK("https://finance.yahoo.com/quote/COOK","COOK")</f>
        <v/>
      </c>
      <c r="B4486" t="inlineStr">
        <is>
          <t>Traeger, Inc.</t>
        </is>
      </c>
      <c r="C4486" t="inlineStr">
        <is>
          <t>NYSE</t>
        </is>
      </c>
      <c r="D4486" t="n">
        <v>1857853</v>
      </c>
      <c r="E4486" t="inlineStr">
        <is>
          <t>SEC</t>
        </is>
      </c>
    </row>
    <row r="4487">
      <c r="A4487" s="5">
        <f>HYPERLINK("https://finance.yahoo.com/quote/TUSK","TUSK")</f>
        <v/>
      </c>
      <c r="B4487" t="inlineStr">
        <is>
          <t>MAMMOTH ENERGY SERVICES, INC.</t>
        </is>
      </c>
      <c r="C4487" t="inlineStr">
        <is>
          <t>Nasdaq</t>
        </is>
      </c>
      <c r="D4487" t="n">
        <v>1679268</v>
      </c>
      <c r="E4487" t="inlineStr">
        <is>
          <t>SEC</t>
        </is>
      </c>
    </row>
    <row r="4488">
      <c r="A4488" s="5">
        <f>HYPERLINK("https://finance.yahoo.com/quote/NEOV","NEOV")</f>
        <v/>
      </c>
      <c r="B4488" t="inlineStr">
        <is>
          <t>NeoVolta Inc.</t>
        </is>
      </c>
      <c r="C4488" t="inlineStr">
        <is>
          <t>Nasdaq</t>
        </is>
      </c>
      <c r="D4488" t="n">
        <v>1748137</v>
      </c>
      <c r="E4488" t="inlineStr">
        <is>
          <t>SEC</t>
        </is>
      </c>
    </row>
    <row r="4489">
      <c r="A4489" s="5">
        <f>HYPERLINK("https://finance.yahoo.com/quote/VECA","VECA")</f>
        <v/>
      </c>
      <c r="B4489" t="inlineStr">
        <is>
          <t>Vernal Capital Acquisition Corp.</t>
        </is>
      </c>
      <c r="C4489" t="inlineStr">
        <is>
          <t>NYSE</t>
        </is>
      </c>
      <c r="D4489" t="n">
        <v>2081690</v>
      </c>
      <c r="E4489" t="inlineStr">
        <is>
          <t>SEC</t>
        </is>
      </c>
    </row>
    <row r="4490">
      <c r="A4490" s="5">
        <f>HYPERLINK("https://finance.yahoo.com/quote/FXAC","FXAC")</f>
        <v/>
      </c>
      <c r="B4490" t="inlineStr">
        <is>
          <t>FortuneX Acquisition Corp</t>
        </is>
      </c>
      <c r="C4490" t="inlineStr">
        <is>
          <t>Nasdaq</t>
        </is>
      </c>
      <c r="D4490" t="n">
        <v>2121703</v>
      </c>
      <c r="E4490" t="inlineStr">
        <is>
          <t>SEC</t>
        </is>
      </c>
    </row>
    <row r="4491">
      <c r="A4491" s="5">
        <f>HYPERLINK("https://finance.yahoo.com/quote/CPIX","CPIX")</f>
        <v/>
      </c>
      <c r="B4491" t="inlineStr">
        <is>
          <t>CUMBERLAND PHARMACEUTICALS INC</t>
        </is>
      </c>
      <c r="C4491" t="inlineStr">
        <is>
          <t>Nasdaq</t>
        </is>
      </c>
      <c r="D4491" t="n">
        <v>1087294</v>
      </c>
      <c r="E4491" t="inlineStr">
        <is>
          <t>SEC</t>
        </is>
      </c>
    </row>
    <row r="4492">
      <c r="A4492" s="5">
        <f>HYPERLINK("https://finance.yahoo.com/quote/EP","EP")</f>
        <v/>
      </c>
      <c r="B4492" t="inlineStr">
        <is>
          <t>EMPIRE PETROLEUM CORP</t>
        </is>
      </c>
      <c r="C4492" t="inlineStr">
        <is>
          <t>NYSE</t>
        </is>
      </c>
      <c r="D4492" t="n">
        <v>887396</v>
      </c>
      <c r="E4492" t="inlineStr">
        <is>
          <t>SEC</t>
        </is>
      </c>
    </row>
    <row r="4493">
      <c r="A4493" s="5">
        <f>HYPERLINK("https://finance.yahoo.com/quote/FWAC","FWAC")</f>
        <v/>
      </c>
      <c r="B4493" t="inlineStr">
        <is>
          <t>Futurewave Acquisition Corp</t>
        </is>
      </c>
      <c r="C4493" t="inlineStr">
        <is>
          <t>Nasdaq</t>
        </is>
      </c>
      <c r="D4493" t="n">
        <v>2116105</v>
      </c>
      <c r="E4493" t="inlineStr">
        <is>
          <t>SEC</t>
        </is>
      </c>
    </row>
    <row r="4494">
      <c r="A4494" s="5">
        <f>HYPERLINK("https://finance.yahoo.com/quote/EWAV","EWAV")</f>
        <v/>
      </c>
      <c r="B4494" t="inlineStr">
        <is>
          <t>East West Ave Acquisition Corp.</t>
        </is>
      </c>
      <c r="C4494" t="inlineStr">
        <is>
          <t>Nasdaq</t>
        </is>
      </c>
      <c r="D4494" t="n">
        <v>2100704</v>
      </c>
      <c r="E4494" t="inlineStr">
        <is>
          <t>SEC</t>
        </is>
      </c>
    </row>
    <row r="4495">
      <c r="A4495" s="5">
        <f>HYPERLINK("https://finance.yahoo.com/quote/DVLT","DVLT")</f>
        <v/>
      </c>
      <c r="B4495" t="inlineStr">
        <is>
          <t>Datavault AI Inc.</t>
        </is>
      </c>
      <c r="C4495" t="inlineStr">
        <is>
          <t>Nasdaq</t>
        </is>
      </c>
      <c r="D4495" t="n">
        <v>1682149</v>
      </c>
      <c r="E4495" t="inlineStr">
        <is>
          <t>SEC</t>
        </is>
      </c>
    </row>
    <row r="4496">
      <c r="A4496" s="5">
        <f>HYPERLINK("https://finance.yahoo.com/quote/HCAT","HCAT")</f>
        <v/>
      </c>
      <c r="B4496" t="inlineStr">
        <is>
          <t>Health Catalyst, Inc.</t>
        </is>
      </c>
      <c r="C4496" t="inlineStr">
        <is>
          <t>Nasdaq</t>
        </is>
      </c>
      <c r="D4496" t="n">
        <v>1636422</v>
      </c>
      <c r="E4496" t="inlineStr">
        <is>
          <t>SEC</t>
        </is>
      </c>
    </row>
    <row r="4497">
      <c r="A4497" s="5">
        <f>HYPERLINK("https://finance.yahoo.com/quote/NKTX","NKTX")</f>
        <v/>
      </c>
      <c r="B4497" t="inlineStr">
        <is>
          <t>Nkarta, Inc.</t>
        </is>
      </c>
      <c r="C4497" t="inlineStr">
        <is>
          <t>Nasdaq</t>
        </is>
      </c>
      <c r="D4497" t="n">
        <v>1787400</v>
      </c>
      <c r="E4497" t="inlineStr">
        <is>
          <t>SEC</t>
        </is>
      </c>
    </row>
    <row r="4498">
      <c r="A4498" s="5">
        <f>HYPERLINK("https://finance.yahoo.com/quote/OTLK","OTLK")</f>
        <v/>
      </c>
      <c r="B4498" t="inlineStr">
        <is>
          <t>Outlook Therapeutics, Inc.</t>
        </is>
      </c>
      <c r="C4498" t="inlineStr">
        <is>
          <t>Nasdaq</t>
        </is>
      </c>
      <c r="D4498" t="n">
        <v>1649989</v>
      </c>
      <c r="E4498" t="inlineStr">
        <is>
          <t>SEC</t>
        </is>
      </c>
    </row>
    <row r="4499">
      <c r="A4499" s="5">
        <f>HYPERLINK("https://finance.yahoo.com/quote/ACNT","ACNT")</f>
        <v/>
      </c>
      <c r="B4499" t="inlineStr">
        <is>
          <t>ASCENT INDUSTRIES CO.</t>
        </is>
      </c>
      <c r="C4499" t="inlineStr">
        <is>
          <t>Nasdaq</t>
        </is>
      </c>
      <c r="D4499" t="n">
        <v>95953</v>
      </c>
      <c r="E4499" t="inlineStr">
        <is>
          <t>SEC</t>
        </is>
      </c>
    </row>
    <row r="4500">
      <c r="A4500" s="5">
        <f>HYPERLINK("https://finance.yahoo.com/quote/SWMR","SWMR")</f>
        <v/>
      </c>
      <c r="B4500" t="inlineStr">
        <is>
          <t>Swarmer, Inc</t>
        </is>
      </c>
      <c r="C4500" t="inlineStr">
        <is>
          <t>Nasdaq</t>
        </is>
      </c>
      <c r="D4500" t="n">
        <v>2092574</v>
      </c>
      <c r="E4500" t="inlineStr">
        <is>
          <t>SEC</t>
        </is>
      </c>
    </row>
    <row r="4501">
      <c r="A4501" s="5">
        <f>HYPERLINK("https://finance.yahoo.com/quote/MGYR","MGYR")</f>
        <v/>
      </c>
      <c r="B4501" t="inlineStr">
        <is>
          <t>Magyar Bancorp, Inc.</t>
        </is>
      </c>
      <c r="C4501" t="inlineStr">
        <is>
          <t>Nasdaq</t>
        </is>
      </c>
      <c r="D4501" t="n">
        <v>1337068</v>
      </c>
      <c r="E4501" t="inlineStr">
        <is>
          <t>SEC</t>
        </is>
      </c>
    </row>
    <row r="4502">
      <c r="A4502" s="5">
        <f>HYPERLINK("https://finance.yahoo.com/quote/ONL","ONL")</f>
        <v/>
      </c>
      <c r="B4502" t="inlineStr">
        <is>
          <t>Orion Properties Inc.</t>
        </is>
      </c>
      <c r="C4502" t="inlineStr">
        <is>
          <t>NYSE</t>
        </is>
      </c>
      <c r="D4502" t="n">
        <v>1873923</v>
      </c>
      <c r="E4502" t="inlineStr">
        <is>
          <t>SEC</t>
        </is>
      </c>
    </row>
    <row r="4503">
      <c r="A4503" s="5">
        <f>HYPERLINK("https://finance.yahoo.com/quote/BYND","BYND")</f>
        <v/>
      </c>
      <c r="B4503" t="inlineStr">
        <is>
          <t>BEYOND MEAT, INC.</t>
        </is>
      </c>
      <c r="C4503" t="inlineStr">
        <is>
          <t>Nasdaq</t>
        </is>
      </c>
      <c r="D4503" t="n">
        <v>1655210</v>
      </c>
      <c r="E4503" t="inlineStr">
        <is>
          <t>SEC</t>
        </is>
      </c>
    </row>
    <row r="4504">
      <c r="A4504" s="5">
        <f>HYPERLINK("https://finance.yahoo.com/quote/EDRY","EDRY")</f>
        <v/>
      </c>
      <c r="B4504" t="inlineStr">
        <is>
          <t>EuroDry Ltd.</t>
        </is>
      </c>
      <c r="C4504" t="inlineStr">
        <is>
          <t>Nasdaq</t>
        </is>
      </c>
      <c r="D4504" t="n">
        <v>1731388</v>
      </c>
      <c r="E4504" t="inlineStr">
        <is>
          <t>SEC</t>
        </is>
      </c>
    </row>
    <row r="4505">
      <c r="A4505" s="5">
        <f>HYPERLINK("https://finance.yahoo.com/quote/SKYA","SKYA")</f>
        <v/>
      </c>
      <c r="B4505" t="inlineStr">
        <is>
          <t>SkyAI, Inc.</t>
        </is>
      </c>
      <c r="C4505" t="inlineStr">
        <is>
          <t>Nasdaq</t>
        </is>
      </c>
      <c r="D4505" t="n">
        <v>1737995</v>
      </c>
      <c r="E4505" t="inlineStr">
        <is>
          <t>SEC</t>
        </is>
      </c>
    </row>
    <row r="4506">
      <c r="A4506" s="5">
        <f>HYPERLINK("https://finance.yahoo.com/quote/KVHI","KVHI")</f>
        <v/>
      </c>
      <c r="B4506" t="inlineStr">
        <is>
          <t>KVH INDUSTRIES INC \DE\</t>
        </is>
      </c>
      <c r="C4506" t="inlineStr">
        <is>
          <t>Nasdaq</t>
        </is>
      </c>
      <c r="D4506" t="n">
        <v>1007587</v>
      </c>
      <c r="E4506" t="inlineStr">
        <is>
          <t>SEC</t>
        </is>
      </c>
    </row>
    <row r="4507">
      <c r="A4507" s="5">
        <f>HYPERLINK("https://finance.yahoo.com/quote/ORGO","ORGO")</f>
        <v/>
      </c>
      <c r="B4507" t="inlineStr">
        <is>
          <t>Organogenesis Holdings Inc.</t>
        </is>
      </c>
      <c r="C4507" t="inlineStr">
        <is>
          <t>Nasdaq</t>
        </is>
      </c>
      <c r="D4507" t="n">
        <v>1661181</v>
      </c>
      <c r="E4507" t="inlineStr">
        <is>
          <t>SEC</t>
        </is>
      </c>
    </row>
    <row r="4508">
      <c r="A4508" s="5">
        <f>HYPERLINK("https://finance.yahoo.com/quote/GCTS","GCTS")</f>
        <v/>
      </c>
      <c r="B4508" t="inlineStr">
        <is>
          <t>GCT Semiconductor Holding, Inc.</t>
        </is>
      </c>
      <c r="C4508" t="inlineStr">
        <is>
          <t>NYSE</t>
        </is>
      </c>
      <c r="D4508" t="n">
        <v>1851961</v>
      </c>
      <c r="E4508" t="inlineStr">
        <is>
          <t>SEC</t>
        </is>
      </c>
    </row>
    <row r="4509">
      <c r="A4509" s="5">
        <f>HYPERLINK("https://finance.yahoo.com/quote/PHD","PHD")</f>
        <v/>
      </c>
      <c r="B4509" t="inlineStr">
        <is>
          <t>Pioneer Floating Rate Fund, Inc.</t>
        </is>
      </c>
      <c r="C4509" t="inlineStr"/>
      <c r="D4509" t="n">
        <v>1305767</v>
      </c>
      <c r="E4509" t="inlineStr">
        <is>
          <t>SEC</t>
        </is>
      </c>
    </row>
    <row r="4510">
      <c r="A4510" s="5">
        <f>HYPERLINK("https://finance.yahoo.com/quote/AREC","AREC")</f>
        <v/>
      </c>
      <c r="B4510" t="inlineStr">
        <is>
          <t>American Resources Corp</t>
        </is>
      </c>
      <c r="C4510" t="inlineStr">
        <is>
          <t>Nasdaq</t>
        </is>
      </c>
      <c r="D4510" t="n">
        <v>1590715</v>
      </c>
      <c r="E4510" t="inlineStr">
        <is>
          <t>SEC</t>
        </is>
      </c>
    </row>
    <row r="4511">
      <c r="A4511" s="5">
        <f>HYPERLINK("https://finance.yahoo.com/quote/BCV","BCV")</f>
        <v/>
      </c>
      <c r="B4511" t="inlineStr">
        <is>
          <t>BANCROFT FUND LTD</t>
        </is>
      </c>
      <c r="C4511" t="inlineStr">
        <is>
          <t>NYSE</t>
        </is>
      </c>
      <c r="D4511" t="n">
        <v>9521</v>
      </c>
      <c r="E4511" t="inlineStr">
        <is>
          <t>SEC</t>
        </is>
      </c>
    </row>
    <row r="4512">
      <c r="A4512" s="5">
        <f>HYPERLINK("https://finance.yahoo.com/quote/HYDTF","HYDTF")</f>
        <v/>
      </c>
      <c r="B4512" t="inlineStr">
        <is>
          <t>Hydreight Technologies Inc.</t>
        </is>
      </c>
      <c r="C4512" t="inlineStr">
        <is>
          <t>OTC</t>
        </is>
      </c>
      <c r="D4512" t="n">
        <v>1958389</v>
      </c>
      <c r="E4512" t="inlineStr">
        <is>
          <t>SEC</t>
        </is>
      </c>
    </row>
    <row r="4513">
      <c r="A4513" s="5">
        <f>HYPERLINK("https://finance.yahoo.com/quote/HYI","HYI")</f>
        <v/>
      </c>
      <c r="B4513" t="inlineStr">
        <is>
          <t>Western Asset High Yield Opportunity Fund Inc.</t>
        </is>
      </c>
      <c r="C4513" t="inlineStr">
        <is>
          <t>NYSE</t>
        </is>
      </c>
      <c r="D4513" t="n">
        <v>1497186</v>
      </c>
      <c r="E4513" t="inlineStr">
        <is>
          <t>SEC</t>
        </is>
      </c>
    </row>
    <row r="4514">
      <c r="A4514" s="5">
        <f>HYPERLINK("https://finance.yahoo.com/quote/JELD","JELD")</f>
        <v/>
      </c>
      <c r="B4514" t="inlineStr">
        <is>
          <t>JELD-WEN Holding, Inc.</t>
        </is>
      </c>
      <c r="C4514" t="inlineStr">
        <is>
          <t>NYSE</t>
        </is>
      </c>
      <c r="D4514" t="n">
        <v>1674335</v>
      </c>
      <c r="E4514" t="inlineStr">
        <is>
          <t>SEC</t>
        </is>
      </c>
    </row>
    <row r="4515">
      <c r="A4515" s="5">
        <f>HYPERLINK("https://finance.yahoo.com/quote/DFDV","DFDV")</f>
        <v/>
      </c>
      <c r="B4515" t="inlineStr">
        <is>
          <t>DeFi Development Corp.</t>
        </is>
      </c>
      <c r="C4515" t="inlineStr">
        <is>
          <t>Nasdaq</t>
        </is>
      </c>
      <c r="D4515" t="n">
        <v>1805526</v>
      </c>
      <c r="E4515" t="inlineStr">
        <is>
          <t>SEC</t>
        </is>
      </c>
    </row>
    <row r="4516">
      <c r="A4516" s="5">
        <f>HYPERLINK("https://finance.yahoo.com/quote/AVXL","AVXL")</f>
        <v/>
      </c>
      <c r="B4516" t="inlineStr">
        <is>
          <t>ANAVEX LIFE SCIENCES CORP.</t>
        </is>
      </c>
      <c r="C4516" t="inlineStr">
        <is>
          <t>Nasdaq</t>
        </is>
      </c>
      <c r="D4516" t="n">
        <v>1314052</v>
      </c>
      <c r="E4516" t="inlineStr">
        <is>
          <t>SEC</t>
        </is>
      </c>
    </row>
    <row r="4517">
      <c r="A4517" s="5">
        <f>HYPERLINK("https://finance.yahoo.com/quote/DLNG","DLNG")</f>
        <v/>
      </c>
      <c r="B4517" t="inlineStr">
        <is>
          <t>Dynagas LNG Partners LP</t>
        </is>
      </c>
      <c r="C4517" t="inlineStr">
        <is>
          <t>NYSE</t>
        </is>
      </c>
      <c r="D4517" t="n">
        <v>1578453</v>
      </c>
      <c r="E4517" t="inlineStr">
        <is>
          <t>SEC</t>
        </is>
      </c>
    </row>
    <row r="4518">
      <c r="A4518" s="5">
        <f>HYPERLINK("https://finance.yahoo.com/quote/HUMA","HUMA")</f>
        <v/>
      </c>
      <c r="B4518" t="inlineStr">
        <is>
          <t>Humacyte, Inc.</t>
        </is>
      </c>
      <c r="C4518" t="inlineStr">
        <is>
          <t>Nasdaq</t>
        </is>
      </c>
      <c r="D4518" t="n">
        <v>1818382</v>
      </c>
      <c r="E4518" t="inlineStr">
        <is>
          <t>SEC</t>
        </is>
      </c>
    </row>
    <row r="4519">
      <c r="A4519" s="5">
        <f>HYPERLINK("https://finance.yahoo.com/quote/RYDE","RYDE")</f>
        <v/>
      </c>
      <c r="B4519" t="inlineStr">
        <is>
          <t>Ryde Group Ltd</t>
        </is>
      </c>
      <c r="C4519" t="inlineStr">
        <is>
          <t>NYSE</t>
        </is>
      </c>
      <c r="D4519" t="n">
        <v>1971115</v>
      </c>
      <c r="E4519" t="inlineStr">
        <is>
          <t>SEC</t>
        </is>
      </c>
    </row>
    <row r="4520">
      <c r="A4520" s="5">
        <f>HYPERLINK("https://finance.yahoo.com/quote/RVSB","RVSB")</f>
        <v/>
      </c>
      <c r="B4520" t="inlineStr">
        <is>
          <t>RIVERVIEW BANCORP INC</t>
        </is>
      </c>
      <c r="C4520" t="inlineStr">
        <is>
          <t>Nasdaq</t>
        </is>
      </c>
      <c r="D4520" t="n">
        <v>1041368</v>
      </c>
      <c r="E4520" t="inlineStr">
        <is>
          <t>SEC</t>
        </is>
      </c>
    </row>
    <row r="4521">
      <c r="A4521" s="5">
        <f>HYPERLINK("https://finance.yahoo.com/quote/OWLT","OWLT")</f>
        <v/>
      </c>
      <c r="B4521" t="inlineStr">
        <is>
          <t>Owlet, Inc.</t>
        </is>
      </c>
      <c r="C4521" t="inlineStr">
        <is>
          <t>NYSE</t>
        </is>
      </c>
      <c r="D4521" t="n">
        <v>1816708</v>
      </c>
      <c r="E4521" t="inlineStr">
        <is>
          <t>SEC</t>
        </is>
      </c>
    </row>
    <row r="4522">
      <c r="A4522" s="5">
        <f>HYPERLINK("https://finance.yahoo.com/quote/CHAR","CHAR")</f>
        <v/>
      </c>
      <c r="B4522" t="inlineStr">
        <is>
          <t>Charlton Aria Acquisition Corp</t>
        </is>
      </c>
      <c r="C4522" t="inlineStr">
        <is>
          <t>Nasdaq</t>
        </is>
      </c>
      <c r="D4522" t="n">
        <v>2024459</v>
      </c>
      <c r="E4522" t="inlineStr">
        <is>
          <t>SEC</t>
        </is>
      </c>
    </row>
    <row r="4523">
      <c r="A4523" s="5">
        <f>HYPERLINK("https://finance.yahoo.com/quote/WTF","WTF")</f>
        <v/>
      </c>
      <c r="B4523" t="inlineStr">
        <is>
          <t>Waton Financial Ltd</t>
        </is>
      </c>
      <c r="C4523" t="inlineStr">
        <is>
          <t>Nasdaq</t>
        </is>
      </c>
      <c r="D4523" t="n">
        <v>1987363</v>
      </c>
      <c r="E4523" t="inlineStr">
        <is>
          <t>SEC</t>
        </is>
      </c>
    </row>
    <row r="4524">
      <c r="A4524" s="5">
        <f>HYPERLINK("https://finance.yahoo.com/quote/PLCI","PLCI")</f>
        <v/>
      </c>
      <c r="B4524" t="inlineStr">
        <is>
          <t>Pelican Acquisition II Corp</t>
        </is>
      </c>
      <c r="C4524" t="inlineStr">
        <is>
          <t>Nasdaq</t>
        </is>
      </c>
      <c r="D4524" t="n">
        <v>2122392</v>
      </c>
      <c r="E4524" t="inlineStr">
        <is>
          <t>SEC</t>
        </is>
      </c>
    </row>
    <row r="4525">
      <c r="A4525" s="5">
        <f>HYPERLINK("https://finance.yahoo.com/quote/GCL","GCL")</f>
        <v/>
      </c>
      <c r="B4525" t="inlineStr">
        <is>
          <t>GCL Global Holdings Ltd</t>
        </is>
      </c>
      <c r="C4525" t="inlineStr">
        <is>
          <t>Nasdaq</t>
        </is>
      </c>
      <c r="D4525" t="n">
        <v>2002045</v>
      </c>
      <c r="E4525" t="inlineStr">
        <is>
          <t>SEC</t>
        </is>
      </c>
    </row>
    <row r="4526">
      <c r="A4526" s="5">
        <f>HYPERLINK("https://finance.yahoo.com/quote/ABLV","ABLV")</f>
        <v/>
      </c>
      <c r="B4526" t="inlineStr">
        <is>
          <t>Able View Global Inc.</t>
        </is>
      </c>
      <c r="C4526" t="inlineStr">
        <is>
          <t>Nasdaq</t>
        </is>
      </c>
      <c r="D4526" t="n">
        <v>1957489</v>
      </c>
      <c r="E4526" t="inlineStr">
        <is>
          <t>SEC</t>
        </is>
      </c>
    </row>
    <row r="4527">
      <c r="A4527" s="5">
        <f>HYPERLINK("https://finance.yahoo.com/quote/FHTX","FHTX")</f>
        <v/>
      </c>
      <c r="B4527" t="inlineStr">
        <is>
          <t>Foghorn Therapeutics Inc.</t>
        </is>
      </c>
      <c r="C4527" t="inlineStr">
        <is>
          <t>Nasdaq</t>
        </is>
      </c>
      <c r="D4527" t="n">
        <v>1822462</v>
      </c>
      <c r="E4527" t="inlineStr">
        <is>
          <t>SEC</t>
        </is>
      </c>
    </row>
    <row r="4528">
      <c r="A4528" s="5">
        <f>HYPERLINK("https://finance.yahoo.com/quote/JHS","JHS")</f>
        <v/>
      </c>
      <c r="B4528" t="inlineStr">
        <is>
          <t>JOHN HANCOCK INCOME SECURITIES TRUST</t>
        </is>
      </c>
      <c r="C4528" t="inlineStr">
        <is>
          <t>NYSE</t>
        </is>
      </c>
      <c r="D4528" t="n">
        <v>759866</v>
      </c>
      <c r="E4528" t="inlineStr">
        <is>
          <t>SEC</t>
        </is>
      </c>
    </row>
    <row r="4529">
      <c r="A4529" s="5">
        <f>HYPERLINK("https://finance.yahoo.com/quote/SPMC","SPMC")</f>
        <v/>
      </c>
      <c r="B4529" t="inlineStr">
        <is>
          <t>Sound Point Meridian Capital, Inc.</t>
        </is>
      </c>
      <c r="C4529" t="inlineStr">
        <is>
          <t>NYSE</t>
        </is>
      </c>
      <c r="D4529" t="n">
        <v>1930147</v>
      </c>
      <c r="E4529" t="inlineStr">
        <is>
          <t>SEC</t>
        </is>
      </c>
    </row>
    <row r="4530">
      <c r="A4530" s="5">
        <f>HYPERLINK("https://finance.yahoo.com/quote/IAF","IAF")</f>
        <v/>
      </c>
      <c r="B4530" t="inlineStr">
        <is>
          <t>ABRDN AUSTRALIA EQUITY FUND, INC.</t>
        </is>
      </c>
      <c r="C4530" t="inlineStr">
        <is>
          <t>NYSE</t>
        </is>
      </c>
      <c r="D4530" t="n">
        <v>779336</v>
      </c>
      <c r="E4530" t="inlineStr">
        <is>
          <t>SEC</t>
        </is>
      </c>
    </row>
    <row r="4531">
      <c r="A4531" s="5">
        <f>HYPERLINK("https://finance.yahoo.com/quote/TLSA","TLSA")</f>
        <v/>
      </c>
      <c r="B4531" t="inlineStr">
        <is>
          <t>Tiziana Life Sciences Ltd</t>
        </is>
      </c>
      <c r="C4531" t="inlineStr">
        <is>
          <t>Nasdaq</t>
        </is>
      </c>
      <c r="D4531" t="n">
        <v>1723069</v>
      </c>
      <c r="E4531" t="inlineStr">
        <is>
          <t>SEC</t>
        </is>
      </c>
    </row>
    <row r="4532">
      <c r="A4532" s="5">
        <f>HYPERLINK("https://finance.yahoo.com/quote/BVC","BVC")</f>
        <v/>
      </c>
      <c r="B4532" t="inlineStr">
        <is>
          <t>BitVentures Ltd</t>
        </is>
      </c>
      <c r="C4532" t="inlineStr">
        <is>
          <t>Nasdaq</t>
        </is>
      </c>
      <c r="D4532" t="n">
        <v>1785680</v>
      </c>
      <c r="E4532" t="inlineStr">
        <is>
          <t>SEC</t>
        </is>
      </c>
    </row>
    <row r="4533">
      <c r="A4533" s="5">
        <f>HYPERLINK("https://finance.yahoo.com/quote/CVGI","CVGI")</f>
        <v/>
      </c>
      <c r="B4533" t="inlineStr">
        <is>
          <t>Commercial Vehicle Group, Inc.</t>
        </is>
      </c>
      <c r="C4533" t="inlineStr">
        <is>
          <t>Nasdaq</t>
        </is>
      </c>
      <c r="D4533" t="n">
        <v>1290900</v>
      </c>
      <c r="E4533" t="inlineStr">
        <is>
          <t>SEC</t>
        </is>
      </c>
    </row>
    <row r="4534">
      <c r="A4534" s="5">
        <f>HYPERLINK("https://finance.yahoo.com/quote/QUMS","QUMS")</f>
        <v/>
      </c>
      <c r="B4534" t="inlineStr">
        <is>
          <t>Quantumsphere Acquisition Corp</t>
        </is>
      </c>
      <c r="C4534" t="inlineStr">
        <is>
          <t>Nasdaq</t>
        </is>
      </c>
      <c r="D4534" t="n">
        <v>2070900</v>
      </c>
      <c r="E4534" t="inlineStr">
        <is>
          <t>SEC</t>
        </is>
      </c>
    </row>
    <row r="4535">
      <c r="A4535" s="5">
        <f>HYPERLINK("https://finance.yahoo.com/quote/SSVFF","SSVFF")</f>
        <v/>
      </c>
      <c r="B4535" t="inlineStr">
        <is>
          <t>SOUTHERN SILVER EXPLORATION CORP</t>
        </is>
      </c>
      <c r="C4535" t="inlineStr">
        <is>
          <t>OTC</t>
        </is>
      </c>
      <c r="D4535" t="n">
        <v>1397616</v>
      </c>
      <c r="E4535" t="inlineStr">
        <is>
          <t>SEC</t>
        </is>
      </c>
    </row>
    <row r="4536">
      <c r="A4536" s="5">
        <f>HYPERLINK("https://finance.yahoo.com/quote/HCHL","HCHL")</f>
        <v/>
      </c>
      <c r="B4536" t="inlineStr">
        <is>
          <t>Happy City Holdings Ltd</t>
        </is>
      </c>
      <c r="C4536" t="inlineStr">
        <is>
          <t>Nasdaq</t>
        </is>
      </c>
      <c r="D4536" t="n">
        <v>2046656</v>
      </c>
      <c r="E4536" t="inlineStr">
        <is>
          <t>SEC</t>
        </is>
      </c>
    </row>
    <row r="4537">
      <c r="A4537" s="5">
        <f>HYPERLINK("https://finance.yahoo.com/quote/BRKH","BRKH")</f>
        <v/>
      </c>
      <c r="B4537" t="inlineStr">
        <is>
          <t>Burtech Acquisition Corp II</t>
        </is>
      </c>
      <c r="C4537" t="inlineStr">
        <is>
          <t>Nasdaq</t>
        </is>
      </c>
      <c r="D4537" t="n">
        <v>2098707</v>
      </c>
      <c r="E4537" t="inlineStr">
        <is>
          <t>SEC</t>
        </is>
      </c>
    </row>
    <row r="4538">
      <c r="A4538" s="5">
        <f>HYPERLINK("https://finance.yahoo.com/quote/LANV","LANV")</f>
        <v/>
      </c>
      <c r="B4538" t="inlineStr">
        <is>
          <t>Lanvin Group Holdings Ltd</t>
        </is>
      </c>
      <c r="C4538" t="inlineStr">
        <is>
          <t>NYSE</t>
        </is>
      </c>
      <c r="D4538" t="n">
        <v>1922097</v>
      </c>
      <c r="E4538" t="inlineStr">
        <is>
          <t>SEC</t>
        </is>
      </c>
    </row>
    <row r="4539">
      <c r="A4539" s="5">
        <f>HYPERLINK("https://finance.yahoo.com/quote/ATOM","ATOM")</f>
        <v/>
      </c>
      <c r="B4539" t="inlineStr">
        <is>
          <t>Atomera Inc</t>
        </is>
      </c>
      <c r="C4539" t="inlineStr">
        <is>
          <t>Nasdaq</t>
        </is>
      </c>
      <c r="D4539" t="n">
        <v>1420520</v>
      </c>
      <c r="E4539" t="inlineStr">
        <is>
          <t>SEC</t>
        </is>
      </c>
    </row>
    <row r="4540">
      <c r="A4540" s="5">
        <f>HYPERLINK("https://finance.yahoo.com/quote/FPRGF","FPRGF")</f>
        <v/>
      </c>
      <c r="B4540" t="inlineStr">
        <is>
          <t>Falco Resources Ltd.</t>
        </is>
      </c>
      <c r="C4540" t="inlineStr">
        <is>
          <t>OTC</t>
        </is>
      </c>
      <c r="D4540" t="n">
        <v>1555980</v>
      </c>
      <c r="E4540" t="inlineStr">
        <is>
          <t>SEC</t>
        </is>
      </c>
    </row>
    <row r="4541">
      <c r="A4541" s="5">
        <f>HYPERLINK("https://finance.yahoo.com/quote/SIDU","SIDU")</f>
        <v/>
      </c>
      <c r="B4541" t="inlineStr">
        <is>
          <t>Sidus Space Inc.</t>
        </is>
      </c>
      <c r="C4541" t="inlineStr">
        <is>
          <t>Nasdaq</t>
        </is>
      </c>
      <c r="D4541" t="n">
        <v>1879726</v>
      </c>
      <c r="E4541" t="inlineStr">
        <is>
          <t>SEC</t>
        </is>
      </c>
    </row>
    <row r="4542">
      <c r="A4542" s="5">
        <f>HYPERLINK("https://finance.yahoo.com/quote/WSBK","WSBK")</f>
        <v/>
      </c>
      <c r="B4542" t="inlineStr">
        <is>
          <t>Winchester Bancorp, Inc./MD/</t>
        </is>
      </c>
      <c r="C4542" t="inlineStr">
        <is>
          <t>Nasdaq</t>
        </is>
      </c>
      <c r="D4542" t="n">
        <v>2047235</v>
      </c>
      <c r="E4542" t="inlineStr">
        <is>
          <t>SEC</t>
        </is>
      </c>
    </row>
    <row r="4543">
      <c r="A4543" s="5">
        <f>HYPERLINK("https://finance.yahoo.com/quote/SKYX","SKYX")</f>
        <v/>
      </c>
      <c r="B4543" t="inlineStr">
        <is>
          <t>SKYX Platforms Corp.</t>
        </is>
      </c>
      <c r="C4543" t="inlineStr">
        <is>
          <t>Nasdaq</t>
        </is>
      </c>
      <c r="D4543" t="n">
        <v>1598981</v>
      </c>
      <c r="E4543" t="inlineStr">
        <is>
          <t>SEC</t>
        </is>
      </c>
    </row>
    <row r="4544">
      <c r="A4544" s="5">
        <f>HYPERLINK("https://finance.yahoo.com/quote/KLXE","KLXE")</f>
        <v/>
      </c>
      <c r="B4544" t="inlineStr">
        <is>
          <t>KLX Energy Services Holdings, Inc.</t>
        </is>
      </c>
      <c r="C4544" t="inlineStr">
        <is>
          <t>Nasdaq</t>
        </is>
      </c>
      <c r="D4544" t="n">
        <v>1738827</v>
      </c>
      <c r="E4544" t="inlineStr">
        <is>
          <t>SEC</t>
        </is>
      </c>
    </row>
    <row r="4545">
      <c r="A4545" s="5">
        <f>HYPERLINK("https://finance.yahoo.com/quote/GLAI","GLAI")</f>
        <v/>
      </c>
      <c r="B4545" t="inlineStr">
        <is>
          <t>Global AI, Inc.</t>
        </is>
      </c>
      <c r="C4545" t="inlineStr">
        <is>
          <t>OTC</t>
        </is>
      </c>
      <c r="D4545" t="n">
        <v>1473490</v>
      </c>
      <c r="E4545" t="inlineStr">
        <is>
          <t>SEC</t>
        </is>
      </c>
    </row>
    <row r="4546">
      <c r="A4546" s="5">
        <f>HYPERLINK("https://finance.yahoo.com/quote/BSBK","BSBK")</f>
        <v/>
      </c>
      <c r="B4546" t="inlineStr">
        <is>
          <t>Bogota Financial Corp.</t>
        </is>
      </c>
      <c r="C4546" t="inlineStr">
        <is>
          <t>Nasdaq</t>
        </is>
      </c>
      <c r="D4546" t="n">
        <v>1787414</v>
      </c>
      <c r="E4546" t="inlineStr">
        <is>
          <t>SEC</t>
        </is>
      </c>
    </row>
    <row r="4547">
      <c r="A4547" s="5">
        <f>HYPERLINK("https://finance.yahoo.com/quote/AKA","AKA")</f>
        <v/>
      </c>
      <c r="B4547" t="inlineStr">
        <is>
          <t>A.K.A. BRANDS HOLDING CORP.</t>
        </is>
      </c>
      <c r="C4547" t="inlineStr">
        <is>
          <t>NYSE</t>
        </is>
      </c>
      <c r="D4547" t="n">
        <v>1865107</v>
      </c>
      <c r="E4547" t="inlineStr">
        <is>
          <t>SEC</t>
        </is>
      </c>
    </row>
    <row r="4548">
      <c r="A4548" s="5">
        <f>HYPERLINK("https://finance.yahoo.com/quote/DH","DH")</f>
        <v/>
      </c>
      <c r="B4548" t="inlineStr">
        <is>
          <t>Definitive Healthcare Corp.</t>
        </is>
      </c>
      <c r="C4548" t="inlineStr">
        <is>
          <t>Nasdaq</t>
        </is>
      </c>
      <c r="D4548" t="n">
        <v>1861795</v>
      </c>
      <c r="E4548" t="inlineStr">
        <is>
          <t>SEC</t>
        </is>
      </c>
    </row>
    <row r="4549">
      <c r="A4549" s="5">
        <f>HYPERLINK("https://finance.yahoo.com/quote/UP","UP")</f>
        <v/>
      </c>
      <c r="B4549" t="inlineStr">
        <is>
          <t>Wheels Up Experience Inc.</t>
        </is>
      </c>
      <c r="C4549" t="inlineStr">
        <is>
          <t>NYSE</t>
        </is>
      </c>
      <c r="D4549" t="n">
        <v>1819516</v>
      </c>
      <c r="E4549" t="inlineStr">
        <is>
          <t>SEC</t>
        </is>
      </c>
    </row>
    <row r="4550">
      <c r="A4550" s="5">
        <f>HYPERLINK("https://finance.yahoo.com/quote/NWPP","NWPP")</f>
        <v/>
      </c>
      <c r="B4550" t="inlineStr">
        <is>
          <t>NEW PEOPLES BANKSHARES INC</t>
        </is>
      </c>
      <c r="C4550" t="inlineStr">
        <is>
          <t>OTC</t>
        </is>
      </c>
      <c r="D4550" t="n">
        <v>1163389</v>
      </c>
      <c r="E4550" t="inlineStr">
        <is>
          <t>SEC</t>
        </is>
      </c>
    </row>
    <row r="4551">
      <c r="A4551" s="5">
        <f>HYPERLINK("https://finance.yahoo.com/quote/GHI","GHI")</f>
        <v/>
      </c>
      <c r="B4551" t="inlineStr">
        <is>
          <t>Greystone Housing Impact Investors LP</t>
        </is>
      </c>
      <c r="C4551" t="inlineStr">
        <is>
          <t>NYSE</t>
        </is>
      </c>
      <c r="D4551" t="n">
        <v>1059142</v>
      </c>
      <c r="E4551" t="inlineStr">
        <is>
          <t>SEC</t>
        </is>
      </c>
    </row>
    <row r="4552">
      <c r="A4552" s="5">
        <f>HYPERLINK("https://finance.yahoo.com/quote/RTB","RTB")</f>
        <v/>
      </c>
      <c r="B4552" t="inlineStr">
        <is>
          <t>RTB Digital, Inc.</t>
        </is>
      </c>
      <c r="C4552" t="inlineStr">
        <is>
          <t>Nasdaq</t>
        </is>
      </c>
      <c r="D4552" t="n">
        <v>1419275</v>
      </c>
      <c r="E4552" t="inlineStr">
        <is>
          <t>SEC</t>
        </is>
      </c>
    </row>
    <row r="4553">
      <c r="A4553" s="5">
        <f>HYPERLINK("https://finance.yahoo.com/quote/FLYX","FLYX")</f>
        <v/>
      </c>
      <c r="B4553" t="inlineStr">
        <is>
          <t>FLYEXCLUSIVE INC.</t>
        </is>
      </c>
      <c r="C4553" t="inlineStr">
        <is>
          <t>NYSE</t>
        </is>
      </c>
      <c r="D4553" t="n">
        <v>1843973</v>
      </c>
      <c r="E4553" t="inlineStr">
        <is>
          <t>SEC</t>
        </is>
      </c>
    </row>
    <row r="4554">
      <c r="A4554" s="5">
        <f>HYPERLINK("https://finance.yahoo.com/quote/SFBC","SFBC")</f>
        <v/>
      </c>
      <c r="B4554" t="inlineStr">
        <is>
          <t>Sound Financial Bancorp, Inc.</t>
        </is>
      </c>
      <c r="C4554" t="inlineStr">
        <is>
          <t>Nasdaq</t>
        </is>
      </c>
      <c r="D4554" t="n">
        <v>1541119</v>
      </c>
      <c r="E4554" t="inlineStr">
        <is>
          <t>SEC</t>
        </is>
      </c>
    </row>
    <row r="4555">
      <c r="A4555" s="5">
        <f>HYPERLINK("https://finance.yahoo.com/quote/USDW","USDW")</f>
        <v/>
      </c>
      <c r="B4555" t="inlineStr">
        <is>
          <t>MADE IN USA INC.</t>
        </is>
      </c>
      <c r="C4555" t="inlineStr">
        <is>
          <t>OTC</t>
        </is>
      </c>
      <c r="D4555" t="n">
        <v>1977837</v>
      </c>
      <c r="E4555" t="inlineStr">
        <is>
          <t>SEC</t>
        </is>
      </c>
    </row>
    <row r="4556">
      <c r="A4556" s="5">
        <f>HYPERLINK("https://finance.yahoo.com/quote/CGO","CGO")</f>
        <v/>
      </c>
      <c r="B4556" t="inlineStr">
        <is>
          <t>CALAMOS GLOBAL TOTAL RETURN FUND</t>
        </is>
      </c>
      <c r="C4556" t="inlineStr">
        <is>
          <t>Nasdaq</t>
        </is>
      </c>
      <c r="D4556" t="n">
        <v>1285650</v>
      </c>
      <c r="E4556" t="inlineStr">
        <is>
          <t>SEC</t>
        </is>
      </c>
    </row>
    <row r="4557">
      <c r="A4557" s="5">
        <f>HYPERLINK("https://finance.yahoo.com/quote/TCGX","TCGX")</f>
        <v/>
      </c>
      <c r="B4557" t="inlineStr">
        <is>
          <t>TCGX Acquisition Corp.</t>
        </is>
      </c>
      <c r="C4557" t="inlineStr">
        <is>
          <t>Nasdaq</t>
        </is>
      </c>
      <c r="D4557" t="n">
        <v>2137965</v>
      </c>
      <c r="E4557" t="inlineStr">
        <is>
          <t>SEC</t>
        </is>
      </c>
    </row>
    <row r="4558">
      <c r="A4558" s="5">
        <f>HYPERLINK("https://finance.yahoo.com/quote/UNB","UNB")</f>
        <v/>
      </c>
      <c r="B4558" t="inlineStr">
        <is>
          <t>UNION BANKSHARES INC</t>
        </is>
      </c>
      <c r="C4558" t="inlineStr">
        <is>
          <t>Nasdaq</t>
        </is>
      </c>
      <c r="D4558" t="n">
        <v>706863</v>
      </c>
      <c r="E4558" t="inlineStr">
        <is>
          <t>SEC</t>
        </is>
      </c>
    </row>
    <row r="4559">
      <c r="A4559" s="5">
        <f>HYPERLINK("https://finance.yahoo.com/quote/PLMK","PLMK")</f>
        <v/>
      </c>
      <c r="B4559" t="inlineStr">
        <is>
          <t>Plum Acquisition Corp. IV</t>
        </is>
      </c>
      <c r="C4559" t="inlineStr">
        <is>
          <t>Nasdaq</t>
        </is>
      </c>
      <c r="D4559" t="n">
        <v>2030482</v>
      </c>
      <c r="E4559" t="inlineStr">
        <is>
          <t>SEC</t>
        </is>
      </c>
    </row>
    <row r="4560">
      <c r="A4560" s="5">
        <f>HYPERLINK("https://finance.yahoo.com/quote/SMID","SMID")</f>
        <v/>
      </c>
      <c r="B4560" t="inlineStr">
        <is>
          <t>SMITH MIDLAND CORP</t>
        </is>
      </c>
      <c r="C4560" t="inlineStr">
        <is>
          <t>Nasdaq</t>
        </is>
      </c>
      <c r="D4560" t="n">
        <v>924719</v>
      </c>
      <c r="E4560" t="inlineStr">
        <is>
          <t>SEC</t>
        </is>
      </c>
    </row>
    <row r="4561">
      <c r="A4561" s="5">
        <f>HYPERLINK("https://finance.yahoo.com/quote/RMMZ","RMMZ")</f>
        <v/>
      </c>
      <c r="B4561" t="inlineStr">
        <is>
          <t>RiverNorth Managed Duration Municipal Income Fund II, Inc.</t>
        </is>
      </c>
      <c r="C4561" t="inlineStr">
        <is>
          <t>NYSE</t>
        </is>
      </c>
      <c r="D4561" t="n">
        <v>1870833</v>
      </c>
      <c r="E4561" t="inlineStr">
        <is>
          <t>SEC</t>
        </is>
      </c>
    </row>
    <row r="4562">
      <c r="A4562" s="5">
        <f>HYPERLINK("https://finance.yahoo.com/quote/KGFMF","KGFMF")</f>
        <v/>
      </c>
      <c r="B4562" t="inlineStr">
        <is>
          <t>Kingfisher Metals Corp.</t>
        </is>
      </c>
      <c r="C4562" t="inlineStr">
        <is>
          <t>OTC</t>
        </is>
      </c>
      <c r="D4562" t="n">
        <v>1853889</v>
      </c>
      <c r="E4562" t="inlineStr">
        <is>
          <t>SEC</t>
        </is>
      </c>
    </row>
    <row r="4563">
      <c r="A4563" s="5">
        <f>HYPERLINK("https://finance.yahoo.com/quote/BYRN","BYRN")</f>
        <v/>
      </c>
      <c r="B4563" t="inlineStr">
        <is>
          <t>Byrna Technologies Inc.</t>
        </is>
      </c>
      <c r="C4563" t="inlineStr">
        <is>
          <t>Nasdaq</t>
        </is>
      </c>
      <c r="D4563" t="n">
        <v>1354866</v>
      </c>
      <c r="E4563" t="inlineStr">
        <is>
          <t>SEC</t>
        </is>
      </c>
    </row>
    <row r="4564">
      <c r="A4564" s="5">
        <f>HYPERLINK("https://finance.yahoo.com/quote/SRGXF","SRGXF")</f>
        <v/>
      </c>
      <c r="B4564" t="inlineStr">
        <is>
          <t>Surge Copper Corp</t>
        </is>
      </c>
      <c r="C4564" t="inlineStr">
        <is>
          <t>OTC</t>
        </is>
      </c>
      <c r="D4564" t="n">
        <v>1644540</v>
      </c>
      <c r="E4564" t="inlineStr">
        <is>
          <t>SEC</t>
        </is>
      </c>
    </row>
    <row r="4565">
      <c r="A4565" s="5">
        <f>HYPERLINK("https://finance.yahoo.com/quote/PROV","PROV")</f>
        <v/>
      </c>
      <c r="B4565" t="inlineStr">
        <is>
          <t>PROVIDENT FINANCIAL HOLDINGS INC</t>
        </is>
      </c>
      <c r="C4565" t="inlineStr">
        <is>
          <t>Nasdaq</t>
        </is>
      </c>
      <c r="D4565" t="n">
        <v>1010470</v>
      </c>
      <c r="E4565" t="inlineStr">
        <is>
          <t>SEC</t>
        </is>
      </c>
    </row>
    <row r="4566">
      <c r="A4566" s="5">
        <f>HYPERLINK("https://finance.yahoo.com/quote/BOOM","BOOM")</f>
        <v/>
      </c>
      <c r="B4566" t="inlineStr">
        <is>
          <t>DMC Global Inc.</t>
        </is>
      </c>
      <c r="C4566" t="inlineStr">
        <is>
          <t>Nasdaq</t>
        </is>
      </c>
      <c r="D4566" t="n">
        <v>34067</v>
      </c>
      <c r="E4566" t="inlineStr">
        <is>
          <t>SEC</t>
        </is>
      </c>
    </row>
    <row r="4567">
      <c r="A4567" s="5">
        <f>HYPERLINK("https://finance.yahoo.com/quote/DAVA","DAVA")</f>
        <v/>
      </c>
      <c r="B4567" t="inlineStr">
        <is>
          <t>Endava plc</t>
        </is>
      </c>
      <c r="C4567" t="inlineStr">
        <is>
          <t>NYSE</t>
        </is>
      </c>
      <c r="D4567" t="n">
        <v>1656081</v>
      </c>
      <c r="E4567" t="inlineStr">
        <is>
          <t>SEC</t>
        </is>
      </c>
    </row>
    <row r="4568">
      <c r="A4568" s="5">
        <f>HYPERLINK("https://finance.yahoo.com/quote/MCN","MCN")</f>
        <v/>
      </c>
      <c r="B4568" t="inlineStr">
        <is>
          <t>XAI Madison Equity Premium Income Fund</t>
        </is>
      </c>
      <c r="C4568" t="inlineStr">
        <is>
          <t>NYSE</t>
        </is>
      </c>
      <c r="D4568" t="n">
        <v>1289868</v>
      </c>
      <c r="E4568" t="inlineStr">
        <is>
          <t>SEC</t>
        </is>
      </c>
    </row>
    <row r="4569">
      <c r="A4569" s="5">
        <f>HYPERLINK("https://finance.yahoo.com/quote/PFBX","PFBX")</f>
        <v/>
      </c>
      <c r="B4569" t="inlineStr">
        <is>
          <t>PEOPLES FINANCIAL CORP /MS/</t>
        </is>
      </c>
      <c r="C4569" t="inlineStr">
        <is>
          <t>OTC</t>
        </is>
      </c>
      <c r="D4569" t="n">
        <v>770460</v>
      </c>
      <c r="E4569" t="inlineStr">
        <is>
          <t>SEC</t>
        </is>
      </c>
    </row>
    <row r="4570">
      <c r="A4570" s="5">
        <f>HYPERLINK("https://finance.yahoo.com/quote/GGZ","GGZ")</f>
        <v/>
      </c>
      <c r="B4570" t="inlineStr">
        <is>
          <t>Gabelli Global Small &amp; Mid Cap Value Trust</t>
        </is>
      </c>
      <c r="C4570" t="inlineStr">
        <is>
          <t>NYSE</t>
        </is>
      </c>
      <c r="D4570" t="n">
        <v>1585855</v>
      </c>
      <c r="E4570" t="inlineStr">
        <is>
          <t>SEC</t>
        </is>
      </c>
    </row>
    <row r="4571">
      <c r="A4571" s="5">
        <f>HYPERLINK("https://finance.yahoo.com/quote/NIM","NIM")</f>
        <v/>
      </c>
      <c r="B4571" t="inlineStr">
        <is>
          <t>NUVEEN SELECT MATURITIES MUNICIPAL FUND</t>
        </is>
      </c>
      <c r="C4571" t="inlineStr">
        <is>
          <t>NYSE</t>
        </is>
      </c>
      <c r="D4571" t="n">
        <v>890119</v>
      </c>
      <c r="E4571" t="inlineStr">
        <is>
          <t>SEC</t>
        </is>
      </c>
    </row>
    <row r="4572">
      <c r="A4572" s="5">
        <f>HYPERLINK("https://finance.yahoo.com/quote/AXR","AXR")</f>
        <v/>
      </c>
      <c r="B4572" t="inlineStr">
        <is>
          <t>AMREP CORP.</t>
        </is>
      </c>
      <c r="C4572" t="inlineStr">
        <is>
          <t>NYSE</t>
        </is>
      </c>
      <c r="D4572" t="n">
        <v>6207</v>
      </c>
      <c r="E4572" t="inlineStr">
        <is>
          <t>SEC</t>
        </is>
      </c>
    </row>
    <row r="4573">
      <c r="A4573" s="5">
        <f>HYPERLINK("https://finance.yahoo.com/quote/TISI","TISI")</f>
        <v/>
      </c>
      <c r="B4573" t="inlineStr">
        <is>
          <t>TEAM INC</t>
        </is>
      </c>
      <c r="C4573" t="inlineStr">
        <is>
          <t>NYSE</t>
        </is>
      </c>
      <c r="D4573" t="n">
        <v>318833</v>
      </c>
      <c r="E4573" t="inlineStr">
        <is>
          <t>SEC</t>
        </is>
      </c>
    </row>
    <row r="4574">
      <c r="A4574" s="5">
        <f>HYPERLINK("https://finance.yahoo.com/quote/NVA","NVA")</f>
        <v/>
      </c>
      <c r="B4574" t="inlineStr">
        <is>
          <t>Nova Minerals Corp</t>
        </is>
      </c>
      <c r="C4574" t="inlineStr">
        <is>
          <t>NYSE</t>
        </is>
      </c>
      <c r="D4574" t="n">
        <v>1852551</v>
      </c>
      <c r="E4574" t="inlineStr">
        <is>
          <t>SEC</t>
        </is>
      </c>
    </row>
    <row r="4575">
      <c r="A4575" s="5">
        <f>HYPERLINK("https://finance.yahoo.com/quote/SSTI","SSTI")</f>
        <v/>
      </c>
      <c r="B4575" t="inlineStr">
        <is>
          <t>SOUNDTHINKING, INC.</t>
        </is>
      </c>
      <c r="C4575" t="inlineStr">
        <is>
          <t>Nasdaq</t>
        </is>
      </c>
      <c r="D4575" t="n">
        <v>1351636</v>
      </c>
      <c r="E4575" t="inlineStr">
        <is>
          <t>SEC</t>
        </is>
      </c>
    </row>
    <row r="4576">
      <c r="A4576" s="5">
        <f>HYPERLINK("https://finance.yahoo.com/quote/TP","TP")</f>
        <v/>
      </c>
      <c r="B4576" t="inlineStr">
        <is>
          <t>Ticketplus Ltd.</t>
        </is>
      </c>
      <c r="C4576" t="inlineStr">
        <is>
          <t>NYSE</t>
        </is>
      </c>
      <c r="D4576" t="n">
        <v>2104296</v>
      </c>
      <c r="E4576" t="inlineStr">
        <is>
          <t>SEC</t>
        </is>
      </c>
    </row>
    <row r="4577">
      <c r="A4577" s="5">
        <f>HYPERLINK("https://finance.yahoo.com/quote/DOYU","DOYU")</f>
        <v/>
      </c>
      <c r="B4577" t="inlineStr">
        <is>
          <t>DouYu International Holdings Ltd</t>
        </is>
      </c>
      <c r="C4577" t="inlineStr">
        <is>
          <t>Nasdaq</t>
        </is>
      </c>
      <c r="D4577" t="n">
        <v>1762417</v>
      </c>
      <c r="E4577" t="inlineStr">
        <is>
          <t>SEC</t>
        </is>
      </c>
    </row>
    <row r="4578">
      <c r="A4578" s="5">
        <f>HYPERLINK("https://finance.yahoo.com/quote/SEER","SEER")</f>
        <v/>
      </c>
      <c r="B4578" t="inlineStr">
        <is>
          <t>Seer, Inc.</t>
        </is>
      </c>
      <c r="C4578" t="inlineStr">
        <is>
          <t>Nasdaq</t>
        </is>
      </c>
      <c r="D4578" t="n">
        <v>1726445</v>
      </c>
      <c r="E4578" t="inlineStr">
        <is>
          <t>SEC</t>
        </is>
      </c>
    </row>
    <row r="4579">
      <c r="A4579" s="5">
        <f>HYPERLINK("https://finance.yahoo.com/quote/PTBS","PTBS")</f>
        <v/>
      </c>
      <c r="B4579" t="inlineStr">
        <is>
          <t>POTOMAC BANCSHARES INC</t>
        </is>
      </c>
      <c r="C4579" t="inlineStr">
        <is>
          <t>OTC</t>
        </is>
      </c>
      <c r="D4579" t="n">
        <v>925173</v>
      </c>
      <c r="E4579" t="inlineStr">
        <is>
          <t>SEC</t>
        </is>
      </c>
    </row>
    <row r="4580">
      <c r="A4580" s="5">
        <f>HYPERLINK("https://finance.yahoo.com/quote/NERV","NERV")</f>
        <v/>
      </c>
      <c r="B4580" t="inlineStr">
        <is>
          <t>Minerva Neurosciences, Inc.</t>
        </is>
      </c>
      <c r="C4580" t="inlineStr">
        <is>
          <t>Nasdaq</t>
        </is>
      </c>
      <c r="D4580" t="n">
        <v>1598646</v>
      </c>
      <c r="E4580" t="inlineStr">
        <is>
          <t>SEC</t>
        </is>
      </c>
    </row>
    <row r="4581">
      <c r="A4581" s="5">
        <f>HYPERLINK("https://finance.yahoo.com/quote/RNAQ","RNAQ")</f>
        <v/>
      </c>
      <c r="B4581" t="inlineStr">
        <is>
          <t>Rainier Acquisition Corp</t>
        </is>
      </c>
      <c r="C4581" t="inlineStr">
        <is>
          <t>Nasdaq</t>
        </is>
      </c>
      <c r="D4581" t="n">
        <v>2147219</v>
      </c>
      <c r="E4581" t="inlineStr">
        <is>
          <t>SEC</t>
        </is>
      </c>
    </row>
    <row r="4582">
      <c r="A4582" s="5">
        <f>HYPERLINK("https://finance.yahoo.com/quote/OPHC","OPHC")</f>
        <v/>
      </c>
      <c r="B4582" t="inlineStr">
        <is>
          <t>OptimumBank Holdings, Inc.</t>
        </is>
      </c>
      <c r="C4582" t="inlineStr">
        <is>
          <t>NYSE</t>
        </is>
      </c>
      <c r="D4582" t="n">
        <v>1288855</v>
      </c>
      <c r="E4582" t="inlineStr">
        <is>
          <t>SEC</t>
        </is>
      </c>
    </row>
    <row r="4583">
      <c r="A4583" s="5">
        <f>HYPERLINK("https://finance.yahoo.com/quote/FLX","FLX")</f>
        <v/>
      </c>
      <c r="B4583" t="inlineStr">
        <is>
          <t>BingEx Ltd</t>
        </is>
      </c>
      <c r="C4583" t="inlineStr">
        <is>
          <t>Nasdaq</t>
        </is>
      </c>
      <c r="D4583" t="n">
        <v>1858724</v>
      </c>
      <c r="E4583" t="inlineStr">
        <is>
          <t>SEC</t>
        </is>
      </c>
    </row>
    <row r="4584">
      <c r="A4584" s="5">
        <f>HYPERLINK("https://finance.yahoo.com/quote/UNIB","UNIB")</f>
        <v/>
      </c>
      <c r="B4584" t="inlineStr">
        <is>
          <t>UNIVERSITY BANCORP INC /DE/</t>
        </is>
      </c>
      <c r="C4584" t="inlineStr">
        <is>
          <t>OTC</t>
        </is>
      </c>
      <c r="D4584" t="n">
        <v>811211</v>
      </c>
      <c r="E4584" t="inlineStr">
        <is>
          <t>SEC</t>
        </is>
      </c>
    </row>
    <row r="4585">
      <c r="A4585" s="5">
        <f>HYPERLINK("https://finance.yahoo.com/quote/CTW","CTW")</f>
        <v/>
      </c>
      <c r="B4585" t="inlineStr">
        <is>
          <t>CTW</t>
        </is>
      </c>
      <c r="C4585" t="inlineStr">
        <is>
          <t>Nasdaq</t>
        </is>
      </c>
      <c r="D4585" t="n">
        <v>2047148</v>
      </c>
      <c r="E4585" t="inlineStr">
        <is>
          <t>SEC</t>
        </is>
      </c>
    </row>
    <row r="4586">
      <c r="A4586" s="5">
        <f>HYPERLINK("https://finance.yahoo.com/quote/GRO","GRO")</f>
        <v/>
      </c>
      <c r="B4586" t="inlineStr">
        <is>
          <t>Brazil Potash Corp.</t>
        </is>
      </c>
      <c r="C4586" t="inlineStr">
        <is>
          <t>NYSE</t>
        </is>
      </c>
      <c r="D4586" t="n">
        <v>1472326</v>
      </c>
      <c r="E4586" t="inlineStr">
        <is>
          <t>SEC</t>
        </is>
      </c>
    </row>
    <row r="4587">
      <c r="A4587" s="5">
        <f>HYPERLINK("https://finance.yahoo.com/quote/PAI","PAI")</f>
        <v/>
      </c>
      <c r="B4587" t="inlineStr">
        <is>
          <t>Western Asset Investment Grade Income Fund Inc.</t>
        </is>
      </c>
      <c r="C4587" t="inlineStr">
        <is>
          <t>NYSE</t>
        </is>
      </c>
      <c r="D4587" t="n">
        <v>75398</v>
      </c>
      <c r="E4587" t="inlineStr">
        <is>
          <t>SEC</t>
        </is>
      </c>
    </row>
    <row r="4588">
      <c r="A4588" s="5">
        <f>HYPERLINK("https://finance.yahoo.com/quote/QSEA","QSEA")</f>
        <v/>
      </c>
      <c r="B4588" t="inlineStr">
        <is>
          <t>Quartzsea Acquisition Corp</t>
        </is>
      </c>
      <c r="C4588" t="inlineStr">
        <is>
          <t>Nasdaq</t>
        </is>
      </c>
      <c r="D4588" t="n">
        <v>2047455</v>
      </c>
      <c r="E4588" t="inlineStr">
        <is>
          <t>SEC</t>
        </is>
      </c>
    </row>
    <row r="4589">
      <c r="A4589" s="5">
        <f>HYPERLINK("https://finance.yahoo.com/quote/DMO","DMO")</f>
        <v/>
      </c>
      <c r="B4589" t="inlineStr">
        <is>
          <t>Western Asset Mortgage Opportunity Fund Inc.</t>
        </is>
      </c>
      <c r="C4589" t="inlineStr">
        <is>
          <t>NYSE</t>
        </is>
      </c>
      <c r="D4589" t="n">
        <v>1478102</v>
      </c>
      <c r="E4589" t="inlineStr">
        <is>
          <t>SEC</t>
        </is>
      </c>
    </row>
    <row r="4590">
      <c r="A4590" s="5">
        <f>HYPERLINK("https://finance.yahoo.com/quote/QMLS","QMLS")</f>
        <v/>
      </c>
      <c r="B4590" t="inlineStr">
        <is>
          <t>QumulusAI, Inc.</t>
        </is>
      </c>
      <c r="C4590" t="inlineStr">
        <is>
          <t>Nasdaq</t>
        </is>
      </c>
      <c r="D4590" t="n">
        <v>2084026</v>
      </c>
      <c r="E4590" t="inlineStr">
        <is>
          <t>SEC</t>
        </is>
      </c>
    </row>
    <row r="4591">
      <c r="A4591" s="5">
        <f>HYPERLINK("https://finance.yahoo.com/quote/NINE","NINE")</f>
        <v/>
      </c>
      <c r="B4591" t="inlineStr">
        <is>
          <t>Nine Energy Service, Inc.</t>
        </is>
      </c>
      <c r="C4591" t="inlineStr">
        <is>
          <t>NYSE</t>
        </is>
      </c>
      <c r="D4591" t="n">
        <v>1532286</v>
      </c>
      <c r="E4591" t="inlineStr">
        <is>
          <t>SEC</t>
        </is>
      </c>
    </row>
    <row r="4592">
      <c r="A4592" s="5">
        <f>HYPERLINK("https://finance.yahoo.com/quote/PBHC","PBHC")</f>
        <v/>
      </c>
      <c r="B4592" t="inlineStr">
        <is>
          <t>Pathfinder Bancorp, Inc.</t>
        </is>
      </c>
      <c r="C4592" t="inlineStr">
        <is>
          <t>Nasdaq</t>
        </is>
      </c>
      <c r="D4592" t="n">
        <v>1609065</v>
      </c>
      <c r="E4592" t="inlineStr">
        <is>
          <t>SEC</t>
        </is>
      </c>
    </row>
    <row r="4593">
      <c r="A4593" s="5">
        <f>HYPERLINK("https://finance.yahoo.com/quote/VYGR","VYGR")</f>
        <v/>
      </c>
      <c r="B4593" t="inlineStr">
        <is>
          <t>Voyager Therapeutics, Inc.</t>
        </is>
      </c>
      <c r="C4593" t="inlineStr">
        <is>
          <t>Nasdaq</t>
        </is>
      </c>
      <c r="D4593" t="n">
        <v>1640266</v>
      </c>
      <c r="E4593" t="inlineStr">
        <is>
          <t>SEC</t>
        </is>
      </c>
    </row>
    <row r="4594">
      <c r="A4594" s="5">
        <f>HYPERLINK("https://finance.yahoo.com/quote/JLHL","JLHL")</f>
        <v/>
      </c>
      <c r="B4594" t="inlineStr">
        <is>
          <t>Julong Holding Ltd</t>
        </is>
      </c>
      <c r="C4594" t="inlineStr">
        <is>
          <t>Nasdaq</t>
        </is>
      </c>
      <c r="D4594" t="n">
        <v>2007846</v>
      </c>
      <c r="E4594" t="inlineStr">
        <is>
          <t>SEC</t>
        </is>
      </c>
    </row>
    <row r="4595">
      <c r="A4595" s="5">
        <f>HYPERLINK("https://finance.yahoo.com/quote/VLTLF","VLTLF")</f>
        <v/>
      </c>
      <c r="B4595" t="inlineStr">
        <is>
          <t>Volt Lithium Corp.</t>
        </is>
      </c>
      <c r="C4595" t="inlineStr">
        <is>
          <t>OTC</t>
        </is>
      </c>
      <c r="D4595" t="n">
        <v>1872061</v>
      </c>
      <c r="E4595" t="inlineStr">
        <is>
          <t>SEC</t>
        </is>
      </c>
    </row>
    <row r="4596">
      <c r="A4596" s="5">
        <f>HYPERLINK("https://finance.yahoo.com/quote/GGOXF","GGOXF")</f>
        <v/>
      </c>
      <c r="B4596" t="inlineStr">
        <is>
          <t>Galleon Gold Corp.</t>
        </is>
      </c>
      <c r="C4596" t="inlineStr">
        <is>
          <t>OTC</t>
        </is>
      </c>
      <c r="D4596" t="n">
        <v>877019</v>
      </c>
      <c r="E4596" t="inlineStr">
        <is>
          <t>SEC</t>
        </is>
      </c>
    </row>
    <row r="4597">
      <c r="A4597" s="5">
        <f>HYPERLINK("https://finance.yahoo.com/quote/VXRT","VXRT")</f>
        <v/>
      </c>
      <c r="B4597" t="inlineStr">
        <is>
          <t>Vaxart, Inc.</t>
        </is>
      </c>
      <c r="C4597" t="inlineStr">
        <is>
          <t>OTC</t>
        </is>
      </c>
      <c r="D4597" t="n">
        <v>72444</v>
      </c>
      <c r="E4597" t="inlineStr">
        <is>
          <t>SEC</t>
        </is>
      </c>
    </row>
    <row r="4598">
      <c r="A4598" s="5">
        <f>HYPERLINK("https://finance.yahoo.com/quote/BGM","BGM")</f>
        <v/>
      </c>
      <c r="B4598" t="inlineStr">
        <is>
          <t>BGM Group Ltd.</t>
        </is>
      </c>
      <c r="C4598" t="inlineStr">
        <is>
          <t>Nasdaq</t>
        </is>
      </c>
      <c r="D4598" t="n">
        <v>1779578</v>
      </c>
      <c r="E4598" t="inlineStr">
        <is>
          <t>SEC</t>
        </is>
      </c>
    </row>
    <row r="4599">
      <c r="A4599" s="5">
        <f>HYPERLINK("https://finance.yahoo.com/quote/BDTX","BDTX")</f>
        <v/>
      </c>
      <c r="B4599" t="inlineStr">
        <is>
          <t>Black Diamond Therapeutics, Inc.</t>
        </is>
      </c>
      <c r="C4599" t="inlineStr">
        <is>
          <t>Nasdaq</t>
        </is>
      </c>
      <c r="D4599" t="n">
        <v>1701541</v>
      </c>
      <c r="E4599" t="inlineStr">
        <is>
          <t>SEC</t>
        </is>
      </c>
    </row>
    <row r="4600">
      <c r="A4600" s="5">
        <f>HYPERLINK("https://finance.yahoo.com/quote/BEEP","BEEP")</f>
        <v/>
      </c>
      <c r="B4600" t="inlineStr">
        <is>
          <t>Mobile Infrastructure Corp</t>
        </is>
      </c>
      <c r="C4600" t="inlineStr">
        <is>
          <t>Nasdaq</t>
        </is>
      </c>
      <c r="D4600" t="n">
        <v>1847874</v>
      </c>
      <c r="E4600" t="inlineStr">
        <is>
          <t>SEC</t>
        </is>
      </c>
    </row>
    <row r="4601">
      <c r="A4601" s="5">
        <f>HYPERLINK("https://finance.yahoo.com/quote/CBUS","CBUS")</f>
        <v/>
      </c>
      <c r="B4601" t="inlineStr">
        <is>
          <t>Cibus, Inc.</t>
        </is>
      </c>
      <c r="C4601" t="inlineStr">
        <is>
          <t>Nasdaq</t>
        </is>
      </c>
      <c r="D4601" t="n">
        <v>1705843</v>
      </c>
      <c r="E4601" t="inlineStr">
        <is>
          <t>SEC</t>
        </is>
      </c>
    </row>
    <row r="4602">
      <c r="A4602" s="5">
        <f>HYPERLINK("https://finance.yahoo.com/quote/AMFN","AMFN")</f>
        <v/>
      </c>
      <c r="B4602" t="inlineStr">
        <is>
          <t>American Fusion, Inc.</t>
        </is>
      </c>
      <c r="C4602" t="inlineStr">
        <is>
          <t>OTC</t>
        </is>
      </c>
      <c r="D4602" t="n">
        <v>96664</v>
      </c>
      <c r="E4602" t="inlineStr">
        <is>
          <t>SEC</t>
        </is>
      </c>
    </row>
    <row r="4603">
      <c r="A4603" s="5">
        <f>HYPERLINK("https://finance.yahoo.com/quote/PYPD","PYPD")</f>
        <v/>
      </c>
      <c r="B4603" t="inlineStr">
        <is>
          <t>PolyPid Ltd.</t>
        </is>
      </c>
      <c r="C4603" t="inlineStr">
        <is>
          <t>Nasdaq</t>
        </is>
      </c>
      <c r="D4603" t="n">
        <v>1611842</v>
      </c>
      <c r="E4603" t="inlineStr">
        <is>
          <t>SEC</t>
        </is>
      </c>
    </row>
    <row r="4604">
      <c r="A4604" s="5">
        <f>HYPERLINK("https://finance.yahoo.com/quote/ZJK","ZJK")</f>
        <v/>
      </c>
      <c r="B4604" t="inlineStr">
        <is>
          <t>ZJK Industrial Co., Ltd.</t>
        </is>
      </c>
      <c r="C4604" t="inlineStr">
        <is>
          <t>Nasdaq</t>
        </is>
      </c>
      <c r="D4604" t="n">
        <v>1941506</v>
      </c>
      <c r="E4604" t="inlineStr">
        <is>
          <t>SEC</t>
        </is>
      </c>
    </row>
    <row r="4605">
      <c r="A4605" s="5">
        <f>HYPERLINK("https://finance.yahoo.com/quote/DFSLY","DFSLY")</f>
        <v/>
      </c>
      <c r="B4605" t="inlineStr">
        <is>
          <t>Defeng Solife Holdings Limited/ADR</t>
        </is>
      </c>
      <c r="C4605" t="inlineStr">
        <is>
          <t>OTC</t>
        </is>
      </c>
      <c r="D4605" t="n">
        <v>2038919</v>
      </c>
      <c r="E4605" t="inlineStr">
        <is>
          <t>SEC</t>
        </is>
      </c>
    </row>
    <row r="4606">
      <c r="A4606" s="5">
        <f>HYPERLINK("https://finance.yahoo.com/quote/UNCY","UNCY")</f>
        <v/>
      </c>
      <c r="B4606" t="inlineStr">
        <is>
          <t>Unicycive Therapeutics, Inc.</t>
        </is>
      </c>
      <c r="C4606" t="inlineStr">
        <is>
          <t>Nasdaq</t>
        </is>
      </c>
      <c r="D4606" t="n">
        <v>1766140</v>
      </c>
      <c r="E4606" t="inlineStr">
        <is>
          <t>SEC</t>
        </is>
      </c>
    </row>
    <row r="4607">
      <c r="A4607" s="5">
        <f>HYPERLINK("https://finance.yahoo.com/quote/HMR","HMR")</f>
        <v/>
      </c>
      <c r="B4607" t="inlineStr">
        <is>
          <t>Heidmar Maritime Holdings Corp.</t>
        </is>
      </c>
      <c r="C4607" t="inlineStr">
        <is>
          <t>Nasdaq</t>
        </is>
      </c>
      <c r="D4607" t="n">
        <v>2029471</v>
      </c>
      <c r="E4607" t="inlineStr">
        <is>
          <t>SEC</t>
        </is>
      </c>
    </row>
    <row r="4608">
      <c r="A4608" s="5">
        <f>HYPERLINK("https://finance.yahoo.com/quote/BETRF","BETRF")</f>
        <v/>
      </c>
      <c r="B4608" t="inlineStr">
        <is>
          <t>BetterLife Pharma Inc.</t>
        </is>
      </c>
      <c r="C4608" t="inlineStr">
        <is>
          <t>OTC</t>
        </is>
      </c>
      <c r="D4608" t="n">
        <v>1464165</v>
      </c>
      <c r="E4608" t="inlineStr">
        <is>
          <t>SEC</t>
        </is>
      </c>
    </row>
    <row r="4609">
      <c r="A4609" s="5">
        <f>HYPERLINK("https://finance.yahoo.com/quote/DRTTF","DRTTF")</f>
        <v/>
      </c>
      <c r="B4609" t="inlineStr">
        <is>
          <t>DIRTT ENVIRONMENTAL SOLUTIONS LTD</t>
        </is>
      </c>
      <c r="C4609" t="inlineStr">
        <is>
          <t>OTC</t>
        </is>
      </c>
      <c r="D4609" t="n">
        <v>1340476</v>
      </c>
      <c r="E4609" t="inlineStr">
        <is>
          <t>SEC</t>
        </is>
      </c>
    </row>
    <row r="4610">
      <c r="A4610" s="5">
        <f>HYPERLINK("https://finance.yahoo.com/quote/MACI","MACI")</f>
        <v/>
      </c>
      <c r="B4610" t="inlineStr">
        <is>
          <t>Melar Acquisition Corp. I/Cayman</t>
        </is>
      </c>
      <c r="C4610" t="inlineStr">
        <is>
          <t>Nasdaq</t>
        </is>
      </c>
      <c r="D4610" t="n">
        <v>2016221</v>
      </c>
      <c r="E4610" t="inlineStr">
        <is>
          <t>SEC</t>
        </is>
      </c>
    </row>
    <row r="4611">
      <c r="A4611" s="5">
        <f>HYPERLINK("https://finance.yahoo.com/quote/NRXP","NRXP")</f>
        <v/>
      </c>
      <c r="B4611" t="inlineStr">
        <is>
          <t>NRX Pharmaceuticals, Inc.</t>
        </is>
      </c>
      <c r="C4611" t="inlineStr">
        <is>
          <t>Nasdaq</t>
        </is>
      </c>
      <c r="D4611" t="n">
        <v>1719406</v>
      </c>
      <c r="E4611" t="inlineStr">
        <is>
          <t>SEC</t>
        </is>
      </c>
    </row>
    <row r="4612">
      <c r="A4612" s="5">
        <f>HYPERLINK("https://finance.yahoo.com/quote/BYFC","BYFC")</f>
        <v/>
      </c>
      <c r="B4612" t="inlineStr">
        <is>
          <t>BROADWAY FINANCIAL CORP DE</t>
        </is>
      </c>
      <c r="C4612" t="inlineStr">
        <is>
          <t>Nasdaq</t>
        </is>
      </c>
      <c r="D4612" t="n">
        <v>1001171</v>
      </c>
      <c r="E4612" t="inlineStr">
        <is>
          <t>SEC</t>
        </is>
      </c>
    </row>
    <row r="4613">
      <c r="A4613" s="5">
        <f>HYPERLINK("https://finance.yahoo.com/quote/CHPG","CHPG")</f>
        <v/>
      </c>
      <c r="B4613" t="inlineStr">
        <is>
          <t>ChampionsGate Acquisition Corp</t>
        </is>
      </c>
      <c r="C4613" t="inlineStr">
        <is>
          <t>Nasdaq</t>
        </is>
      </c>
      <c r="D4613" t="n">
        <v>2024460</v>
      </c>
      <c r="E4613" t="inlineStr">
        <is>
          <t>SEC</t>
        </is>
      </c>
    </row>
    <row r="4614">
      <c r="A4614" s="5">
        <f>HYPERLINK("https://finance.yahoo.com/quote/ANIX","ANIX")</f>
        <v/>
      </c>
      <c r="B4614" t="inlineStr">
        <is>
          <t>Anixa Biosciences Inc</t>
        </is>
      </c>
      <c r="C4614" t="inlineStr">
        <is>
          <t>Nasdaq</t>
        </is>
      </c>
      <c r="D4614" t="n">
        <v>715446</v>
      </c>
      <c r="E4614" t="inlineStr">
        <is>
          <t>SEC</t>
        </is>
      </c>
    </row>
    <row r="4615">
      <c r="A4615" s="5">
        <f>HYPERLINK("https://finance.yahoo.com/quote/ENGN","ENGN")</f>
        <v/>
      </c>
      <c r="B4615" t="inlineStr">
        <is>
          <t>enGene Therapeutics Inc.</t>
        </is>
      </c>
      <c r="C4615" t="inlineStr">
        <is>
          <t>Nasdaq</t>
        </is>
      </c>
      <c r="D4615" t="n">
        <v>1980845</v>
      </c>
      <c r="E4615" t="inlineStr">
        <is>
          <t>SEC</t>
        </is>
      </c>
    </row>
    <row r="4616">
      <c r="A4616" s="5">
        <f>HYPERLINK("https://finance.yahoo.com/quote/LX","LX")</f>
        <v/>
      </c>
      <c r="B4616" t="inlineStr">
        <is>
          <t>LexinFintech Holdings Ltd.</t>
        </is>
      </c>
      <c r="C4616" t="inlineStr">
        <is>
          <t>Nasdaq</t>
        </is>
      </c>
      <c r="D4616" t="n">
        <v>1708259</v>
      </c>
      <c r="E4616" t="inlineStr">
        <is>
          <t>SEC</t>
        </is>
      </c>
    </row>
    <row r="4617">
      <c r="A4617" s="5">
        <f>HYPERLINK("https://finance.yahoo.com/quote/GLU","GLU")</f>
        <v/>
      </c>
      <c r="B4617" t="inlineStr">
        <is>
          <t>GABELLI GLOBAL UTILITY &amp; INCOME TRUST</t>
        </is>
      </c>
      <c r="C4617" t="inlineStr">
        <is>
          <t>NYSE</t>
        </is>
      </c>
      <c r="D4617" t="n">
        <v>1282957</v>
      </c>
      <c r="E4617" t="inlineStr">
        <is>
          <t>SEC</t>
        </is>
      </c>
    </row>
    <row r="4618">
      <c r="A4618" s="5">
        <f>HYPERLINK("https://finance.yahoo.com/quote/ANNA","ANNA")</f>
        <v/>
      </c>
      <c r="B4618" t="inlineStr">
        <is>
          <t>AleAnna, Inc.</t>
        </is>
      </c>
      <c r="C4618" t="inlineStr">
        <is>
          <t>Nasdaq</t>
        </is>
      </c>
      <c r="D4618" t="n">
        <v>1845123</v>
      </c>
      <c r="E4618" t="inlineStr">
        <is>
          <t>SEC</t>
        </is>
      </c>
    </row>
    <row r="4619">
      <c r="A4619" s="5">
        <f>HYPERLINK("https://finance.yahoo.com/quote/OCC","OCC")</f>
        <v/>
      </c>
      <c r="B4619" t="inlineStr">
        <is>
          <t>OPTICAL CABLE CORP</t>
        </is>
      </c>
      <c r="C4619" t="inlineStr">
        <is>
          <t>Nasdaq</t>
        </is>
      </c>
      <c r="D4619" t="n">
        <v>1000230</v>
      </c>
      <c r="E4619" t="inlineStr">
        <is>
          <t>SEC</t>
        </is>
      </c>
    </row>
    <row r="4620">
      <c r="A4620" s="5">
        <f>HYPERLINK("https://finance.yahoo.com/quote/CRCUF","CRCUF")</f>
        <v/>
      </c>
      <c r="B4620" t="inlineStr">
        <is>
          <t>Canagold Resources Ltd.</t>
        </is>
      </c>
      <c r="C4620" t="inlineStr">
        <is>
          <t>OTC</t>
        </is>
      </c>
      <c r="D4620" t="n">
        <v>868822</v>
      </c>
      <c r="E4620" t="inlineStr">
        <is>
          <t>SEC</t>
        </is>
      </c>
    </row>
    <row r="4621">
      <c r="A4621" s="5">
        <f>HYPERLINK("https://finance.yahoo.com/quote/OKUR","OKUR")</f>
        <v/>
      </c>
      <c r="B4621" t="inlineStr">
        <is>
          <t>OnKure Therapeutics, Inc.</t>
        </is>
      </c>
      <c r="C4621" t="inlineStr">
        <is>
          <t>Nasdaq</t>
        </is>
      </c>
      <c r="D4621" t="n">
        <v>1637715</v>
      </c>
      <c r="E4621" t="inlineStr">
        <is>
          <t>SEC</t>
        </is>
      </c>
    </row>
    <row r="4622">
      <c r="A4622" s="5">
        <f>HYPERLINK("https://finance.yahoo.com/quote/LFMD","LFMD")</f>
        <v/>
      </c>
      <c r="B4622" t="inlineStr">
        <is>
          <t>LifeMD, Inc.</t>
        </is>
      </c>
      <c r="C4622" t="inlineStr">
        <is>
          <t>Nasdaq</t>
        </is>
      </c>
      <c r="D4622" t="n">
        <v>948320</v>
      </c>
      <c r="E4622" t="inlineStr">
        <is>
          <t>SEC</t>
        </is>
      </c>
    </row>
    <row r="4623">
      <c r="A4623" s="5">
        <f>HYPERLINK("https://finance.yahoo.com/quote/PNBK","PNBK")</f>
        <v/>
      </c>
      <c r="B4623" t="inlineStr">
        <is>
          <t>PATRIOT NATIONAL BANCORP INC</t>
        </is>
      </c>
      <c r="C4623" t="inlineStr">
        <is>
          <t>Nasdaq</t>
        </is>
      </c>
      <c r="D4623" t="n">
        <v>1098146</v>
      </c>
      <c r="E4623" t="inlineStr">
        <is>
          <t>SEC</t>
        </is>
      </c>
    </row>
    <row r="4624">
      <c r="A4624" s="5">
        <f>HYPERLINK("https://finance.yahoo.com/quote/CODA","CODA")</f>
        <v/>
      </c>
      <c r="B4624" t="inlineStr">
        <is>
          <t>Coda Octopus Group, Inc.</t>
        </is>
      </c>
      <c r="C4624" t="inlineStr">
        <is>
          <t>Nasdaq</t>
        </is>
      </c>
      <c r="D4624" t="n">
        <v>1334325</v>
      </c>
      <c r="E4624" t="inlineStr">
        <is>
          <t>SEC</t>
        </is>
      </c>
    </row>
    <row r="4625">
      <c r="A4625" s="5">
        <f>HYPERLINK("https://finance.yahoo.com/quote/VTVT","VTVT")</f>
        <v/>
      </c>
      <c r="B4625" t="inlineStr">
        <is>
          <t>vTv Therapeutics Inc.</t>
        </is>
      </c>
      <c r="C4625" t="inlineStr">
        <is>
          <t>Nasdaq</t>
        </is>
      </c>
      <c r="D4625" t="n">
        <v>1641489</v>
      </c>
      <c r="E4625" t="inlineStr">
        <is>
          <t>SEC</t>
        </is>
      </c>
    </row>
    <row r="4626">
      <c r="A4626" s="5">
        <f>HYPERLINK("https://finance.yahoo.com/quote/SAIQ","SAIQ")</f>
        <v/>
      </c>
      <c r="B4626" t="inlineStr">
        <is>
          <t>WISeSat.Space Holdings Corp.</t>
        </is>
      </c>
      <c r="C4626" t="inlineStr">
        <is>
          <t>Nasdaq</t>
        </is>
      </c>
      <c r="D4626" t="n">
        <v>2101411</v>
      </c>
      <c r="E4626" t="inlineStr">
        <is>
          <t>SEC</t>
        </is>
      </c>
    </row>
    <row r="4627">
      <c r="A4627" s="5">
        <f>HYPERLINK("https://finance.yahoo.com/quote/SPKLF","SPKLF")</f>
        <v/>
      </c>
      <c r="B4627" t="inlineStr">
        <is>
          <t>Spark I Acquisition Corp</t>
        </is>
      </c>
      <c r="C4627" t="inlineStr">
        <is>
          <t>OTC</t>
        </is>
      </c>
      <c r="D4627" t="n">
        <v>1884046</v>
      </c>
      <c r="E4627" t="inlineStr">
        <is>
          <t>SEC</t>
        </is>
      </c>
    </row>
    <row r="4628">
      <c r="A4628" s="5">
        <f>HYPERLINK("https://finance.yahoo.com/quote/ULBI","ULBI")</f>
        <v/>
      </c>
      <c r="B4628" t="inlineStr">
        <is>
          <t>ULTRALIFE CORP</t>
        </is>
      </c>
      <c r="C4628" t="inlineStr">
        <is>
          <t>Nasdaq</t>
        </is>
      </c>
      <c r="D4628" t="n">
        <v>875657</v>
      </c>
      <c r="E4628" t="inlineStr">
        <is>
          <t>SEC</t>
        </is>
      </c>
    </row>
    <row r="4629">
      <c r="A4629" s="5">
        <f>HYPERLINK("https://finance.yahoo.com/quote/JYNT","JYNT")</f>
        <v/>
      </c>
      <c r="B4629" t="inlineStr">
        <is>
          <t>JOINT Corp</t>
        </is>
      </c>
      <c r="C4629" t="inlineStr">
        <is>
          <t>Nasdaq</t>
        </is>
      </c>
      <c r="D4629" t="n">
        <v>1612630</v>
      </c>
      <c r="E4629" t="inlineStr">
        <is>
          <t>SEC</t>
        </is>
      </c>
    </row>
    <row r="4630">
      <c r="A4630" s="5">
        <f>HYPERLINK("https://finance.yahoo.com/quote/RSKIA","RSKIA")</f>
        <v/>
      </c>
      <c r="B4630" t="inlineStr">
        <is>
          <t>GEORGE RISK INDUSTRIES, INC.</t>
        </is>
      </c>
      <c r="C4630" t="inlineStr">
        <is>
          <t>OTC</t>
        </is>
      </c>
      <c r="D4630" t="n">
        <v>84112</v>
      </c>
      <c r="E4630" t="inlineStr">
        <is>
          <t>SEC</t>
        </is>
      </c>
    </row>
    <row r="4631">
      <c r="A4631" s="5">
        <f>HYPERLINK("https://finance.yahoo.com/quote/CSTAF","CSTAF")</f>
        <v/>
      </c>
      <c r="B4631" t="inlineStr">
        <is>
          <t>Constellation Acquisition Corp I</t>
        </is>
      </c>
      <c r="C4631" t="inlineStr">
        <is>
          <t>OTC</t>
        </is>
      </c>
      <c r="D4631" t="n">
        <v>1834032</v>
      </c>
      <c r="E4631" t="inlineStr">
        <is>
          <t>SEC</t>
        </is>
      </c>
    </row>
    <row r="4632">
      <c r="A4632" s="5">
        <f>HYPERLINK("https://finance.yahoo.com/quote/SRFM","SRFM")</f>
        <v/>
      </c>
      <c r="B4632" t="inlineStr">
        <is>
          <t>SURF AIR MOBILITY INC.</t>
        </is>
      </c>
      <c r="C4632" t="inlineStr">
        <is>
          <t>NYSE</t>
        </is>
      </c>
      <c r="D4632" t="n">
        <v>1936224</v>
      </c>
      <c r="E4632" t="inlineStr">
        <is>
          <t>SEC</t>
        </is>
      </c>
    </row>
    <row r="4633">
      <c r="A4633" s="5">
        <f>HYPERLINK("https://finance.yahoo.com/quote/UFI","UFI")</f>
        <v/>
      </c>
      <c r="B4633" t="inlineStr">
        <is>
          <t>UNIFI INC</t>
        </is>
      </c>
      <c r="C4633" t="inlineStr">
        <is>
          <t>NYSE</t>
        </is>
      </c>
      <c r="D4633" t="n">
        <v>100726</v>
      </c>
      <c r="E4633" t="inlineStr">
        <is>
          <t>SEC</t>
        </is>
      </c>
    </row>
    <row r="4634">
      <c r="A4634" s="5">
        <f>HYPERLINK("https://finance.yahoo.com/quote/STXS","STXS")</f>
        <v/>
      </c>
      <c r="B4634" t="inlineStr">
        <is>
          <t>Stereotaxis, Inc.</t>
        </is>
      </c>
      <c r="C4634" t="inlineStr">
        <is>
          <t>NYSE</t>
        </is>
      </c>
      <c r="D4634" t="n">
        <v>1289340</v>
      </c>
      <c r="E4634" t="inlineStr">
        <is>
          <t>SEC</t>
        </is>
      </c>
    </row>
    <row r="4635">
      <c r="A4635" s="5">
        <f>HYPERLINK("https://finance.yahoo.com/quote/TVGN","TVGN")</f>
        <v/>
      </c>
      <c r="B4635" t="inlineStr">
        <is>
          <t>Tevogen Inc.</t>
        </is>
      </c>
      <c r="C4635" t="inlineStr">
        <is>
          <t>Nasdaq</t>
        </is>
      </c>
      <c r="D4635" t="n">
        <v>1860871</v>
      </c>
      <c r="E4635" t="inlineStr">
        <is>
          <t>SEC</t>
        </is>
      </c>
    </row>
    <row r="4636">
      <c r="A4636" s="5">
        <f>HYPERLINK("https://finance.yahoo.com/quote/CLLS","CLLS")</f>
        <v/>
      </c>
      <c r="B4636" t="inlineStr">
        <is>
          <t>Cellectis S.A.</t>
        </is>
      </c>
      <c r="C4636" t="inlineStr">
        <is>
          <t>Nasdaq</t>
        </is>
      </c>
      <c r="D4636" t="n">
        <v>1627281</v>
      </c>
      <c r="E4636" t="inlineStr">
        <is>
          <t>SEC</t>
        </is>
      </c>
    </row>
    <row r="4637">
      <c r="A4637" s="5">
        <f>HYPERLINK("https://finance.yahoo.com/quote/CBKM","CBKM")</f>
        <v/>
      </c>
      <c r="B4637" t="inlineStr">
        <is>
          <t>CONSUMERS BANCORP INC /OH/</t>
        </is>
      </c>
      <c r="C4637" t="inlineStr">
        <is>
          <t>OTC</t>
        </is>
      </c>
      <c r="D4637" t="n">
        <v>1006830</v>
      </c>
      <c r="E4637" t="inlineStr">
        <is>
          <t>SEC</t>
        </is>
      </c>
    </row>
    <row r="4638">
      <c r="A4638" s="5">
        <f>HYPERLINK("https://finance.yahoo.com/quote/SBI","SBI")</f>
        <v/>
      </c>
      <c r="B4638" t="inlineStr">
        <is>
          <t>WESTERN ASSET INTERMEDIATE MUNI FUND INC.</t>
        </is>
      </c>
      <c r="C4638" t="inlineStr">
        <is>
          <t>NYSE</t>
        </is>
      </c>
      <c r="D4638" t="n">
        <v>882300</v>
      </c>
      <c r="E4638" t="inlineStr">
        <is>
          <t>SEC</t>
        </is>
      </c>
    </row>
    <row r="4639">
      <c r="A4639" s="5">
        <f>HYPERLINK("https://finance.yahoo.com/quote/ETS","ETS")</f>
        <v/>
      </c>
      <c r="B4639" t="inlineStr">
        <is>
          <t>Elite Express Holding Inc.</t>
        </is>
      </c>
      <c r="C4639" t="inlineStr">
        <is>
          <t>Nasdaq</t>
        </is>
      </c>
      <c r="D4639" t="n">
        <v>2053641</v>
      </c>
      <c r="E4639" t="inlineStr">
        <is>
          <t>SEC</t>
        </is>
      </c>
    </row>
    <row r="4640">
      <c r="A4640" s="5">
        <f>HYPERLINK("https://finance.yahoo.com/quote/BHR","BHR")</f>
        <v/>
      </c>
      <c r="B4640" t="inlineStr">
        <is>
          <t>Braemar Hotels &amp; Resorts Inc.</t>
        </is>
      </c>
      <c r="C4640" t="inlineStr">
        <is>
          <t>NYSE</t>
        </is>
      </c>
      <c r="D4640" t="n">
        <v>1574085</v>
      </c>
      <c r="E4640" t="inlineStr">
        <is>
          <t>SEC</t>
        </is>
      </c>
    </row>
    <row r="4641">
      <c r="A4641" s="5">
        <f>HYPERLINK("https://finance.yahoo.com/quote/HYSR","HYSR")</f>
        <v/>
      </c>
      <c r="B4641" t="inlineStr">
        <is>
          <t>SUNHYDROGEN, INC.</t>
        </is>
      </c>
      <c r="C4641" t="inlineStr">
        <is>
          <t>OTC</t>
        </is>
      </c>
      <c r="D4641" t="n">
        <v>1481028</v>
      </c>
      <c r="E4641" t="inlineStr">
        <is>
          <t>SEC</t>
        </is>
      </c>
    </row>
    <row r="4642">
      <c r="A4642" s="5">
        <f>HYPERLINK("https://finance.yahoo.com/quote/IMUX","IMUX")</f>
        <v/>
      </c>
      <c r="B4642" t="inlineStr">
        <is>
          <t>IMMUNIC, INC.</t>
        </is>
      </c>
      <c r="C4642" t="inlineStr">
        <is>
          <t>Nasdaq</t>
        </is>
      </c>
      <c r="D4642" t="n">
        <v>1280776</v>
      </c>
      <c r="E4642" t="inlineStr">
        <is>
          <t>SEC</t>
        </is>
      </c>
    </row>
    <row r="4643">
      <c r="A4643" s="5">
        <f>HYPERLINK("https://finance.yahoo.com/quote/APYX","APYX")</f>
        <v/>
      </c>
      <c r="B4643" t="inlineStr">
        <is>
          <t>Apyx Medical Corp</t>
        </is>
      </c>
      <c r="C4643" t="inlineStr">
        <is>
          <t>Nasdaq</t>
        </is>
      </c>
      <c r="D4643" t="n">
        <v>719135</v>
      </c>
      <c r="E4643" t="inlineStr">
        <is>
          <t>SEC</t>
        </is>
      </c>
    </row>
    <row r="4644">
      <c r="A4644" s="5">
        <f>HYPERLINK("https://finance.yahoo.com/quote/VANI","VANI")</f>
        <v/>
      </c>
      <c r="B4644" t="inlineStr">
        <is>
          <t>Vivani Medical, Inc.</t>
        </is>
      </c>
      <c r="C4644" t="inlineStr">
        <is>
          <t>Nasdaq</t>
        </is>
      </c>
      <c r="D4644" t="n">
        <v>1266806</v>
      </c>
      <c r="E4644" t="inlineStr">
        <is>
          <t>SEC</t>
        </is>
      </c>
    </row>
    <row r="4645">
      <c r="A4645" s="5">
        <f>HYPERLINK("https://finance.yahoo.com/quote/FLSC","FLSC")</f>
        <v/>
      </c>
      <c r="B4645" t="inlineStr">
        <is>
          <t>Frazier Life Sciences Acquisition Corp. II</t>
        </is>
      </c>
      <c r="C4645" t="inlineStr">
        <is>
          <t>Nasdaq</t>
        </is>
      </c>
      <c r="D4645" t="n">
        <v>2153598</v>
      </c>
      <c r="E4645" t="inlineStr">
        <is>
          <t>SEC</t>
        </is>
      </c>
    </row>
    <row r="4646">
      <c r="A4646" s="5">
        <f>HYPERLINK("https://finance.yahoo.com/quote/UWHR","UWHR")</f>
        <v/>
      </c>
      <c r="B4646" t="inlineStr">
        <is>
          <t>UWHARRIE CAPITAL CORP</t>
        </is>
      </c>
      <c r="C4646" t="inlineStr">
        <is>
          <t>OTC</t>
        </is>
      </c>
      <c r="D4646" t="n">
        <v>898171</v>
      </c>
      <c r="E4646" t="inlineStr">
        <is>
          <t>SEC</t>
        </is>
      </c>
    </row>
    <row r="4647">
      <c r="A4647" s="5">
        <f>HYPERLINK("https://finance.yahoo.com/quote/BHLL","BHLL")</f>
        <v/>
      </c>
      <c r="B4647" t="inlineStr">
        <is>
          <t>Bunker Hill Mining Corp.</t>
        </is>
      </c>
      <c r="C4647" t="inlineStr">
        <is>
          <t>OTC</t>
        </is>
      </c>
      <c r="D4647" t="n">
        <v>1407583</v>
      </c>
      <c r="E4647" t="inlineStr">
        <is>
          <t>SEC</t>
        </is>
      </c>
    </row>
    <row r="4648">
      <c r="A4648" s="5">
        <f>HYPERLINK("https://finance.yahoo.com/quote/JUSH","JUSH")</f>
        <v/>
      </c>
      <c r="B4648" t="inlineStr">
        <is>
          <t>Jushi Holdings Inc.</t>
        </is>
      </c>
      <c r="C4648" t="inlineStr">
        <is>
          <t>OTC</t>
        </is>
      </c>
      <c r="D4648" t="n">
        <v>1909747</v>
      </c>
      <c r="E4648" t="inlineStr">
        <is>
          <t>SEC</t>
        </is>
      </c>
    </row>
    <row r="4649">
      <c r="A4649" s="5">
        <f>HYPERLINK("https://finance.yahoo.com/quote/STEX","STEX")</f>
        <v/>
      </c>
      <c r="B4649" t="inlineStr">
        <is>
          <t>Streamex Corp.</t>
        </is>
      </c>
      <c r="C4649" t="inlineStr">
        <is>
          <t>Nasdaq</t>
        </is>
      </c>
      <c r="D4649" t="n">
        <v>1530766</v>
      </c>
      <c r="E4649" t="inlineStr">
        <is>
          <t>SEC</t>
        </is>
      </c>
    </row>
    <row r="4650">
      <c r="A4650" s="5">
        <f>HYPERLINK("https://finance.yahoo.com/quote/AMAN","AMAN")</f>
        <v/>
      </c>
      <c r="B4650" t="inlineStr">
        <is>
          <t>Amanat Acquisition Corp.</t>
        </is>
      </c>
      <c r="C4650" t="inlineStr">
        <is>
          <t>Nasdaq</t>
        </is>
      </c>
      <c r="D4650" t="n">
        <v>2112457</v>
      </c>
      <c r="E4650" t="inlineStr">
        <is>
          <t>SEC</t>
        </is>
      </c>
    </row>
    <row r="4651">
      <c r="A4651" s="5">
        <f>HYPERLINK("https://finance.yahoo.com/quote/VIRC","VIRC")</f>
        <v/>
      </c>
      <c r="B4651" t="inlineStr">
        <is>
          <t>VIRCO MFG CORPORATION</t>
        </is>
      </c>
      <c r="C4651" t="inlineStr">
        <is>
          <t>Nasdaq</t>
        </is>
      </c>
      <c r="D4651" t="n">
        <v>751365</v>
      </c>
      <c r="E4651" t="inlineStr">
        <is>
          <t>SEC</t>
        </is>
      </c>
    </row>
    <row r="4652">
      <c r="A4652" s="5">
        <f>HYPERLINK("https://finance.yahoo.com/quote/AEYE","AEYE")</f>
        <v/>
      </c>
      <c r="B4652" t="inlineStr">
        <is>
          <t>AUDIOEYE INC</t>
        </is>
      </c>
      <c r="C4652" t="inlineStr">
        <is>
          <t>Nasdaq</t>
        </is>
      </c>
      <c r="D4652" t="n">
        <v>1362190</v>
      </c>
      <c r="E4652" t="inlineStr">
        <is>
          <t>SEC</t>
        </is>
      </c>
    </row>
    <row r="4653">
      <c r="A4653" s="5">
        <f>HYPERLINK("https://finance.yahoo.com/quote/NACB","NACB")</f>
        <v/>
      </c>
      <c r="B4653" t="inlineStr">
        <is>
          <t>ODNB Financial Corp</t>
        </is>
      </c>
      <c r="C4653" t="inlineStr">
        <is>
          <t>OTC</t>
        </is>
      </c>
      <c r="D4653" t="n">
        <v>1947463</v>
      </c>
      <c r="E4653" t="inlineStr">
        <is>
          <t>SEC</t>
        </is>
      </c>
    </row>
    <row r="4654">
      <c r="A4654" s="5">
        <f>HYPERLINK("https://finance.yahoo.com/quote/NHFLF","NHFLF")</f>
        <v/>
      </c>
      <c r="B4654" t="inlineStr">
        <is>
          <t>NORTHFIELD CAPITAL CORP</t>
        </is>
      </c>
      <c r="C4654" t="inlineStr">
        <is>
          <t>OTC</t>
        </is>
      </c>
      <c r="D4654" t="n">
        <v>1075822</v>
      </c>
      <c r="E4654" t="inlineStr">
        <is>
          <t>SEC</t>
        </is>
      </c>
    </row>
    <row r="4655">
      <c r="A4655" s="5">
        <f>HYPERLINK("https://finance.yahoo.com/quote/GHG","GHG")</f>
        <v/>
      </c>
      <c r="B4655" t="inlineStr">
        <is>
          <t>GreenTree Hospitality Group Ltd.</t>
        </is>
      </c>
      <c r="C4655" t="inlineStr">
        <is>
          <t>NYSE</t>
        </is>
      </c>
      <c r="D4655" t="n">
        <v>1724755</v>
      </c>
      <c r="E4655" t="inlineStr">
        <is>
          <t>SEC</t>
        </is>
      </c>
    </row>
    <row r="4656">
      <c r="A4656" s="5">
        <f>HYPERLINK("https://finance.yahoo.com/quote/LENZ","LENZ")</f>
        <v/>
      </c>
      <c r="B4656" t="inlineStr">
        <is>
          <t>LENZ Therapeutics, Inc.</t>
        </is>
      </c>
      <c r="C4656" t="inlineStr">
        <is>
          <t>Nasdaq</t>
        </is>
      </c>
      <c r="D4656" t="n">
        <v>1815776</v>
      </c>
      <c r="E4656" t="inlineStr">
        <is>
          <t>SEC</t>
        </is>
      </c>
    </row>
    <row r="4657">
      <c r="A4657" s="5">
        <f>HYPERLINK("https://finance.yahoo.com/quote/RDZN","RDZN")</f>
        <v/>
      </c>
      <c r="B4657" t="inlineStr">
        <is>
          <t>Roadzen Inc.</t>
        </is>
      </c>
      <c r="C4657" t="inlineStr">
        <is>
          <t>Nasdaq</t>
        </is>
      </c>
      <c r="D4657" t="n">
        <v>1868640</v>
      </c>
      <c r="E4657" t="inlineStr">
        <is>
          <t>SEC</t>
        </is>
      </c>
    </row>
    <row r="4658">
      <c r="A4658" s="5">
        <f>HYPERLINK("https://finance.yahoo.com/quote/CNXU","CNXU")</f>
        <v/>
      </c>
      <c r="B4658" t="inlineStr">
        <is>
          <t>Conexeu Sciences Inc.</t>
        </is>
      </c>
      <c r="C4658" t="inlineStr">
        <is>
          <t>Nasdaq</t>
        </is>
      </c>
      <c r="D4658" t="n">
        <v>2066836</v>
      </c>
      <c r="E4658" t="inlineStr">
        <is>
          <t>SEC</t>
        </is>
      </c>
    </row>
    <row r="4659">
      <c r="A4659" s="5">
        <f>HYPERLINK("https://finance.yahoo.com/quote/FEAM","FEAM")</f>
        <v/>
      </c>
      <c r="B4659" t="inlineStr">
        <is>
          <t>5E Advanced Materials, Inc.</t>
        </is>
      </c>
      <c r="C4659" t="inlineStr">
        <is>
          <t>Nasdaq</t>
        </is>
      </c>
      <c r="D4659" t="n">
        <v>1888654</v>
      </c>
      <c r="E4659" t="inlineStr">
        <is>
          <t>SEC</t>
        </is>
      </c>
    </row>
    <row r="4660">
      <c r="A4660" s="5">
        <f>HYPERLINK("https://finance.yahoo.com/quote/WNDW","WNDW")</f>
        <v/>
      </c>
      <c r="B4660" t="inlineStr">
        <is>
          <t>SolarWindow Technologies, Inc.</t>
        </is>
      </c>
      <c r="C4660" t="inlineStr">
        <is>
          <t>OTC</t>
        </is>
      </c>
      <c r="D4660" t="n">
        <v>1071840</v>
      </c>
      <c r="E4660" t="inlineStr">
        <is>
          <t>SEC</t>
        </is>
      </c>
    </row>
    <row r="4661">
      <c r="A4661" s="5">
        <f>HYPERLINK("https://finance.yahoo.com/quote/WPGCF","WPGCF")</f>
        <v/>
      </c>
      <c r="B4661" t="inlineStr">
        <is>
          <t>West Point Gold Corp.</t>
        </is>
      </c>
      <c r="C4661" t="inlineStr">
        <is>
          <t>OTC</t>
        </is>
      </c>
      <c r="D4661" t="n">
        <v>1404353</v>
      </c>
      <c r="E4661" t="inlineStr">
        <is>
          <t>SEC</t>
        </is>
      </c>
    </row>
    <row r="4662">
      <c r="A4662" s="5">
        <f>HYPERLINK("https://finance.yahoo.com/quote/PMVP","PMVP")</f>
        <v/>
      </c>
      <c r="B4662" t="inlineStr">
        <is>
          <t>PMV Pharmaceuticals, Inc.</t>
        </is>
      </c>
      <c r="C4662" t="inlineStr">
        <is>
          <t>Nasdaq</t>
        </is>
      </c>
      <c r="D4662" t="n">
        <v>1699382</v>
      </c>
      <c r="E4662" t="inlineStr">
        <is>
          <t>SEC</t>
        </is>
      </c>
    </row>
    <row r="4663">
      <c r="A4663" s="5">
        <f>HYPERLINK("https://finance.yahoo.com/quote/RACD","RACD")</f>
        <v/>
      </c>
      <c r="B4663" t="inlineStr">
        <is>
          <t>Research Alliance Corp IV</t>
        </is>
      </c>
      <c r="C4663" t="inlineStr">
        <is>
          <t>Nasdaq</t>
        </is>
      </c>
      <c r="D4663" t="n">
        <v>2137777</v>
      </c>
      <c r="E4663" t="inlineStr">
        <is>
          <t>SEC</t>
        </is>
      </c>
    </row>
    <row r="4664">
      <c r="A4664" s="5">
        <f>HYPERLINK("https://finance.yahoo.com/quote/WYHG","WYHG")</f>
        <v/>
      </c>
      <c r="B4664" t="inlineStr">
        <is>
          <t>Wing Yip Food Holdings Group Ltd</t>
        </is>
      </c>
      <c r="C4664" t="inlineStr">
        <is>
          <t>Nasdaq</t>
        </is>
      </c>
      <c r="D4664" t="n">
        <v>1999860</v>
      </c>
      <c r="E4664" t="inlineStr">
        <is>
          <t>SEC</t>
        </is>
      </c>
    </row>
    <row r="4665">
      <c r="A4665" s="5">
        <f>HYPERLINK("https://finance.yahoo.com/quote/TAVI","TAVI")</f>
        <v/>
      </c>
      <c r="B4665" t="inlineStr">
        <is>
          <t>Tavia Acquisition Corp.</t>
        </is>
      </c>
      <c r="C4665" t="inlineStr">
        <is>
          <t>Nasdaq</t>
        </is>
      </c>
      <c r="D4665" t="n">
        <v>2020385</v>
      </c>
      <c r="E4665" t="inlineStr">
        <is>
          <t>SEC</t>
        </is>
      </c>
    </row>
    <row r="4666">
      <c r="A4666" s="5">
        <f>HYPERLINK("https://finance.yahoo.com/quote/CHMI","CHMI")</f>
        <v/>
      </c>
      <c r="B4666" t="inlineStr">
        <is>
          <t>Cherry Hill Mortgage Investment Corp</t>
        </is>
      </c>
      <c r="C4666" t="inlineStr">
        <is>
          <t>NYSE</t>
        </is>
      </c>
      <c r="D4666" t="n">
        <v>1571776</v>
      </c>
      <c r="E4666" t="inlineStr">
        <is>
          <t>SEC</t>
        </is>
      </c>
    </row>
    <row r="4667">
      <c r="A4667" s="5">
        <f>HYPERLINK("https://finance.yahoo.com/quote/RGT","RGT")</f>
        <v/>
      </c>
      <c r="B4667" t="inlineStr">
        <is>
          <t>ROYCE GLOBAL TRUST, INC.</t>
        </is>
      </c>
      <c r="C4667" t="inlineStr">
        <is>
          <t>NYSE</t>
        </is>
      </c>
      <c r="D4667" t="n">
        <v>1514490</v>
      </c>
      <c r="E4667" t="inlineStr">
        <is>
          <t>SEC</t>
        </is>
      </c>
    </row>
    <row r="4668">
      <c r="A4668" s="5">
        <f>HYPERLINK("https://finance.yahoo.com/quote/AMTX","AMTX")</f>
        <v/>
      </c>
      <c r="B4668" t="inlineStr">
        <is>
          <t>AEMETIS, INC</t>
        </is>
      </c>
      <c r="C4668" t="inlineStr">
        <is>
          <t>Nasdaq</t>
        </is>
      </c>
      <c r="D4668" t="n">
        <v>738214</v>
      </c>
      <c r="E4668" t="inlineStr">
        <is>
          <t>SEC</t>
        </is>
      </c>
    </row>
    <row r="4669">
      <c r="A4669" s="5">
        <f>HYPERLINK("https://finance.yahoo.com/quote/NTHI","NTHI")</f>
        <v/>
      </c>
      <c r="B4669" t="inlineStr">
        <is>
          <t>NEONC TECHNOLOGIES HOLDINGS, INC.</t>
        </is>
      </c>
      <c r="C4669" t="inlineStr">
        <is>
          <t>Nasdaq</t>
        </is>
      </c>
      <c r="D4669" t="n">
        <v>1979414</v>
      </c>
      <c r="E4669" t="inlineStr">
        <is>
          <t>SEC</t>
        </is>
      </c>
    </row>
    <row r="4670">
      <c r="A4670" s="5">
        <f>HYPERLINK("https://finance.yahoo.com/quote/NRXS","NRXS")</f>
        <v/>
      </c>
      <c r="B4670" t="inlineStr">
        <is>
          <t>Neuraxis, INC</t>
        </is>
      </c>
      <c r="C4670" t="inlineStr">
        <is>
          <t>NYSE</t>
        </is>
      </c>
      <c r="D4670" t="n">
        <v>1933567</v>
      </c>
      <c r="E4670" t="inlineStr">
        <is>
          <t>SEC</t>
        </is>
      </c>
    </row>
    <row r="4671">
      <c r="A4671" s="5">
        <f>HYPERLINK("https://finance.yahoo.com/quote/PARK","PARK")</f>
        <v/>
      </c>
      <c r="B4671" t="inlineStr">
        <is>
          <t>Park Dental Partners, Inc.</t>
        </is>
      </c>
      <c r="C4671" t="inlineStr">
        <is>
          <t>Nasdaq</t>
        </is>
      </c>
      <c r="D4671" t="n">
        <v>2069604</v>
      </c>
      <c r="E4671" t="inlineStr">
        <is>
          <t>SEC</t>
        </is>
      </c>
    </row>
    <row r="4672">
      <c r="A4672" s="5">
        <f>HYPERLINK("https://finance.yahoo.com/quote/NTWK","NTWK")</f>
        <v/>
      </c>
      <c r="B4672" t="inlineStr">
        <is>
          <t>NETSOL TECHNOLOGIES INC</t>
        </is>
      </c>
      <c r="C4672" t="inlineStr">
        <is>
          <t>Nasdaq</t>
        </is>
      </c>
      <c r="D4672" t="n">
        <v>1039280</v>
      </c>
      <c r="E4672" t="inlineStr">
        <is>
          <t>SEC</t>
        </is>
      </c>
    </row>
    <row r="4673">
      <c r="A4673" s="5">
        <f>HYPERLINK("https://finance.yahoo.com/quote/COYA","COYA")</f>
        <v/>
      </c>
      <c r="B4673" t="inlineStr">
        <is>
          <t>Coya Therapeutics, Inc.</t>
        </is>
      </c>
      <c r="C4673" t="inlineStr">
        <is>
          <t>Nasdaq</t>
        </is>
      </c>
      <c r="D4673" t="n">
        <v>1835022</v>
      </c>
      <c r="E4673" t="inlineStr">
        <is>
          <t>SEC</t>
        </is>
      </c>
    </row>
    <row r="4674">
      <c r="A4674" s="5">
        <f>HYPERLINK("https://finance.yahoo.com/quote/QDMI","QDMI")</f>
        <v/>
      </c>
      <c r="B4674" t="inlineStr">
        <is>
          <t>QDM International Inc.</t>
        </is>
      </c>
      <c r="C4674" t="inlineStr">
        <is>
          <t>OTC</t>
        </is>
      </c>
      <c r="D4674" t="n">
        <v>1094032</v>
      </c>
      <c r="E4674" t="inlineStr">
        <is>
          <t>SEC</t>
        </is>
      </c>
    </row>
    <row r="4675">
      <c r="A4675" s="5">
        <f>HYPERLINK("https://finance.yahoo.com/quote/RGP","RGP")</f>
        <v/>
      </c>
      <c r="B4675" t="inlineStr">
        <is>
          <t>RESOURCES CONNECTION, INC.</t>
        </is>
      </c>
      <c r="C4675" t="inlineStr">
        <is>
          <t>Nasdaq</t>
        </is>
      </c>
      <c r="D4675" t="n">
        <v>1084765</v>
      </c>
      <c r="E4675" t="inlineStr">
        <is>
          <t>SEC</t>
        </is>
      </c>
    </row>
    <row r="4676">
      <c r="A4676" s="5">
        <f>HYPERLINK("https://finance.yahoo.com/quote/KBLB","KBLB")</f>
        <v/>
      </c>
      <c r="B4676" t="inlineStr">
        <is>
          <t>Kraig Biocraft Laboratories, Inc.</t>
        </is>
      </c>
      <c r="C4676" t="inlineStr">
        <is>
          <t>OTC</t>
        </is>
      </c>
      <c r="D4676" t="n">
        <v>1413119</v>
      </c>
      <c r="E4676" t="inlineStr">
        <is>
          <t>SEC</t>
        </is>
      </c>
    </row>
    <row r="4677">
      <c r="A4677" s="5">
        <f>HYPERLINK("https://finance.yahoo.com/quote/NZAUF","NZAUF")</f>
        <v/>
      </c>
      <c r="B4677" t="inlineStr">
        <is>
          <t>Rua Gold Inc.</t>
        </is>
      </c>
      <c r="C4677" t="inlineStr">
        <is>
          <t>OTC</t>
        </is>
      </c>
      <c r="D4677" t="n">
        <v>1925511</v>
      </c>
      <c r="E4677" t="inlineStr">
        <is>
          <t>SEC</t>
        </is>
      </c>
    </row>
    <row r="4678">
      <c r="A4678" s="5">
        <f>HYPERLINK("https://finance.yahoo.com/quote/SHIM","SHIM")</f>
        <v/>
      </c>
      <c r="B4678" t="inlineStr">
        <is>
          <t>Shimmick Corp</t>
        </is>
      </c>
      <c r="C4678" t="inlineStr">
        <is>
          <t>Nasdaq</t>
        </is>
      </c>
      <c r="D4678" t="n">
        <v>1887944</v>
      </c>
      <c r="E4678" t="inlineStr">
        <is>
          <t>SEC</t>
        </is>
      </c>
    </row>
    <row r="4679">
      <c r="A4679" s="5">
        <f>HYPERLINK("https://finance.yahoo.com/quote/KEQU","KEQU")</f>
        <v/>
      </c>
      <c r="B4679" t="inlineStr">
        <is>
          <t>KEWAUNEE SCIENTIFIC CORP /DE/</t>
        </is>
      </c>
      <c r="C4679" t="inlineStr">
        <is>
          <t>Nasdaq</t>
        </is>
      </c>
      <c r="D4679" t="n">
        <v>55529</v>
      </c>
      <c r="E4679" t="inlineStr">
        <is>
          <t>SEC</t>
        </is>
      </c>
    </row>
    <row r="4680">
      <c r="A4680" s="5">
        <f>HYPERLINK("https://finance.yahoo.com/quote/SRG","SRG")</f>
        <v/>
      </c>
      <c r="B4680" t="inlineStr">
        <is>
          <t>Seritage Growth Properties</t>
        </is>
      </c>
      <c r="C4680" t="inlineStr">
        <is>
          <t>NYSE</t>
        </is>
      </c>
      <c r="D4680" t="n">
        <v>1628063</v>
      </c>
      <c r="E4680" t="inlineStr">
        <is>
          <t>SEC</t>
        </is>
      </c>
    </row>
    <row r="4681">
      <c r="A4681" s="5">
        <f>HYPERLINK("https://finance.yahoo.com/quote/QTEX","QTEX")</f>
        <v/>
      </c>
      <c r="B4681" t="inlineStr">
        <is>
          <t>QTREX Quantum Ltd.</t>
        </is>
      </c>
      <c r="C4681" t="inlineStr">
        <is>
          <t>Nasdaq</t>
        </is>
      </c>
      <c r="D4681" t="n">
        <v>1837493</v>
      </c>
      <c r="E4681" t="inlineStr">
        <is>
          <t>SEC</t>
        </is>
      </c>
    </row>
    <row r="4682">
      <c r="A4682" s="5">
        <f>HYPERLINK("https://finance.yahoo.com/quote/ICCC","ICCC")</f>
        <v/>
      </c>
      <c r="B4682" t="inlineStr">
        <is>
          <t>IMMUCELL CORP /DE/</t>
        </is>
      </c>
      <c r="C4682" t="inlineStr">
        <is>
          <t>Nasdaq</t>
        </is>
      </c>
      <c r="D4682" t="n">
        <v>811641</v>
      </c>
      <c r="E4682" t="inlineStr">
        <is>
          <t>SEC</t>
        </is>
      </c>
    </row>
    <row r="4683">
      <c r="A4683" s="5">
        <f>HYPERLINK("https://finance.yahoo.com/quote/PCF","PCF")</f>
        <v/>
      </c>
      <c r="B4683" t="inlineStr">
        <is>
          <t>HIGH INCOME SECURITIES FUND</t>
        </is>
      </c>
      <c r="C4683" t="inlineStr">
        <is>
          <t>NYSE</t>
        </is>
      </c>
      <c r="D4683" t="n">
        <v>810943</v>
      </c>
      <c r="E4683" t="inlineStr">
        <is>
          <t>SEC</t>
        </is>
      </c>
    </row>
    <row r="4684">
      <c r="A4684" s="5">
        <f>HYPERLINK("https://finance.yahoo.com/quote/INO","INO")</f>
        <v/>
      </c>
      <c r="B4684" t="inlineStr">
        <is>
          <t>INOVIO PHARMACEUTICALS, INC.</t>
        </is>
      </c>
      <c r="C4684" t="inlineStr">
        <is>
          <t>Nasdaq</t>
        </is>
      </c>
      <c r="D4684" t="n">
        <v>1055726</v>
      </c>
      <c r="E4684" t="inlineStr">
        <is>
          <t>SEC</t>
        </is>
      </c>
    </row>
    <row r="4685">
      <c r="A4685" s="5">
        <f>HYPERLINK("https://finance.yahoo.com/quote/UMEW","UMEW")</f>
        <v/>
      </c>
      <c r="B4685" t="inlineStr">
        <is>
          <t>UMeWorld Inc.</t>
        </is>
      </c>
      <c r="C4685" t="inlineStr">
        <is>
          <t>OTC</t>
        </is>
      </c>
      <c r="D4685" t="n">
        <v>1114936</v>
      </c>
      <c r="E4685" t="inlineStr">
        <is>
          <t>SEC</t>
        </is>
      </c>
    </row>
    <row r="4686">
      <c r="A4686" s="5">
        <f>HYPERLINK("https://finance.yahoo.com/quote/LAKE","LAKE")</f>
        <v/>
      </c>
      <c r="B4686" t="inlineStr">
        <is>
          <t>LAKELAND INDUSTRIES INC</t>
        </is>
      </c>
      <c r="C4686" t="inlineStr">
        <is>
          <t>Nasdaq</t>
        </is>
      </c>
      <c r="D4686" t="n">
        <v>798081</v>
      </c>
      <c r="E4686" t="inlineStr">
        <is>
          <t>SEC</t>
        </is>
      </c>
    </row>
    <row r="4687">
      <c r="A4687" s="5">
        <f>HYPERLINK("https://finance.yahoo.com/quote/MDIA","MDIA")</f>
        <v/>
      </c>
      <c r="B4687" t="inlineStr">
        <is>
          <t>Mediaco Holding Inc.</t>
        </is>
      </c>
      <c r="C4687" t="inlineStr">
        <is>
          <t>Nasdaq</t>
        </is>
      </c>
      <c r="D4687" t="n">
        <v>1784254</v>
      </c>
      <c r="E4687" t="inlineStr">
        <is>
          <t>SEC</t>
        </is>
      </c>
    </row>
    <row r="4688">
      <c r="A4688" s="5">
        <f>HYPERLINK("https://finance.yahoo.com/quote/AUBN","AUBN")</f>
        <v/>
      </c>
      <c r="B4688" t="inlineStr">
        <is>
          <t>AUBURN NATIONAL BANCORPORATION, INC</t>
        </is>
      </c>
      <c r="C4688" t="inlineStr">
        <is>
          <t>Nasdaq</t>
        </is>
      </c>
      <c r="D4688" t="n">
        <v>750574</v>
      </c>
      <c r="E4688" t="inlineStr">
        <is>
          <t>SEC</t>
        </is>
      </c>
    </row>
    <row r="4689">
      <c r="A4689" s="5">
        <f>HYPERLINK("https://finance.yahoo.com/quote/BHM","BHM")</f>
        <v/>
      </c>
      <c r="B4689" t="inlineStr">
        <is>
          <t>Bluerock Homes Trust, Inc.</t>
        </is>
      </c>
      <c r="C4689" t="inlineStr">
        <is>
          <t>NYSE</t>
        </is>
      </c>
      <c r="D4689" t="n">
        <v>1903382</v>
      </c>
      <c r="E4689" t="inlineStr">
        <is>
          <t>SEC</t>
        </is>
      </c>
    </row>
    <row r="4690">
      <c r="A4690" s="5">
        <f>HYPERLINK("https://finance.yahoo.com/quote/RACC","RACC")</f>
        <v/>
      </c>
      <c r="B4690" t="inlineStr">
        <is>
          <t>Research Alliance Corp III</t>
        </is>
      </c>
      <c r="C4690" t="inlineStr">
        <is>
          <t>Nasdaq</t>
        </is>
      </c>
      <c r="D4690" t="n">
        <v>2118032</v>
      </c>
      <c r="E4690" t="inlineStr">
        <is>
          <t>SEC</t>
        </is>
      </c>
    </row>
    <row r="4691">
      <c r="A4691" s="5">
        <f>HYPERLINK("https://finance.yahoo.com/quote/PGP","PGP")</f>
        <v/>
      </c>
      <c r="B4691" t="inlineStr">
        <is>
          <t>PIMCO Global StocksPLUS &amp; Income Fund</t>
        </is>
      </c>
      <c r="C4691" t="inlineStr">
        <is>
          <t>NYSE</t>
        </is>
      </c>
      <c r="D4691" t="n">
        <v>1318025</v>
      </c>
      <c r="E4691" t="inlineStr">
        <is>
          <t>SEC</t>
        </is>
      </c>
    </row>
    <row r="4692">
      <c r="A4692" s="5">
        <f>HYPERLINK("https://finance.yahoo.com/quote/FNWB","FNWB")</f>
        <v/>
      </c>
      <c r="B4692" t="inlineStr">
        <is>
          <t>First Northwest Bancorp</t>
        </is>
      </c>
      <c r="C4692" t="inlineStr">
        <is>
          <t>Nasdaq</t>
        </is>
      </c>
      <c r="D4692" t="n">
        <v>1556727</v>
      </c>
      <c r="E4692" t="inlineStr">
        <is>
          <t>SEC</t>
        </is>
      </c>
    </row>
    <row r="4693">
      <c r="A4693" s="5">
        <f>HYPERLINK("https://finance.yahoo.com/quote/ZVIA","ZVIA")</f>
        <v/>
      </c>
      <c r="B4693" t="inlineStr">
        <is>
          <t>Zevia PBC</t>
        </is>
      </c>
      <c r="C4693" t="inlineStr">
        <is>
          <t>NYSE</t>
        </is>
      </c>
      <c r="D4693" t="n">
        <v>1854139</v>
      </c>
      <c r="E4693" t="inlineStr">
        <is>
          <t>SEC</t>
        </is>
      </c>
    </row>
    <row r="4694">
      <c r="A4694" s="5">
        <f>HYPERLINK("https://finance.yahoo.com/quote/JTTT","JTTT")</f>
        <v/>
      </c>
      <c r="B4694" t="inlineStr">
        <is>
          <t>JATT III Acquisition Corp</t>
        </is>
      </c>
      <c r="C4694" t="inlineStr">
        <is>
          <t>Nasdaq</t>
        </is>
      </c>
      <c r="D4694" t="n">
        <v>2145659</v>
      </c>
      <c r="E4694" t="inlineStr">
        <is>
          <t>SEC</t>
        </is>
      </c>
    </row>
    <row r="4695">
      <c r="A4695" s="5">
        <f>HYPERLINK("https://finance.yahoo.com/quote/PLYX","PLYX")</f>
        <v/>
      </c>
      <c r="B4695" t="inlineStr">
        <is>
          <t>Polaryx Therapeutics, Inc.</t>
        </is>
      </c>
      <c r="C4695" t="inlineStr">
        <is>
          <t>Nasdaq</t>
        </is>
      </c>
      <c r="D4695" t="n">
        <v>2075320</v>
      </c>
      <c r="E4695" t="inlineStr">
        <is>
          <t>SEC</t>
        </is>
      </c>
    </row>
    <row r="4696">
      <c r="A4696" s="5">
        <f>HYPERLINK("https://finance.yahoo.com/quote/IMDX","IMDX")</f>
        <v/>
      </c>
      <c r="B4696" t="inlineStr">
        <is>
          <t>Insight Molecular Diagnostics Inc.</t>
        </is>
      </c>
      <c r="C4696" t="inlineStr">
        <is>
          <t>Nasdaq</t>
        </is>
      </c>
      <c r="D4696" t="n">
        <v>1642380</v>
      </c>
      <c r="E4696" t="inlineStr">
        <is>
          <t>SEC</t>
        </is>
      </c>
    </row>
    <row r="4697">
      <c r="A4697" s="5">
        <f>HYPERLINK("https://finance.yahoo.com/quote/AGPU","AGPU")</f>
        <v/>
      </c>
      <c r="B4697" t="inlineStr">
        <is>
          <t>Axe Compute Inc.</t>
        </is>
      </c>
      <c r="C4697" t="inlineStr">
        <is>
          <t>Nasdaq</t>
        </is>
      </c>
      <c r="D4697" t="n">
        <v>1446159</v>
      </c>
      <c r="E4697" t="inlineStr">
        <is>
          <t>SEC</t>
        </is>
      </c>
    </row>
    <row r="4698">
      <c r="A4698" s="5">
        <f>HYPERLINK("https://finance.yahoo.com/quote/ICG","ICG")</f>
        <v/>
      </c>
      <c r="B4698" t="inlineStr">
        <is>
          <t>Intchains Group Ltd</t>
        </is>
      </c>
      <c r="C4698" t="inlineStr">
        <is>
          <t>Nasdaq</t>
        </is>
      </c>
      <c r="D4698" t="n">
        <v>1895597</v>
      </c>
      <c r="E4698" t="inlineStr">
        <is>
          <t>SEC</t>
        </is>
      </c>
    </row>
    <row r="4699">
      <c r="A4699" s="5">
        <f>HYPERLINK("https://finance.yahoo.com/quote/IGI","IGI")</f>
        <v/>
      </c>
      <c r="B4699" t="inlineStr">
        <is>
          <t>Western Asset Investment Grade Opportunity Trust Inc.</t>
        </is>
      </c>
      <c r="C4699" t="inlineStr">
        <is>
          <t>NYSE</t>
        </is>
      </c>
      <c r="D4699" t="n">
        <v>1462586</v>
      </c>
      <c r="E4699" t="inlineStr">
        <is>
          <t>SEC</t>
        </is>
      </c>
    </row>
    <row r="4700">
      <c r="A4700" s="5">
        <f>HYPERLINK("https://finance.yahoo.com/quote/FDSB","FDSB")</f>
        <v/>
      </c>
      <c r="B4700" t="inlineStr">
        <is>
          <t>Fifth District Bancorp, Inc.</t>
        </is>
      </c>
      <c r="C4700" t="inlineStr">
        <is>
          <t>Nasdaq</t>
        </is>
      </c>
      <c r="D4700" t="n">
        <v>2012726</v>
      </c>
      <c r="E4700" t="inlineStr">
        <is>
          <t>SEC</t>
        </is>
      </c>
    </row>
    <row r="4701">
      <c r="A4701" s="5">
        <f>HYPERLINK("https://finance.yahoo.com/quote/FURY","FURY")</f>
        <v/>
      </c>
      <c r="B4701" t="inlineStr">
        <is>
          <t>FURY GOLD MINES LTD</t>
        </is>
      </c>
      <c r="C4701" t="inlineStr">
        <is>
          <t>NYSE</t>
        </is>
      </c>
      <c r="D4701" t="n">
        <v>1514597</v>
      </c>
      <c r="E4701" t="inlineStr">
        <is>
          <t>SEC</t>
        </is>
      </c>
    </row>
    <row r="4702">
      <c r="A4702" s="5">
        <f>HYPERLINK("https://finance.yahoo.com/quote/LGCXF","LGCXF")</f>
        <v/>
      </c>
      <c r="B4702" t="inlineStr">
        <is>
          <t>Lahontan Gold Corp.</t>
        </is>
      </c>
      <c r="C4702" t="inlineStr">
        <is>
          <t>OTC</t>
        </is>
      </c>
      <c r="D4702" t="n">
        <v>1921582</v>
      </c>
      <c r="E4702" t="inlineStr">
        <is>
          <t>SEC</t>
        </is>
      </c>
    </row>
    <row r="4703">
      <c r="A4703" s="5">
        <f>HYPERLINK("https://finance.yahoo.com/quote/FUSB","FUSB")</f>
        <v/>
      </c>
      <c r="B4703" t="inlineStr">
        <is>
          <t>FIRST US BANCSHARES, INC.</t>
        </is>
      </c>
      <c r="C4703" t="inlineStr">
        <is>
          <t>Nasdaq</t>
        </is>
      </c>
      <c r="D4703" t="n">
        <v>717806</v>
      </c>
      <c r="E4703" t="inlineStr">
        <is>
          <t>SEC</t>
        </is>
      </c>
    </row>
    <row r="4704">
      <c r="A4704" s="5">
        <f>HYPERLINK("https://finance.yahoo.com/quote/LMRXF","LMRXF")</f>
        <v/>
      </c>
      <c r="B4704" t="inlineStr">
        <is>
          <t>LARAMIDE RESOURCES LTD</t>
        </is>
      </c>
      <c r="C4704" t="inlineStr">
        <is>
          <t>OTC</t>
        </is>
      </c>
      <c r="D4704" t="n">
        <v>1001500</v>
      </c>
      <c r="E4704" t="inlineStr">
        <is>
          <t>SEC</t>
        </is>
      </c>
    </row>
    <row r="4705">
      <c r="A4705" s="5">
        <f>HYPERLINK("https://finance.yahoo.com/quote/STHO","STHO")</f>
        <v/>
      </c>
      <c r="B4705" t="inlineStr">
        <is>
          <t>Star Holdings</t>
        </is>
      </c>
      <c r="C4705" t="inlineStr">
        <is>
          <t>Nasdaq</t>
        </is>
      </c>
      <c r="D4705" t="n">
        <v>1953366</v>
      </c>
      <c r="E4705" t="inlineStr">
        <is>
          <t>SEC</t>
        </is>
      </c>
    </row>
    <row r="4706">
      <c r="A4706" s="5">
        <f>HYPERLINK("https://finance.yahoo.com/quote/MMTX","MMTX")</f>
        <v/>
      </c>
      <c r="B4706" t="inlineStr">
        <is>
          <t>Miluna Acquisition Corp</t>
        </is>
      </c>
      <c r="C4706" t="inlineStr">
        <is>
          <t>Nasdaq</t>
        </is>
      </c>
      <c r="D4706" t="n">
        <v>2077033</v>
      </c>
      <c r="E4706" t="inlineStr">
        <is>
          <t>SEC</t>
        </is>
      </c>
    </row>
    <row r="4707">
      <c r="A4707" s="5">
        <f>HYPERLINK("https://finance.yahoo.com/quote/SUIG","SUIG")</f>
        <v/>
      </c>
      <c r="B4707" t="inlineStr">
        <is>
          <t>SUI Group Holdings Ltd.</t>
        </is>
      </c>
      <c r="C4707" t="inlineStr">
        <is>
          <t>Nasdaq</t>
        </is>
      </c>
      <c r="D4707" t="n">
        <v>1425355</v>
      </c>
      <c r="E4707" t="inlineStr">
        <is>
          <t>SEC</t>
        </is>
      </c>
    </row>
    <row r="4708">
      <c r="A4708" s="5">
        <f>HYPERLINK("https://finance.yahoo.com/quote/MWC","MWC")</f>
        <v/>
      </c>
      <c r="B4708" t="inlineStr">
        <is>
          <t>Micware Co., Ltd.</t>
        </is>
      </c>
      <c r="C4708" t="inlineStr">
        <is>
          <t>Nasdaq</t>
        </is>
      </c>
      <c r="D4708" t="n">
        <v>2083526</v>
      </c>
      <c r="E4708" t="inlineStr">
        <is>
          <t>SEC</t>
        </is>
      </c>
    </row>
    <row r="4709">
      <c r="A4709" s="5">
        <f>HYPERLINK("https://finance.yahoo.com/quote/ORIQ","ORIQ")</f>
        <v/>
      </c>
      <c r="B4709" t="inlineStr">
        <is>
          <t>Origin Investment Corp I</t>
        </is>
      </c>
      <c r="C4709" t="inlineStr">
        <is>
          <t>Nasdaq</t>
        </is>
      </c>
      <c r="D4709" t="n">
        <v>2044523</v>
      </c>
      <c r="E4709" t="inlineStr">
        <is>
          <t>SEC</t>
        </is>
      </c>
    </row>
    <row r="4710">
      <c r="A4710" s="5">
        <f>HYPERLINK("https://finance.yahoo.com/quote/NICM","NICM")</f>
        <v/>
      </c>
      <c r="B4710" t="inlineStr">
        <is>
          <t>NICOLA MINING INC.</t>
        </is>
      </c>
      <c r="C4710" t="inlineStr">
        <is>
          <t>Nasdaq</t>
        </is>
      </c>
      <c r="D4710" t="n">
        <v>1526475</v>
      </c>
      <c r="E4710" t="inlineStr">
        <is>
          <t>SEC</t>
        </is>
      </c>
    </row>
    <row r="4711">
      <c r="A4711" s="5">
        <f>HYPERLINK("https://finance.yahoo.com/quote/SNNGF","SNNGF")</f>
        <v/>
      </c>
      <c r="B4711" t="inlineStr">
        <is>
          <t>PPX Mining Corp.</t>
        </is>
      </c>
      <c r="C4711" t="inlineStr">
        <is>
          <t>OTC</t>
        </is>
      </c>
      <c r="D4711" t="n">
        <v>1384831</v>
      </c>
      <c r="E4711" t="inlineStr">
        <is>
          <t>SEC</t>
        </is>
      </c>
    </row>
    <row r="4712">
      <c r="A4712" s="5">
        <f>HYPERLINK("https://finance.yahoo.com/quote/BDCTF","BDCTF")</f>
        <v/>
      </c>
      <c r="B4712" t="inlineStr">
        <is>
          <t>BuildDirect.com Technologies Inc.</t>
        </is>
      </c>
      <c r="C4712" t="inlineStr">
        <is>
          <t>OTC</t>
        </is>
      </c>
      <c r="D4712" t="n">
        <v>1576159</v>
      </c>
      <c r="E4712" t="inlineStr">
        <is>
          <t>SEC</t>
        </is>
      </c>
    </row>
    <row r="4713">
      <c r="A4713" s="5">
        <f>HYPERLINK("https://finance.yahoo.com/quote/GDL","GDL")</f>
        <v/>
      </c>
      <c r="B4713" t="inlineStr">
        <is>
          <t>GDL FUND</t>
        </is>
      </c>
      <c r="C4713" t="inlineStr">
        <is>
          <t>NYSE</t>
        </is>
      </c>
      <c r="D4713" t="n">
        <v>1378701</v>
      </c>
      <c r="E4713" t="inlineStr">
        <is>
          <t>SEC</t>
        </is>
      </c>
    </row>
    <row r="4714">
      <c r="A4714" s="5">
        <f>HYPERLINK("https://finance.yahoo.com/quote/USIO","USIO")</f>
        <v/>
      </c>
      <c r="B4714" t="inlineStr">
        <is>
          <t>Usio, Inc.</t>
        </is>
      </c>
      <c r="C4714" t="inlineStr">
        <is>
          <t>Nasdaq</t>
        </is>
      </c>
      <c r="D4714" t="n">
        <v>1088034</v>
      </c>
      <c r="E4714" t="inlineStr">
        <is>
          <t>SEC</t>
        </is>
      </c>
    </row>
    <row r="4715">
      <c r="A4715" s="5">
        <f>HYPERLINK("https://finance.yahoo.com/quote/GNLX","GNLX")</f>
        <v/>
      </c>
      <c r="B4715" t="inlineStr">
        <is>
          <t>GENELUX Corp</t>
        </is>
      </c>
      <c r="C4715" t="inlineStr">
        <is>
          <t>Nasdaq</t>
        </is>
      </c>
      <c r="D4715" t="n">
        <v>1231457</v>
      </c>
      <c r="E4715" t="inlineStr">
        <is>
          <t>SEC</t>
        </is>
      </c>
    </row>
    <row r="4716">
      <c r="A4716" s="5">
        <f>HYPERLINK("https://finance.yahoo.com/quote/MRLN","MRLN")</f>
        <v/>
      </c>
      <c r="B4716" t="inlineStr">
        <is>
          <t>Merlin, Inc.</t>
        </is>
      </c>
      <c r="C4716" t="inlineStr">
        <is>
          <t>Nasdaq</t>
        </is>
      </c>
      <c r="D4716" t="n">
        <v>2028707</v>
      </c>
      <c r="E4716" t="inlineStr">
        <is>
          <t>SEC</t>
        </is>
      </c>
    </row>
    <row r="4717">
      <c r="A4717" s="5">
        <f>HYPERLINK("https://finance.yahoo.com/quote/KZIA","KZIA")</f>
        <v/>
      </c>
      <c r="B4717" t="inlineStr">
        <is>
          <t>KAZIA THERAPEUTICS LTD</t>
        </is>
      </c>
      <c r="C4717" t="inlineStr">
        <is>
          <t>Nasdaq</t>
        </is>
      </c>
      <c r="D4717" t="n">
        <v>1075880</v>
      </c>
      <c r="E4717" t="inlineStr">
        <is>
          <t>SEC</t>
        </is>
      </c>
    </row>
    <row r="4718">
      <c r="A4718" s="5">
        <f>HYPERLINK("https://finance.yahoo.com/quote/ATRA","ATRA")</f>
        <v/>
      </c>
      <c r="B4718" t="inlineStr">
        <is>
          <t>Atara Biotherapeutics, Inc.</t>
        </is>
      </c>
      <c r="C4718" t="inlineStr">
        <is>
          <t>Nasdaq</t>
        </is>
      </c>
      <c r="D4718" t="n">
        <v>1604464</v>
      </c>
      <c r="E4718" t="inlineStr">
        <is>
          <t>SEC</t>
        </is>
      </c>
    </row>
    <row r="4719">
      <c r="A4719" s="5">
        <f>HYPERLINK("https://finance.yahoo.com/quote/SDHC","SDHC")</f>
        <v/>
      </c>
      <c r="B4719" t="inlineStr">
        <is>
          <t>Smith Douglas Homes Corp.</t>
        </is>
      </c>
      <c r="C4719" t="inlineStr">
        <is>
          <t>NYSE</t>
        </is>
      </c>
      <c r="D4719" t="n">
        <v>1982518</v>
      </c>
      <c r="E4719" t="inlineStr">
        <is>
          <t>SEC</t>
        </is>
      </c>
    </row>
    <row r="4720">
      <c r="A4720" s="5">
        <f>HYPERLINK("https://finance.yahoo.com/quote/MGF","MGF")</f>
        <v/>
      </c>
      <c r="B4720" t="inlineStr">
        <is>
          <t>ABERDEEN GOVERNMENT MARKETS INCOME FUND</t>
        </is>
      </c>
      <c r="C4720" t="inlineStr">
        <is>
          <t>NYSE</t>
        </is>
      </c>
      <c r="D4720" t="n">
        <v>811922</v>
      </c>
      <c r="E4720" t="inlineStr">
        <is>
          <t>SEC</t>
        </is>
      </c>
    </row>
    <row r="4721">
      <c r="A4721" s="5">
        <f>HYPERLINK("https://finance.yahoo.com/quote/TNYA","TNYA")</f>
        <v/>
      </c>
      <c r="B4721" t="inlineStr">
        <is>
          <t>Tenaya Therapeutics, Inc.</t>
        </is>
      </c>
      <c r="C4721" t="inlineStr">
        <is>
          <t>Nasdaq</t>
        </is>
      </c>
      <c r="D4721" t="n">
        <v>1858848</v>
      </c>
      <c r="E4721" t="inlineStr">
        <is>
          <t>SEC</t>
        </is>
      </c>
    </row>
    <row r="4722">
      <c r="A4722" s="5">
        <f>HYPERLINK("https://finance.yahoo.com/quote/JLS","JLS")</f>
        <v/>
      </c>
      <c r="B4722" t="inlineStr">
        <is>
          <t>Nuveen Mortgage &amp; Income Fund/MA/</t>
        </is>
      </c>
      <c r="C4722" t="inlineStr">
        <is>
          <t>NYSE</t>
        </is>
      </c>
      <c r="D4722" t="n">
        <v>1472215</v>
      </c>
      <c r="E4722" t="inlineStr">
        <is>
          <t>SEC</t>
        </is>
      </c>
    </row>
    <row r="4723">
      <c r="A4723" s="5">
        <f>HYPERLINK("https://finance.yahoo.com/quote/BYNO","BYNO")</f>
        <v/>
      </c>
      <c r="B4723" t="inlineStr">
        <is>
          <t>byNordic Acquisition Corp</t>
        </is>
      </c>
      <c r="C4723" t="inlineStr">
        <is>
          <t>OTC</t>
        </is>
      </c>
      <c r="D4723" t="n">
        <v>1801417</v>
      </c>
      <c r="E4723" t="inlineStr">
        <is>
          <t>SEC</t>
        </is>
      </c>
    </row>
    <row r="4724">
      <c r="A4724" s="5">
        <f>HYPERLINK("https://finance.yahoo.com/quote/HOVR","HOVR")</f>
        <v/>
      </c>
      <c r="B4724" t="inlineStr">
        <is>
          <t>New Horizon Aircraft Ltd.</t>
        </is>
      </c>
      <c r="C4724" t="inlineStr">
        <is>
          <t>Nasdaq</t>
        </is>
      </c>
      <c r="D4724" t="n">
        <v>1930021</v>
      </c>
      <c r="E4724" t="inlineStr">
        <is>
          <t>SEC</t>
        </is>
      </c>
    </row>
    <row r="4725">
      <c r="A4725" s="5">
        <f>HYPERLINK("https://finance.yahoo.com/quote/TNXP","TNXP")</f>
        <v/>
      </c>
      <c r="B4725" t="inlineStr">
        <is>
          <t>Tonix Pharmaceuticals Holding Corp.</t>
        </is>
      </c>
      <c r="C4725" t="inlineStr">
        <is>
          <t>Nasdaq</t>
        </is>
      </c>
      <c r="D4725" t="n">
        <v>1430306</v>
      </c>
      <c r="E4725" t="inlineStr">
        <is>
          <t>SEC</t>
        </is>
      </c>
    </row>
    <row r="4726">
      <c r="A4726" s="5">
        <f>HYPERLINK("https://finance.yahoo.com/quote/VIOT","VIOT")</f>
        <v/>
      </c>
      <c r="B4726" t="inlineStr">
        <is>
          <t>Viomi Technology Co., Ltd</t>
        </is>
      </c>
      <c r="C4726" t="inlineStr">
        <is>
          <t>Nasdaq</t>
        </is>
      </c>
      <c r="D4726" t="n">
        <v>1742770</v>
      </c>
      <c r="E4726" t="inlineStr">
        <is>
          <t>SEC</t>
        </is>
      </c>
    </row>
    <row r="4727">
      <c r="A4727" s="5">
        <f>HYPERLINK("https://finance.yahoo.com/quote/CNDA","CNDA")</f>
        <v/>
      </c>
      <c r="B4727" t="inlineStr">
        <is>
          <t>Concord Acquisition Corp II</t>
        </is>
      </c>
      <c r="C4727" t="inlineStr">
        <is>
          <t>OTC</t>
        </is>
      </c>
      <c r="D4727" t="n">
        <v>1851959</v>
      </c>
      <c r="E4727" t="inlineStr">
        <is>
          <t>SEC</t>
        </is>
      </c>
    </row>
    <row r="4728">
      <c r="A4728" s="5">
        <f>HYPERLINK("https://finance.yahoo.com/quote/AIRS","AIRS")</f>
        <v/>
      </c>
      <c r="B4728" t="inlineStr">
        <is>
          <t>Airsculpt Technologies, Inc.</t>
        </is>
      </c>
      <c r="C4728" t="inlineStr">
        <is>
          <t>Nasdaq</t>
        </is>
      </c>
      <c r="D4728" t="n">
        <v>1870940</v>
      </c>
      <c r="E4728" t="inlineStr">
        <is>
          <t>SEC</t>
        </is>
      </c>
    </row>
    <row r="4729">
      <c r="A4729" s="5">
        <f>HYPERLINK("https://finance.yahoo.com/quote/JXG","JXG")</f>
        <v/>
      </c>
      <c r="B4729" t="inlineStr">
        <is>
          <t>JX Luxventure Group Inc.</t>
        </is>
      </c>
      <c r="C4729" t="inlineStr">
        <is>
          <t>Nasdaq</t>
        </is>
      </c>
      <c r="D4729" t="n">
        <v>1546383</v>
      </c>
      <c r="E4729" t="inlineStr">
        <is>
          <t>SEC</t>
        </is>
      </c>
    </row>
    <row r="4730">
      <c r="A4730" s="5">
        <f>HYPERLINK("https://finance.yahoo.com/quote/GRUSF","GRUSF")</f>
        <v/>
      </c>
      <c r="B4730" t="inlineStr">
        <is>
          <t>Grown Rogue International Inc.</t>
        </is>
      </c>
      <c r="C4730" t="inlineStr">
        <is>
          <t>OTC</t>
        </is>
      </c>
      <c r="D4730" t="n">
        <v>1463000</v>
      </c>
      <c r="E4730" t="inlineStr">
        <is>
          <t>SEC</t>
        </is>
      </c>
    </row>
    <row r="4731">
      <c r="A4731" s="5">
        <f>HYPERLINK("https://finance.yahoo.com/quote/FVN","FVN")</f>
        <v/>
      </c>
      <c r="B4731" t="inlineStr">
        <is>
          <t>Future Vision II Acquisition Corp.</t>
        </is>
      </c>
      <c r="C4731" t="inlineStr">
        <is>
          <t>Nasdaq</t>
        </is>
      </c>
      <c r="D4731" t="n">
        <v>2010653</v>
      </c>
      <c r="E4731" t="inlineStr">
        <is>
          <t>SEC</t>
        </is>
      </c>
    </row>
    <row r="4732">
      <c r="A4732" s="5">
        <f>HYPERLINK("https://finance.yahoo.com/quote/MCAH","MCAH")</f>
        <v/>
      </c>
      <c r="B4732" t="inlineStr">
        <is>
          <t>Mountain Crest Acquisition 6 Corp.</t>
        </is>
      </c>
      <c r="C4732" t="inlineStr">
        <is>
          <t>Nasdaq</t>
        </is>
      </c>
      <c r="D4732" t="n">
        <v>2109876</v>
      </c>
      <c r="E4732" t="inlineStr">
        <is>
          <t>SEC</t>
        </is>
      </c>
    </row>
    <row r="4733">
      <c r="A4733" s="5">
        <f>HYPERLINK("https://finance.yahoo.com/quote/APGOF","APGOF")</f>
        <v/>
      </c>
      <c r="B4733" t="inlineStr">
        <is>
          <t>Apollo Silver Corp</t>
        </is>
      </c>
      <c r="C4733" t="inlineStr">
        <is>
          <t>OTC</t>
        </is>
      </c>
      <c r="D4733" t="n">
        <v>1811931</v>
      </c>
      <c r="E4733" t="inlineStr">
        <is>
          <t>SEC</t>
        </is>
      </c>
    </row>
    <row r="4734">
      <c r="A4734" s="5">
        <f>HYPERLINK("https://finance.yahoo.com/quote/RLYB","RLYB")</f>
        <v/>
      </c>
      <c r="B4734" t="inlineStr">
        <is>
          <t>Rallybio Corp</t>
        </is>
      </c>
      <c r="C4734" t="inlineStr">
        <is>
          <t>Nasdaq</t>
        </is>
      </c>
      <c r="D4734" t="n">
        <v>1739410</v>
      </c>
      <c r="E4734" t="inlineStr">
        <is>
          <t>SEC</t>
        </is>
      </c>
    </row>
    <row r="4735">
      <c r="A4735" s="5">
        <f>HYPERLINK("https://finance.yahoo.com/quote/EDVR","EDVR")</f>
        <v/>
      </c>
      <c r="B4735" t="inlineStr">
        <is>
          <t>Endeavor Bancorp</t>
        </is>
      </c>
      <c r="C4735" t="inlineStr">
        <is>
          <t>OTC</t>
        </is>
      </c>
      <c r="D4735" t="n">
        <v>1917599</v>
      </c>
      <c r="E4735" t="inlineStr">
        <is>
          <t>SEC</t>
        </is>
      </c>
    </row>
    <row r="4736">
      <c r="A4736" s="5">
        <f>HYPERLINK("https://finance.yahoo.com/quote/RVRC","RVRC")</f>
        <v/>
      </c>
      <c r="B4736" t="inlineStr">
        <is>
          <t>Revium Rx.</t>
        </is>
      </c>
      <c r="C4736" t="inlineStr">
        <is>
          <t>OTC</t>
        </is>
      </c>
      <c r="D4736" t="n">
        <v>1839140</v>
      </c>
      <c r="E4736" t="inlineStr">
        <is>
          <t>SEC</t>
        </is>
      </c>
    </row>
    <row r="4737">
      <c r="A4737" s="5">
        <f>HYPERLINK("https://finance.yahoo.com/quote/CEPL","CEPL")</f>
        <v/>
      </c>
      <c r="B4737" t="inlineStr">
        <is>
          <t>Capstone Energy Plus, Inc.</t>
        </is>
      </c>
      <c r="C4737" t="inlineStr">
        <is>
          <t>Nasdaq</t>
        </is>
      </c>
      <c r="D4737" t="n">
        <v>1009759</v>
      </c>
      <c r="E4737" t="inlineStr">
        <is>
          <t>SEC</t>
        </is>
      </c>
    </row>
    <row r="4738">
      <c r="A4738" s="5">
        <f>HYPERLINK("https://finance.yahoo.com/quote/BMHL","BMHL")</f>
        <v/>
      </c>
      <c r="B4738" t="inlineStr">
        <is>
          <t>Bluemount Holdings Ltd</t>
        </is>
      </c>
      <c r="C4738" t="inlineStr">
        <is>
          <t>Nasdaq</t>
        </is>
      </c>
      <c r="D4738" t="n">
        <v>2027815</v>
      </c>
      <c r="E4738" t="inlineStr">
        <is>
          <t>SEC</t>
        </is>
      </c>
    </row>
    <row r="4739">
      <c r="A4739" s="5">
        <f>HYPERLINK("https://finance.yahoo.com/quote/RPT","RPT")</f>
        <v/>
      </c>
      <c r="B4739" t="inlineStr">
        <is>
          <t>Rithm Property Trust Inc.</t>
        </is>
      </c>
      <c r="C4739" t="inlineStr">
        <is>
          <t>NYSE</t>
        </is>
      </c>
      <c r="D4739" t="n">
        <v>1614806</v>
      </c>
      <c r="E4739" t="inlineStr">
        <is>
          <t>SEC</t>
        </is>
      </c>
    </row>
    <row r="4740">
      <c r="A4740" s="5">
        <f>HYPERLINK("https://finance.yahoo.com/quote/FBSI","FBSI")</f>
        <v/>
      </c>
      <c r="B4740" t="inlineStr">
        <is>
          <t>FIRST BANCSHARES INC /MO/</t>
        </is>
      </c>
      <c r="C4740" t="inlineStr">
        <is>
          <t>OTC</t>
        </is>
      </c>
      <c r="D4740" t="n">
        <v>912967</v>
      </c>
      <c r="E4740" t="inlineStr">
        <is>
          <t>SEC</t>
        </is>
      </c>
    </row>
    <row r="4741">
      <c r="A4741" s="5">
        <f>HYPERLINK("https://finance.yahoo.com/quote/FLNT","FLNT")</f>
        <v/>
      </c>
      <c r="B4741" t="inlineStr">
        <is>
          <t>Fluent, Inc.</t>
        </is>
      </c>
      <c r="C4741" t="inlineStr">
        <is>
          <t>Nasdaq</t>
        </is>
      </c>
      <c r="D4741" t="n">
        <v>1460329</v>
      </c>
      <c r="E4741" t="inlineStr">
        <is>
          <t>SEC</t>
        </is>
      </c>
    </row>
    <row r="4742">
      <c r="A4742" s="5">
        <f>HYPERLINK("https://finance.yahoo.com/quote/EVF","EVF")</f>
        <v/>
      </c>
      <c r="B4742" t="inlineStr">
        <is>
          <t>Eaton Vance Senior Income Trust</t>
        </is>
      </c>
      <c r="C4742" t="inlineStr">
        <is>
          <t>NYSE</t>
        </is>
      </c>
      <c r="D4742" t="n">
        <v>1070732</v>
      </c>
      <c r="E4742" t="inlineStr">
        <is>
          <t>SEC</t>
        </is>
      </c>
    </row>
    <row r="4743">
      <c r="A4743" s="5">
        <f>HYPERLINK("https://finance.yahoo.com/quote/RMI","RMI")</f>
        <v/>
      </c>
      <c r="B4743" t="inlineStr">
        <is>
          <t>RiverNorth Opportunistic Municipal Income Fund, Inc.</t>
        </is>
      </c>
      <c r="C4743" t="inlineStr">
        <is>
          <t>NYSE</t>
        </is>
      </c>
      <c r="D4743" t="n">
        <v>1746967</v>
      </c>
      <c r="E4743" t="inlineStr">
        <is>
          <t>SEC</t>
        </is>
      </c>
    </row>
    <row r="4744">
      <c r="A4744" s="5">
        <f>HYPERLINK("https://finance.yahoo.com/quote/SUNS","SUNS")</f>
        <v/>
      </c>
      <c r="B4744" t="inlineStr">
        <is>
          <t>Sunrise Realty Trust, Inc.</t>
        </is>
      </c>
      <c r="C4744" t="inlineStr">
        <is>
          <t>Nasdaq</t>
        </is>
      </c>
      <c r="D4744" t="n">
        <v>2012706</v>
      </c>
      <c r="E4744" t="inlineStr">
        <is>
          <t>SEC</t>
        </is>
      </c>
    </row>
    <row r="4745">
      <c r="A4745" s="5">
        <f>HYPERLINK("https://finance.yahoo.com/quote/NOBH","NOBH")</f>
        <v/>
      </c>
      <c r="B4745" t="inlineStr">
        <is>
          <t>NOBILITY HOMES INC</t>
        </is>
      </c>
      <c r="C4745" t="inlineStr">
        <is>
          <t>OTC</t>
        </is>
      </c>
      <c r="D4745" t="n">
        <v>72205</v>
      </c>
      <c r="E4745" t="inlineStr">
        <is>
          <t>SEC</t>
        </is>
      </c>
    </row>
    <row r="4746">
      <c r="A4746" s="5">
        <f>HYPERLINK("https://finance.yahoo.com/quote/NYXH","NYXH")</f>
        <v/>
      </c>
      <c r="B4746" t="inlineStr">
        <is>
          <t>Nyxoah SA</t>
        </is>
      </c>
      <c r="C4746" t="inlineStr">
        <is>
          <t>Nasdaq</t>
        </is>
      </c>
      <c r="D4746" t="n">
        <v>1857190</v>
      </c>
      <c r="E4746" t="inlineStr">
        <is>
          <t>SEC</t>
        </is>
      </c>
    </row>
    <row r="4747">
      <c r="A4747" s="5">
        <f>HYPERLINK("https://finance.yahoo.com/quote/QUCY","QUCY")</f>
        <v/>
      </c>
      <c r="B4747" t="inlineStr">
        <is>
          <t>Quantum Cyber N.V.</t>
        </is>
      </c>
      <c r="C4747" t="inlineStr">
        <is>
          <t>Nasdaq</t>
        </is>
      </c>
      <c r="D4747" t="n">
        <v>1874252</v>
      </c>
      <c r="E4747" t="inlineStr">
        <is>
          <t>SEC</t>
        </is>
      </c>
    </row>
    <row r="4748">
      <c r="A4748" s="5">
        <f>HYPERLINK("https://finance.yahoo.com/quote/RANI","RANI")</f>
        <v/>
      </c>
      <c r="B4748" t="inlineStr">
        <is>
          <t>Rani Therapeutics Holdings, Inc.</t>
        </is>
      </c>
      <c r="C4748" t="inlineStr">
        <is>
          <t>Nasdaq</t>
        </is>
      </c>
      <c r="D4748" t="n">
        <v>1856725</v>
      </c>
      <c r="E4748" t="inlineStr">
        <is>
          <t>SEC</t>
        </is>
      </c>
    </row>
    <row r="4749">
      <c r="A4749" s="5">
        <f>HYPERLINK("https://finance.yahoo.com/quote/LGL","LGL")</f>
        <v/>
      </c>
      <c r="B4749" t="inlineStr">
        <is>
          <t>LGL GROUP INC</t>
        </is>
      </c>
      <c r="C4749" t="inlineStr">
        <is>
          <t>NYSE</t>
        </is>
      </c>
      <c r="D4749" t="n">
        <v>61004</v>
      </c>
      <c r="E4749" t="inlineStr">
        <is>
          <t>SEC</t>
        </is>
      </c>
    </row>
    <row r="4750">
      <c r="A4750" s="5">
        <f>HYPERLINK("https://finance.yahoo.com/quote/INSE","INSE")</f>
        <v/>
      </c>
      <c r="B4750" t="inlineStr">
        <is>
          <t>Inspired Entertainment, Inc.</t>
        </is>
      </c>
      <c r="C4750" t="inlineStr">
        <is>
          <t>Nasdaq</t>
        </is>
      </c>
      <c r="D4750" t="n">
        <v>1615063</v>
      </c>
      <c r="E4750" t="inlineStr">
        <is>
          <t>SEC</t>
        </is>
      </c>
    </row>
    <row r="4751">
      <c r="A4751" s="5">
        <f>HYPERLINK("https://finance.yahoo.com/quote/MGLD","MGLD")</f>
        <v/>
      </c>
      <c r="B4751" t="inlineStr">
        <is>
          <t>Marygold Companies, Inc.</t>
        </is>
      </c>
      <c r="C4751" t="inlineStr">
        <is>
          <t>NYSE</t>
        </is>
      </c>
      <c r="D4751" t="n">
        <v>1005101</v>
      </c>
      <c r="E4751" t="inlineStr">
        <is>
          <t>SEC</t>
        </is>
      </c>
    </row>
    <row r="4752">
      <c r="A4752" s="5">
        <f>HYPERLINK("https://finance.yahoo.com/quote/ORRCF","ORRCF")</f>
        <v/>
      </c>
      <c r="B4752" t="inlineStr">
        <is>
          <t>OROCO RESOURCE CORP</t>
        </is>
      </c>
      <c r="C4752" t="inlineStr">
        <is>
          <t>OTC</t>
        </is>
      </c>
      <c r="D4752" t="n">
        <v>1390352</v>
      </c>
      <c r="E4752" t="inlineStr">
        <is>
          <t>SEC</t>
        </is>
      </c>
    </row>
    <row r="4753">
      <c r="A4753" s="5">
        <f>HYPERLINK("https://finance.yahoo.com/quote/KSBI","KSBI")</f>
        <v/>
      </c>
      <c r="B4753" t="inlineStr">
        <is>
          <t>KS BANCORP INC</t>
        </is>
      </c>
      <c r="C4753" t="inlineStr">
        <is>
          <t>OTC</t>
        </is>
      </c>
      <c r="D4753" t="n">
        <v>912764</v>
      </c>
      <c r="E4753" t="inlineStr">
        <is>
          <t>SEC</t>
        </is>
      </c>
    </row>
    <row r="4754">
      <c r="A4754" s="5">
        <f>HYPERLINK("https://finance.yahoo.com/quote/PECE","PECE")</f>
        <v/>
      </c>
      <c r="B4754" t="inlineStr">
        <is>
          <t>Peace Acquisition Corp.</t>
        </is>
      </c>
      <c r="C4754" t="inlineStr">
        <is>
          <t>Nasdaq</t>
        </is>
      </c>
      <c r="D4754" t="n">
        <v>2088626</v>
      </c>
      <c r="E4754" t="inlineStr">
        <is>
          <t>SEC</t>
        </is>
      </c>
    </row>
    <row r="4755">
      <c r="A4755" s="5">
        <f>HYPERLINK("https://finance.yahoo.com/quote/SIREF","SIREF")</f>
        <v/>
      </c>
      <c r="B4755" t="inlineStr">
        <is>
          <t>Sirios Resources Inc.</t>
        </is>
      </c>
      <c r="C4755" t="inlineStr">
        <is>
          <t>OTC</t>
        </is>
      </c>
      <c r="D4755" t="n">
        <v>1577783</v>
      </c>
      <c r="E4755" t="inlineStr">
        <is>
          <t>SEC</t>
        </is>
      </c>
    </row>
    <row r="4756">
      <c r="A4756" s="5">
        <f>HYPERLINK("https://finance.yahoo.com/quote/SMNR","SMNR")</f>
        <v/>
      </c>
      <c r="B4756" t="inlineStr">
        <is>
          <t>Semnur Pharmaceuticals, Inc.</t>
        </is>
      </c>
      <c r="C4756" t="inlineStr">
        <is>
          <t>OTC</t>
        </is>
      </c>
      <c r="D4756" t="n">
        <v>1913577</v>
      </c>
      <c r="E4756" t="inlineStr">
        <is>
          <t>SEC</t>
        </is>
      </c>
    </row>
    <row r="4757">
      <c r="A4757" s="5">
        <f>HYPERLINK("https://finance.yahoo.com/quote/CWGL","CWGL")</f>
        <v/>
      </c>
      <c r="B4757" t="inlineStr">
        <is>
          <t>Crimson Wine Group, Ltd</t>
        </is>
      </c>
      <c r="C4757" t="inlineStr">
        <is>
          <t>OTC</t>
        </is>
      </c>
      <c r="D4757" t="n">
        <v>1562151</v>
      </c>
      <c r="E4757" t="inlineStr">
        <is>
          <t>SEC</t>
        </is>
      </c>
    </row>
    <row r="4758">
      <c r="A4758" s="5">
        <f>HYPERLINK("https://finance.yahoo.com/quote/MRAI","MRAI")</f>
        <v/>
      </c>
      <c r="B4758" t="inlineStr">
        <is>
          <t>Marpai, Inc.</t>
        </is>
      </c>
      <c r="C4758" t="inlineStr">
        <is>
          <t>OTC</t>
        </is>
      </c>
      <c r="D4758" t="n">
        <v>1844392</v>
      </c>
      <c r="E4758" t="inlineStr">
        <is>
          <t>SEC</t>
        </is>
      </c>
    </row>
    <row r="4759">
      <c r="A4759" s="5">
        <f>HYPERLINK("https://finance.yahoo.com/quote/BZFD","BZFD")</f>
        <v/>
      </c>
      <c r="B4759" t="inlineStr">
        <is>
          <t>BuzzFeed, Inc.</t>
        </is>
      </c>
      <c r="C4759" t="inlineStr">
        <is>
          <t>Nasdaq</t>
        </is>
      </c>
      <c r="D4759" t="n">
        <v>1828972</v>
      </c>
      <c r="E4759" t="inlineStr">
        <is>
          <t>SEC</t>
        </is>
      </c>
    </row>
    <row r="4760">
      <c r="A4760" s="5">
        <f>HYPERLINK("https://finance.yahoo.com/quote/LPA","LPA")</f>
        <v/>
      </c>
      <c r="B4760" t="inlineStr">
        <is>
          <t>Logistic Properties of the Americas</t>
        </is>
      </c>
      <c r="C4760" t="inlineStr">
        <is>
          <t>NYSE</t>
        </is>
      </c>
      <c r="D4760" t="n">
        <v>1997711</v>
      </c>
      <c r="E4760" t="inlineStr">
        <is>
          <t>SEC</t>
        </is>
      </c>
    </row>
    <row r="4761">
      <c r="A4761" s="5">
        <f>HYPERLINK("https://finance.yahoo.com/quote/MAYS","MAYS")</f>
        <v/>
      </c>
      <c r="B4761" t="inlineStr">
        <is>
          <t>MAYS J W INC</t>
        </is>
      </c>
      <c r="C4761" t="inlineStr">
        <is>
          <t>Nasdaq</t>
        </is>
      </c>
      <c r="D4761" t="n">
        <v>54187</v>
      </c>
      <c r="E4761" t="inlineStr">
        <is>
          <t>SEC</t>
        </is>
      </c>
    </row>
    <row r="4762">
      <c r="A4762" s="5">
        <f>HYPERLINK("https://finance.yahoo.com/quote/SLNG","SLNG")</f>
        <v/>
      </c>
      <c r="B4762" t="inlineStr">
        <is>
          <t>Stabilis Solutions, Inc.</t>
        </is>
      </c>
      <c r="C4762" t="inlineStr">
        <is>
          <t>Nasdaq</t>
        </is>
      </c>
      <c r="D4762" t="n">
        <v>1043186</v>
      </c>
      <c r="E4762" t="inlineStr">
        <is>
          <t>SEC</t>
        </is>
      </c>
    </row>
    <row r="4763">
      <c r="A4763" s="5">
        <f>HYPERLINK("https://finance.yahoo.com/quote/UYSC","UYSC")</f>
        <v/>
      </c>
      <c r="B4763" t="inlineStr">
        <is>
          <t>UY Scuti Acquisition Corp.</t>
        </is>
      </c>
      <c r="C4763" t="inlineStr">
        <is>
          <t>Nasdaq</t>
        </is>
      </c>
      <c r="D4763" t="n">
        <v>2036973</v>
      </c>
      <c r="E4763" t="inlineStr">
        <is>
          <t>SEC</t>
        </is>
      </c>
    </row>
    <row r="4764">
      <c r="A4764" s="5">
        <f>HYPERLINK("https://finance.yahoo.com/quote/HFFG","HFFG")</f>
        <v/>
      </c>
      <c r="B4764" t="inlineStr">
        <is>
          <t>HF Foods Group Inc.</t>
        </is>
      </c>
      <c r="C4764" t="inlineStr">
        <is>
          <t>Nasdaq</t>
        </is>
      </c>
      <c r="D4764" t="n">
        <v>1680873</v>
      </c>
      <c r="E4764" t="inlineStr">
        <is>
          <t>SEC</t>
        </is>
      </c>
    </row>
    <row r="4765">
      <c r="A4765" s="5">
        <f>HYPERLINK("https://finance.yahoo.com/quote/GRWG","GRWG")</f>
        <v/>
      </c>
      <c r="B4765" t="inlineStr">
        <is>
          <t>GrowGeneration Corp.</t>
        </is>
      </c>
      <c r="C4765" t="inlineStr">
        <is>
          <t>Nasdaq</t>
        </is>
      </c>
      <c r="D4765" t="n">
        <v>1604868</v>
      </c>
      <c r="E4765" t="inlineStr">
        <is>
          <t>SEC</t>
        </is>
      </c>
    </row>
    <row r="4766">
      <c r="A4766" s="5">
        <f>HYPERLINK("https://finance.yahoo.com/quote/CRT","CRT")</f>
        <v/>
      </c>
      <c r="B4766" t="inlineStr">
        <is>
          <t>CROSS TIMBERS ROYALTY TRUST</t>
        </is>
      </c>
      <c r="C4766" t="inlineStr">
        <is>
          <t>NYSE</t>
        </is>
      </c>
      <c r="D4766" t="n">
        <v>881787</v>
      </c>
      <c r="E4766" t="inlineStr">
        <is>
          <t>SEC</t>
        </is>
      </c>
    </row>
    <row r="4767">
      <c r="A4767" s="5">
        <f>HYPERLINK("https://finance.yahoo.com/quote/BUDA","BUDA")</f>
        <v/>
      </c>
      <c r="B4767" t="inlineStr">
        <is>
          <t>BUDA JUICE, INC.</t>
        </is>
      </c>
      <c r="C4767" t="inlineStr">
        <is>
          <t>NYSE</t>
        </is>
      </c>
      <c r="D4767" t="n">
        <v>2079720</v>
      </c>
      <c r="E4767" t="inlineStr">
        <is>
          <t>SEC</t>
        </is>
      </c>
    </row>
    <row r="4768">
      <c r="A4768" s="5">
        <f>HYPERLINK("https://finance.yahoo.com/quote/APAC","APAC")</f>
        <v/>
      </c>
      <c r="B4768" t="inlineStr">
        <is>
          <t>StoneBridge Acquisition II Corp</t>
        </is>
      </c>
      <c r="C4768" t="inlineStr">
        <is>
          <t>Nasdaq</t>
        </is>
      </c>
      <c r="D4768" t="n">
        <v>2043630</v>
      </c>
      <c r="E4768" t="inlineStr">
        <is>
          <t>SEC</t>
        </is>
      </c>
    </row>
    <row r="4769">
      <c r="A4769" s="5">
        <f>HYPERLINK("https://finance.yahoo.com/quote/CPHC","CPHC")</f>
        <v/>
      </c>
      <c r="B4769" t="inlineStr">
        <is>
          <t>Canterbury Park Holding Corp</t>
        </is>
      </c>
      <c r="C4769" t="inlineStr">
        <is>
          <t>Nasdaq</t>
        </is>
      </c>
      <c r="D4769" t="n">
        <v>1672909</v>
      </c>
      <c r="E4769" t="inlineStr">
        <is>
          <t>SEC</t>
        </is>
      </c>
    </row>
    <row r="4770">
      <c r="A4770" s="5">
        <f>HYPERLINK("https://finance.yahoo.com/quote/NUVR","NUVR")</f>
        <v/>
      </c>
      <c r="B4770" t="inlineStr">
        <is>
          <t>Nuvera Communications, Inc.</t>
        </is>
      </c>
      <c r="C4770" t="inlineStr">
        <is>
          <t>OTC</t>
        </is>
      </c>
      <c r="D4770" t="n">
        <v>71557</v>
      </c>
      <c r="E4770" t="inlineStr">
        <is>
          <t>SEC</t>
        </is>
      </c>
    </row>
    <row r="4771">
      <c r="A4771" s="5">
        <f>HYPERLINK("https://finance.yahoo.com/quote/FSI","FSI")</f>
        <v/>
      </c>
      <c r="B4771" t="inlineStr">
        <is>
          <t>FLEXIBLE SOLUTIONS INTERNATIONAL INC</t>
        </is>
      </c>
      <c r="C4771" t="inlineStr">
        <is>
          <t>NYSE</t>
        </is>
      </c>
      <c r="D4771" t="n">
        <v>1069394</v>
      </c>
      <c r="E4771" t="inlineStr">
        <is>
          <t>SEC</t>
        </is>
      </c>
    </row>
    <row r="4772">
      <c r="A4772" s="5">
        <f>HYPERLINK("https://finance.yahoo.com/quote/ZKIN","ZKIN")</f>
        <v/>
      </c>
      <c r="B4772" t="inlineStr">
        <is>
          <t>ZK International Group Co., Ltd.</t>
        </is>
      </c>
      <c r="C4772" t="inlineStr">
        <is>
          <t>Nasdaq</t>
        </is>
      </c>
      <c r="D4772" t="n">
        <v>1687451</v>
      </c>
      <c r="E4772" t="inlineStr">
        <is>
          <t>SEC</t>
        </is>
      </c>
    </row>
    <row r="4773">
      <c r="A4773" s="5">
        <f>HYPERLINK("https://finance.yahoo.com/quote/QXL","QXL")</f>
        <v/>
      </c>
      <c r="B4773" t="inlineStr">
        <is>
          <t>QUANTUM X LABS INC.</t>
        </is>
      </c>
      <c r="C4773" t="inlineStr">
        <is>
          <t>Nasdaq</t>
        </is>
      </c>
      <c r="D4773" t="n">
        <v>797542</v>
      </c>
      <c r="E4773" t="inlineStr">
        <is>
          <t>SEC</t>
        </is>
      </c>
    </row>
    <row r="4774">
      <c r="A4774" s="5">
        <f>HYPERLINK("https://finance.yahoo.com/quote/EMPD","EMPD")</f>
        <v/>
      </c>
      <c r="B4774" t="inlineStr">
        <is>
          <t>Empery Digital Inc.</t>
        </is>
      </c>
      <c r="C4774" t="inlineStr">
        <is>
          <t>Nasdaq</t>
        </is>
      </c>
      <c r="D4774" t="n">
        <v>1829794</v>
      </c>
      <c r="E4774" t="inlineStr">
        <is>
          <t>SEC</t>
        </is>
      </c>
    </row>
    <row r="4775">
      <c r="A4775" s="5">
        <f>HYPERLINK("https://finance.yahoo.com/quote/PFX","PFX")</f>
        <v/>
      </c>
      <c r="B4775" t="inlineStr">
        <is>
          <t>PhenixFIN Corp</t>
        </is>
      </c>
      <c r="C4775" t="inlineStr">
        <is>
          <t>Nasdaq</t>
        </is>
      </c>
      <c r="D4775" t="n">
        <v>1490349</v>
      </c>
      <c r="E4775" t="inlineStr">
        <is>
          <t>SEC</t>
        </is>
      </c>
    </row>
    <row r="4776">
      <c r="A4776" s="5">
        <f>HYPERLINK("https://finance.yahoo.com/quote/TDTH","TDTH")</f>
        <v/>
      </c>
      <c r="B4776" t="inlineStr">
        <is>
          <t>Trident Digital Tech Holdings Ltd</t>
        </is>
      </c>
      <c r="C4776" t="inlineStr">
        <is>
          <t>Nasdaq</t>
        </is>
      </c>
      <c r="D4776" t="n">
        <v>1983550</v>
      </c>
      <c r="E4776" t="inlineStr">
        <is>
          <t>SEC</t>
        </is>
      </c>
    </row>
    <row r="4777">
      <c r="A4777" s="5">
        <f>HYPERLINK("https://finance.yahoo.com/quote/SOTK","SOTK")</f>
        <v/>
      </c>
      <c r="B4777" t="inlineStr">
        <is>
          <t>SONO TEK CORP</t>
        </is>
      </c>
      <c r="C4777" t="inlineStr">
        <is>
          <t>Nasdaq</t>
        </is>
      </c>
      <c r="D4777" t="n">
        <v>806172</v>
      </c>
      <c r="E4777" t="inlineStr">
        <is>
          <t>SEC</t>
        </is>
      </c>
    </row>
    <row r="4778">
      <c r="A4778" s="5">
        <f>HYPERLINK("https://finance.yahoo.com/quote/CSTE","CSTE")</f>
        <v/>
      </c>
      <c r="B4778" t="inlineStr">
        <is>
          <t>Caesarstone Ltd.</t>
        </is>
      </c>
      <c r="C4778" t="inlineStr">
        <is>
          <t>Nasdaq</t>
        </is>
      </c>
      <c r="D4778" t="n">
        <v>1504379</v>
      </c>
      <c r="E4778" t="inlineStr">
        <is>
          <t>SEC</t>
        </is>
      </c>
    </row>
    <row r="4779">
      <c r="A4779" s="5">
        <f>HYPERLINK("https://finance.yahoo.com/quote/OESX","OESX")</f>
        <v/>
      </c>
      <c r="B4779" t="inlineStr">
        <is>
          <t>ORION ENERGY SYSTEMS, INC.</t>
        </is>
      </c>
      <c r="C4779" t="inlineStr">
        <is>
          <t>Nasdaq</t>
        </is>
      </c>
      <c r="D4779" t="n">
        <v>1409375</v>
      </c>
      <c r="E4779" t="inlineStr">
        <is>
          <t>SEC</t>
        </is>
      </c>
    </row>
    <row r="4780">
      <c r="A4780" s="5">
        <f>HYPERLINK("https://finance.yahoo.com/quote/AAWH","AAWH")</f>
        <v/>
      </c>
      <c r="B4780" t="inlineStr">
        <is>
          <t>Ascend Wellness Holdings, Inc.</t>
        </is>
      </c>
      <c r="C4780" t="inlineStr">
        <is>
          <t>OTC</t>
        </is>
      </c>
      <c r="D4780" t="n">
        <v>1756390</v>
      </c>
      <c r="E4780" t="inlineStr">
        <is>
          <t>SEC</t>
        </is>
      </c>
    </row>
    <row r="4781">
      <c r="A4781" s="5">
        <f>HYPERLINK("https://finance.yahoo.com/quote/RFM","RFM")</f>
        <v/>
      </c>
      <c r="B4781" t="inlineStr">
        <is>
          <t>RiverNorth Flexible Municipal Income Fund, Inc.</t>
        </is>
      </c>
      <c r="C4781" t="inlineStr">
        <is>
          <t>NYSE</t>
        </is>
      </c>
      <c r="D4781" t="n">
        <v>1790177</v>
      </c>
      <c r="E4781" t="inlineStr">
        <is>
          <t>SEC</t>
        </is>
      </c>
    </row>
    <row r="4782">
      <c r="A4782" s="5">
        <f>HYPERLINK("https://finance.yahoo.com/quote/BSIN","BSIN")</f>
        <v/>
      </c>
      <c r="B4782" t="inlineStr">
        <is>
          <t>BIG SKY INDUSTRIAL INC.</t>
        </is>
      </c>
      <c r="C4782" t="inlineStr">
        <is>
          <t>Nasdaq</t>
        </is>
      </c>
      <c r="D4782" t="n">
        <v>101594</v>
      </c>
      <c r="E4782" t="inlineStr">
        <is>
          <t>SEC</t>
        </is>
      </c>
    </row>
    <row r="4783">
      <c r="A4783" s="5">
        <f>HYPERLINK("https://finance.yahoo.com/quote/ASRV","ASRV")</f>
        <v/>
      </c>
      <c r="B4783" t="inlineStr">
        <is>
          <t>AMERISERV FINANCIAL INC /PA/</t>
        </is>
      </c>
      <c r="C4783" t="inlineStr">
        <is>
          <t>Nasdaq</t>
        </is>
      </c>
      <c r="D4783" t="n">
        <v>707605</v>
      </c>
      <c r="E4783" t="inlineStr">
        <is>
          <t>SEC</t>
        </is>
      </c>
    </row>
    <row r="4784">
      <c r="A4784" s="5">
        <f>HYPERLINK("https://finance.yahoo.com/quote/NPWR","NPWR")</f>
        <v/>
      </c>
      <c r="B4784" t="inlineStr">
        <is>
          <t>Net Power Inc.</t>
        </is>
      </c>
      <c r="C4784" t="inlineStr">
        <is>
          <t>NYSE</t>
        </is>
      </c>
      <c r="D4784" t="n">
        <v>1845437</v>
      </c>
      <c r="E4784" t="inlineStr">
        <is>
          <t>SEC</t>
        </is>
      </c>
    </row>
    <row r="4785">
      <c r="A4785" s="5">
        <f>HYPERLINK("https://finance.yahoo.com/quote/WSTN","WSTN")</f>
        <v/>
      </c>
      <c r="B4785" t="inlineStr">
        <is>
          <t>Westin Acquisition Corp</t>
        </is>
      </c>
      <c r="C4785" t="inlineStr">
        <is>
          <t>Nasdaq</t>
        </is>
      </c>
      <c r="D4785" t="n">
        <v>2076192</v>
      </c>
      <c r="E4785" t="inlineStr">
        <is>
          <t>SEC</t>
        </is>
      </c>
    </row>
    <row r="4786">
      <c r="A4786" s="5">
        <f>HYPERLINK("https://finance.yahoo.com/quote/CPBI","CPBI")</f>
        <v/>
      </c>
      <c r="B4786" t="inlineStr">
        <is>
          <t>Central Plains Bancshares, Inc.</t>
        </is>
      </c>
      <c r="C4786" t="inlineStr">
        <is>
          <t>Nasdaq</t>
        </is>
      </c>
      <c r="D4786" t="n">
        <v>1979332</v>
      </c>
      <c r="E4786" t="inlineStr">
        <is>
          <t>SEC</t>
        </is>
      </c>
    </row>
    <row r="4787">
      <c r="A4787" s="5">
        <f>HYPERLINK("https://finance.yahoo.com/quote/XTRAF","XTRAF")</f>
        <v/>
      </c>
      <c r="B4787" t="inlineStr">
        <is>
          <t>Xtract One Technologies Inc.</t>
        </is>
      </c>
      <c r="C4787" t="inlineStr">
        <is>
          <t>OTC</t>
        </is>
      </c>
      <c r="D4787" t="n">
        <v>1684505</v>
      </c>
      <c r="E4787" t="inlineStr">
        <is>
          <t>SEC</t>
        </is>
      </c>
    </row>
    <row r="4788">
      <c r="A4788" s="5">
        <f>HYPERLINK("https://finance.yahoo.com/quote/FMN","FMN")</f>
        <v/>
      </c>
      <c r="B4788" t="inlineStr">
        <is>
          <t>Federated Hermes Premier Municipal Income Fund</t>
        </is>
      </c>
      <c r="C4788" t="inlineStr">
        <is>
          <t>NYSE</t>
        </is>
      </c>
      <c r="D4788" t="n">
        <v>1199004</v>
      </c>
      <c r="E4788" t="inlineStr">
        <is>
          <t>SEC</t>
        </is>
      </c>
    </row>
    <row r="4789">
      <c r="A4789" s="5">
        <f>HYPERLINK("https://finance.yahoo.com/quote/HNNA","HNNA")</f>
        <v/>
      </c>
      <c r="B4789" t="inlineStr">
        <is>
          <t>HENNESSY ADVISORS INC</t>
        </is>
      </c>
      <c r="C4789" t="inlineStr">
        <is>
          <t>Nasdaq</t>
        </is>
      </c>
      <c r="D4789" t="n">
        <v>1145255</v>
      </c>
      <c r="E4789" t="inlineStr">
        <is>
          <t>SEC</t>
        </is>
      </c>
    </row>
    <row r="4790">
      <c r="A4790" s="5">
        <f>HYPERLINK("https://finance.yahoo.com/quote/THMG","THMG")</f>
        <v/>
      </c>
      <c r="B4790" t="inlineStr">
        <is>
          <t>THUNDER MOUNTAIN GOLD INC</t>
        </is>
      </c>
      <c r="C4790" t="inlineStr">
        <is>
          <t>OTC</t>
        </is>
      </c>
      <c r="D4790" t="n">
        <v>711034</v>
      </c>
      <c r="E4790" t="inlineStr">
        <is>
          <t>SEC</t>
        </is>
      </c>
    </row>
    <row r="4791">
      <c r="A4791" s="5">
        <f>HYPERLINK("https://finance.yahoo.com/quote/JATT","JATT")</f>
        <v/>
      </c>
      <c r="B4791" t="inlineStr">
        <is>
          <t>JATT II Acquisition Corp.</t>
        </is>
      </c>
      <c r="C4791" t="inlineStr">
        <is>
          <t>Nasdaq</t>
        </is>
      </c>
      <c r="D4791" t="n">
        <v>2112446</v>
      </c>
      <c r="E4791" t="inlineStr">
        <is>
          <t>SEC</t>
        </is>
      </c>
    </row>
    <row r="4792">
      <c r="A4792" s="5">
        <f>HYPERLINK("https://finance.yahoo.com/quote/PZG","PZG")</f>
        <v/>
      </c>
      <c r="B4792" t="inlineStr">
        <is>
          <t>Paramount Gold Nevada Corp.</t>
        </is>
      </c>
      <c r="C4792" t="inlineStr">
        <is>
          <t>NYSE</t>
        </is>
      </c>
      <c r="D4792" t="n">
        <v>1629210</v>
      </c>
      <c r="E4792" t="inlineStr">
        <is>
          <t>SEC</t>
        </is>
      </c>
    </row>
    <row r="4793">
      <c r="A4793" s="5">
        <f>HYPERLINK("https://finance.yahoo.com/quote/XTGRF","XTGRF")</f>
        <v/>
      </c>
      <c r="B4793" t="inlineStr">
        <is>
          <t>XTRA-GOLD RESOURCES CORP</t>
        </is>
      </c>
      <c r="C4793" t="inlineStr">
        <is>
          <t>OTC</t>
        </is>
      </c>
      <c r="D4793" t="n">
        <v>1288770</v>
      </c>
      <c r="E4793" t="inlineStr">
        <is>
          <t>SEC</t>
        </is>
      </c>
    </row>
    <row r="4794">
      <c r="A4794" s="5">
        <f>HYPERLINK("https://finance.yahoo.com/quote/SERA","SERA")</f>
        <v/>
      </c>
      <c r="B4794" t="inlineStr">
        <is>
          <t>SERA PROGNOSTICS, INC.</t>
        </is>
      </c>
      <c r="C4794" t="inlineStr">
        <is>
          <t>Nasdaq</t>
        </is>
      </c>
      <c r="D4794" t="n">
        <v>1534969</v>
      </c>
      <c r="E4794" t="inlineStr">
        <is>
          <t>SEC</t>
        </is>
      </c>
    </row>
    <row r="4795">
      <c r="A4795" s="5">
        <f>HYPERLINK("https://finance.yahoo.com/quote/MMLP","MMLP")</f>
        <v/>
      </c>
      <c r="B4795" t="inlineStr">
        <is>
          <t>MARTIN MIDSTREAM PARTNERS L.P.</t>
        </is>
      </c>
      <c r="C4795" t="inlineStr">
        <is>
          <t>Nasdaq</t>
        </is>
      </c>
      <c r="D4795" t="n">
        <v>1176334</v>
      </c>
      <c r="E4795" t="inlineStr">
        <is>
          <t>SEC</t>
        </is>
      </c>
    </row>
    <row r="4796">
      <c r="A4796" s="5">
        <f>HYPERLINK("https://finance.yahoo.com/quote/LUCD","LUCD")</f>
        <v/>
      </c>
      <c r="B4796" t="inlineStr">
        <is>
          <t>Lucid Diagnostics Inc.</t>
        </is>
      </c>
      <c r="C4796" t="inlineStr">
        <is>
          <t>Nasdaq</t>
        </is>
      </c>
      <c r="D4796" t="n">
        <v>1799011</v>
      </c>
      <c r="E4796" t="inlineStr">
        <is>
          <t>SEC</t>
        </is>
      </c>
    </row>
    <row r="4797">
      <c r="A4797" s="5">
        <f>HYPERLINK("https://finance.yahoo.com/quote/LUD","LUD")</f>
        <v/>
      </c>
      <c r="B4797" t="inlineStr">
        <is>
          <t>Luda Technology Group Ltd</t>
        </is>
      </c>
      <c r="C4797" t="inlineStr">
        <is>
          <t>NYSE</t>
        </is>
      </c>
      <c r="D4797" t="n">
        <v>1984124</v>
      </c>
      <c r="E4797" t="inlineStr">
        <is>
          <t>SEC</t>
        </is>
      </c>
    </row>
    <row r="4798">
      <c r="A4798" s="5">
        <f>HYPERLINK("https://finance.yahoo.com/quote/NRT","NRT")</f>
        <v/>
      </c>
      <c r="B4798" t="inlineStr">
        <is>
          <t>NORTH EUROPEAN OIL ROYALTY TRUST</t>
        </is>
      </c>
      <c r="C4798" t="inlineStr">
        <is>
          <t>NYSE</t>
        </is>
      </c>
      <c r="D4798" t="n">
        <v>72633</v>
      </c>
      <c r="E4798" t="inlineStr">
        <is>
          <t>SEC</t>
        </is>
      </c>
    </row>
    <row r="4799">
      <c r="A4799" s="5">
        <f>HYPERLINK("https://finance.yahoo.com/quote/BCRD","BCRD")</f>
        <v/>
      </c>
      <c r="B4799" t="inlineStr">
        <is>
          <t>BlueOne Technologies, Inc.</t>
        </is>
      </c>
      <c r="C4799" t="inlineStr">
        <is>
          <t>OTC</t>
        </is>
      </c>
      <c r="D4799" t="n">
        <v>1496690</v>
      </c>
      <c r="E4799" t="inlineStr">
        <is>
          <t>SEC</t>
        </is>
      </c>
    </row>
    <row r="4800">
      <c r="A4800" s="5">
        <f>HYPERLINK("https://finance.yahoo.com/quote/MIST","MIST")</f>
        <v/>
      </c>
      <c r="B4800" t="inlineStr">
        <is>
          <t>Milestone Pharmaceuticals Inc.</t>
        </is>
      </c>
      <c r="C4800" t="inlineStr">
        <is>
          <t>Nasdaq</t>
        </is>
      </c>
      <c r="D4800" t="n">
        <v>1408443</v>
      </c>
      <c r="E4800" t="inlineStr">
        <is>
          <t>SEC</t>
        </is>
      </c>
    </row>
    <row r="4801">
      <c r="A4801" s="5">
        <f>HYPERLINK("https://finance.yahoo.com/quote/DTF","DTF")</f>
        <v/>
      </c>
      <c r="B4801" t="inlineStr">
        <is>
          <t>DTF TAX-FREE INCOME 2028 TERM FUND INC</t>
        </is>
      </c>
      <c r="C4801" t="inlineStr">
        <is>
          <t>NYSE</t>
        </is>
      </c>
      <c r="D4801" t="n">
        <v>879535</v>
      </c>
      <c r="E4801" t="inlineStr">
        <is>
          <t>SEC</t>
        </is>
      </c>
    </row>
    <row r="4802">
      <c r="A4802" s="5">
        <f>HYPERLINK("https://finance.yahoo.com/quote/UBCP","UBCP")</f>
        <v/>
      </c>
      <c r="B4802" t="inlineStr">
        <is>
          <t>UNITED BANCORP INC /OH/</t>
        </is>
      </c>
      <c r="C4802" t="inlineStr">
        <is>
          <t>Nasdaq</t>
        </is>
      </c>
      <c r="D4802" t="n">
        <v>731653</v>
      </c>
      <c r="E4802" t="inlineStr">
        <is>
          <t>SEC</t>
        </is>
      </c>
    </row>
    <row r="4803">
      <c r="A4803" s="5">
        <f>HYPERLINK("https://finance.yahoo.com/quote/TRBG","TRBG")</f>
        <v/>
      </c>
      <c r="B4803" t="inlineStr">
        <is>
          <t>Turbogen Ltd.</t>
        </is>
      </c>
      <c r="C4803" t="inlineStr">
        <is>
          <t>Nasdaq</t>
        </is>
      </c>
      <c r="D4803" t="n">
        <v>2088375</v>
      </c>
      <c r="E4803" t="inlineStr">
        <is>
          <t>SEC</t>
        </is>
      </c>
    </row>
    <row r="4804">
      <c r="A4804" s="5">
        <f>HYPERLINK("https://finance.yahoo.com/quote/SSEA","SSEA")</f>
        <v/>
      </c>
      <c r="B4804" t="inlineStr">
        <is>
          <t>STARRY SEA ACQUISITION CORP</t>
        </is>
      </c>
      <c r="C4804" t="inlineStr">
        <is>
          <t>Nasdaq</t>
        </is>
      </c>
      <c r="D4804" t="n">
        <v>2059165</v>
      </c>
      <c r="E4804" t="inlineStr">
        <is>
          <t>SEC</t>
        </is>
      </c>
    </row>
    <row r="4805">
      <c r="A4805" s="5">
        <f>HYPERLINK("https://finance.yahoo.com/quote/SPAUF","SPAUF")</f>
        <v/>
      </c>
      <c r="B4805" t="inlineStr">
        <is>
          <t>SPANISH MOUNTAIN GOLD LTD.</t>
        </is>
      </c>
      <c r="C4805" t="inlineStr">
        <is>
          <t>OTC</t>
        </is>
      </c>
      <c r="D4805" t="n">
        <v>1337090</v>
      </c>
      <c r="E4805" t="inlineStr">
        <is>
          <t>SEC</t>
        </is>
      </c>
    </row>
    <row r="4806">
      <c r="A4806" s="5">
        <f>HYPERLINK("https://finance.yahoo.com/quote/KXIN","KXIN")</f>
        <v/>
      </c>
      <c r="B4806" t="inlineStr">
        <is>
          <t>Kaixin Holdings</t>
        </is>
      </c>
      <c r="C4806" t="inlineStr">
        <is>
          <t>Nasdaq</t>
        </is>
      </c>
      <c r="D4806" t="n">
        <v>1713539</v>
      </c>
      <c r="E4806" t="inlineStr">
        <is>
          <t>SEC</t>
        </is>
      </c>
    </row>
    <row r="4807">
      <c r="A4807" s="5">
        <f>HYPERLINK("https://finance.yahoo.com/quote/RENEF","RENEF")</f>
        <v/>
      </c>
      <c r="B4807" t="inlineStr">
        <is>
          <t>Cartesian Growth Corp II</t>
        </is>
      </c>
      <c r="C4807" t="inlineStr">
        <is>
          <t>OTC</t>
        </is>
      </c>
      <c r="D4807" t="n">
        <v>1889112</v>
      </c>
      <c r="E4807" t="inlineStr">
        <is>
          <t>SEC</t>
        </is>
      </c>
    </row>
    <row r="4808">
      <c r="A4808" s="5">
        <f>HYPERLINK("https://finance.yahoo.com/quote/JUVF","JUVF")</f>
        <v/>
      </c>
      <c r="B4808" t="inlineStr">
        <is>
          <t>JUNIATA VALLEY FINANCIAL CORP</t>
        </is>
      </c>
      <c r="C4808" t="inlineStr">
        <is>
          <t>OTC</t>
        </is>
      </c>
      <c r="D4808" t="n">
        <v>714712</v>
      </c>
      <c r="E4808" t="inlineStr">
        <is>
          <t>SEC</t>
        </is>
      </c>
    </row>
    <row r="4809">
      <c r="A4809" s="5">
        <f>HYPERLINK("https://finance.yahoo.com/quote/SAMG","SAMG")</f>
        <v/>
      </c>
      <c r="B4809" t="inlineStr">
        <is>
          <t>Silvercrest Asset Management Group Inc.</t>
        </is>
      </c>
      <c r="C4809" t="inlineStr">
        <is>
          <t>Nasdaq</t>
        </is>
      </c>
      <c r="D4809" t="n">
        <v>1549966</v>
      </c>
      <c r="E4809" t="inlineStr">
        <is>
          <t>SEC</t>
        </is>
      </c>
    </row>
    <row r="4810">
      <c r="A4810" s="5">
        <f>HYPERLINK("https://finance.yahoo.com/quote/PDSB","PDSB")</f>
        <v/>
      </c>
      <c r="B4810" t="inlineStr">
        <is>
          <t>PDS Biotechnology Corp</t>
        </is>
      </c>
      <c r="C4810" t="inlineStr">
        <is>
          <t>Nasdaq</t>
        </is>
      </c>
      <c r="D4810" t="n">
        <v>1472091</v>
      </c>
      <c r="E4810" t="inlineStr">
        <is>
          <t>SEC</t>
        </is>
      </c>
    </row>
    <row r="4811">
      <c r="A4811" s="5">
        <f>HYPERLINK("https://finance.yahoo.com/quote/WTG","WTG")</f>
        <v/>
      </c>
      <c r="B4811" t="inlineStr">
        <is>
          <t>Wintergreen Acquisition Corp.</t>
        </is>
      </c>
      <c r="C4811" t="inlineStr">
        <is>
          <t>Nasdaq</t>
        </is>
      </c>
      <c r="D4811" t="n">
        <v>2053927</v>
      </c>
      <c r="E4811" t="inlineStr">
        <is>
          <t>SEC</t>
        </is>
      </c>
    </row>
    <row r="4812">
      <c r="A4812" s="5">
        <f>HYPERLINK("https://finance.yahoo.com/quote/SODI","SODI")</f>
        <v/>
      </c>
      <c r="B4812" t="inlineStr">
        <is>
          <t>SOLITRON DEVICES INC</t>
        </is>
      </c>
      <c r="C4812" t="inlineStr">
        <is>
          <t>OTC</t>
        </is>
      </c>
      <c r="D4812" t="n">
        <v>91668</v>
      </c>
      <c r="E4812" t="inlineStr">
        <is>
          <t>SEC</t>
        </is>
      </c>
    </row>
    <row r="4813">
      <c r="A4813" s="5">
        <f>HYPERLINK("https://finance.yahoo.com/quote/FTLF","FTLF")</f>
        <v/>
      </c>
      <c r="B4813" t="inlineStr">
        <is>
          <t>FITLIFE BRANDS, INC.</t>
        </is>
      </c>
      <c r="C4813" t="inlineStr">
        <is>
          <t>Nasdaq</t>
        </is>
      </c>
      <c r="D4813" t="n">
        <v>1374328</v>
      </c>
      <c r="E4813" t="inlineStr">
        <is>
          <t>SEC</t>
        </is>
      </c>
    </row>
    <row r="4814">
      <c r="A4814" s="5">
        <f>HYPERLINK("https://finance.yahoo.com/quote/HERE","HERE")</f>
        <v/>
      </c>
      <c r="B4814" t="inlineStr">
        <is>
          <t>Here Group Ltd</t>
        </is>
      </c>
      <c r="C4814" t="inlineStr">
        <is>
          <t>Nasdaq</t>
        </is>
      </c>
      <c r="D4814" t="n">
        <v>1932770</v>
      </c>
      <c r="E4814" t="inlineStr">
        <is>
          <t>SEC</t>
        </is>
      </c>
    </row>
    <row r="4815">
      <c r="A4815" s="5">
        <f>HYPERLINK("https://finance.yahoo.com/quote/LSE","LSE")</f>
        <v/>
      </c>
      <c r="B4815" t="inlineStr">
        <is>
          <t>Leishen Energy Holding Co., Ltd.</t>
        </is>
      </c>
      <c r="C4815" t="inlineStr">
        <is>
          <t>Nasdaq</t>
        </is>
      </c>
      <c r="D4815" t="n">
        <v>1985139</v>
      </c>
      <c r="E4815" t="inlineStr">
        <is>
          <t>SEC</t>
        </is>
      </c>
    </row>
    <row r="4816">
      <c r="A4816" s="5">
        <f>HYPERLINK("https://finance.yahoo.com/quote/GCV","GCV")</f>
        <v/>
      </c>
      <c r="B4816" t="inlineStr">
        <is>
          <t>GABELLI CONVERTIBLE &amp; INCOME SECURITIES FUND INC</t>
        </is>
      </c>
      <c r="C4816" t="inlineStr">
        <is>
          <t>NYSE</t>
        </is>
      </c>
      <c r="D4816" t="n">
        <v>845611</v>
      </c>
      <c r="E4816" t="inlineStr">
        <is>
          <t>SEC</t>
        </is>
      </c>
    </row>
    <row r="4817">
      <c r="A4817" s="5">
        <f>HYPERLINK("https://finance.yahoo.com/quote/AMPG","AMPG")</f>
        <v/>
      </c>
      <c r="B4817" t="inlineStr">
        <is>
          <t>AmpliTech Group, Inc.</t>
        </is>
      </c>
      <c r="C4817" t="inlineStr">
        <is>
          <t>Nasdaq</t>
        </is>
      </c>
      <c r="D4817" t="n">
        <v>1518461</v>
      </c>
      <c r="E4817" t="inlineStr">
        <is>
          <t>SEC</t>
        </is>
      </c>
    </row>
    <row r="4818">
      <c r="A4818" s="5">
        <f>HYPERLINK("https://finance.yahoo.com/quote/OM","OM")</f>
        <v/>
      </c>
      <c r="B4818" t="inlineStr">
        <is>
          <t>Outset Medical, Inc.</t>
        </is>
      </c>
      <c r="C4818" t="inlineStr">
        <is>
          <t>Nasdaq</t>
        </is>
      </c>
      <c r="D4818" t="n">
        <v>1484612</v>
      </c>
      <c r="E4818" t="inlineStr">
        <is>
          <t>SEC</t>
        </is>
      </c>
    </row>
    <row r="4819">
      <c r="A4819" s="5">
        <f>HYPERLINK("https://finance.yahoo.com/quote/JRSH","JRSH")</f>
        <v/>
      </c>
      <c r="B4819" t="inlineStr">
        <is>
          <t>Jerash Holdings (US), Inc.</t>
        </is>
      </c>
      <c r="C4819" t="inlineStr">
        <is>
          <t>Nasdaq</t>
        </is>
      </c>
      <c r="D4819" t="n">
        <v>1696558</v>
      </c>
      <c r="E4819" t="inlineStr">
        <is>
          <t>SEC</t>
        </is>
      </c>
    </row>
    <row r="4820">
      <c r="A4820" s="5">
        <f>HYPERLINK("https://finance.yahoo.com/quote/GRML","GRML")</f>
        <v/>
      </c>
      <c r="B4820" t="inlineStr">
        <is>
          <t>Greenland Mines Ltd</t>
        </is>
      </c>
      <c r="C4820" t="inlineStr">
        <is>
          <t>Nasdaq</t>
        </is>
      </c>
      <c r="D4820" t="n">
        <v>1907223</v>
      </c>
      <c r="E4820" t="inlineStr">
        <is>
          <t>SEC</t>
        </is>
      </c>
    </row>
    <row r="4821">
      <c r="A4821" s="5">
        <f>HYPERLINK("https://finance.yahoo.com/quote/TYGO","TYGO")</f>
        <v/>
      </c>
      <c r="B4821" t="inlineStr">
        <is>
          <t>TIGO ENERGY, INC.</t>
        </is>
      </c>
      <c r="C4821" t="inlineStr">
        <is>
          <t>Nasdaq</t>
        </is>
      </c>
      <c r="D4821" t="n">
        <v>1855447</v>
      </c>
      <c r="E4821" t="inlineStr">
        <is>
          <t>SEC</t>
        </is>
      </c>
    </row>
    <row r="4822">
      <c r="A4822" s="5">
        <f>HYPERLINK("https://finance.yahoo.com/quote/CRBP","CRBP")</f>
        <v/>
      </c>
      <c r="B4822" t="inlineStr">
        <is>
          <t>Corbus Pharmaceuticals Holdings, Inc.</t>
        </is>
      </c>
      <c r="C4822" t="inlineStr">
        <is>
          <t>Nasdaq</t>
        </is>
      </c>
      <c r="D4822" t="n">
        <v>1595097</v>
      </c>
      <c r="E4822" t="inlineStr">
        <is>
          <t>SEC</t>
        </is>
      </c>
    </row>
    <row r="4823">
      <c r="A4823" s="5">
        <f>HYPERLINK("https://finance.yahoo.com/quote/CCAQ","CCAQ")</f>
        <v/>
      </c>
      <c r="B4823" t="inlineStr">
        <is>
          <t>COLLECTIVE ACQUISITION CORP.</t>
        </is>
      </c>
      <c r="C4823" t="inlineStr">
        <is>
          <t>Nasdaq</t>
        </is>
      </c>
      <c r="D4823" t="n">
        <v>2041047</v>
      </c>
      <c r="E4823" t="inlineStr">
        <is>
          <t>SEC</t>
        </is>
      </c>
    </row>
    <row r="4824">
      <c r="A4824" s="5">
        <f>HYPERLINK("https://finance.yahoo.com/quote/JOCM","JOCM")</f>
        <v/>
      </c>
      <c r="B4824" t="inlineStr">
        <is>
          <t>JOCOM HOLDINGS CORP.</t>
        </is>
      </c>
      <c r="C4824" t="inlineStr"/>
      <c r="D4824" t="n">
        <v>1907425</v>
      </c>
      <c r="E4824" t="inlineStr">
        <is>
          <t>SEC</t>
        </is>
      </c>
    </row>
    <row r="4825">
      <c r="A4825" s="5">
        <f>HYPERLINK("https://finance.yahoo.com/quote/ALYAF","ALYAF")</f>
        <v/>
      </c>
      <c r="B4825" t="inlineStr">
        <is>
          <t>Alithya Group inc</t>
        </is>
      </c>
      <c r="C4825" t="inlineStr">
        <is>
          <t>OTC</t>
        </is>
      </c>
      <c r="D4825" t="n">
        <v>1734520</v>
      </c>
      <c r="E4825" t="inlineStr">
        <is>
          <t>SEC</t>
        </is>
      </c>
    </row>
    <row r="4826">
      <c r="A4826" s="5">
        <f>HYPERLINK("https://finance.yahoo.com/quote/RENT","RENT")</f>
        <v/>
      </c>
      <c r="B4826" t="inlineStr">
        <is>
          <t>Rent the Runway, Inc.</t>
        </is>
      </c>
      <c r="C4826" t="inlineStr">
        <is>
          <t>Nasdaq</t>
        </is>
      </c>
      <c r="D4826" t="n">
        <v>1468327</v>
      </c>
      <c r="E4826" t="inlineStr">
        <is>
          <t>SEC</t>
        </is>
      </c>
    </row>
    <row r="4827">
      <c r="A4827" s="5">
        <f>HYPERLINK("https://finance.yahoo.com/quote/LUNG","LUNG")</f>
        <v/>
      </c>
      <c r="B4827" t="inlineStr">
        <is>
          <t>Pulmonx Corp</t>
        </is>
      </c>
      <c r="C4827" t="inlineStr">
        <is>
          <t>Nasdaq</t>
        </is>
      </c>
      <c r="D4827" t="n">
        <v>1127537</v>
      </c>
      <c r="E4827" t="inlineStr">
        <is>
          <t>SEC</t>
        </is>
      </c>
    </row>
    <row r="4828">
      <c r="A4828" s="5">
        <f>HYPERLINK("https://finance.yahoo.com/quote/CMCM","CMCM")</f>
        <v/>
      </c>
      <c r="B4828" t="inlineStr">
        <is>
          <t>Cheetah Mobile Inc.</t>
        </is>
      </c>
      <c r="C4828" t="inlineStr">
        <is>
          <t>NYSE</t>
        </is>
      </c>
      <c r="D4828" t="n">
        <v>1597835</v>
      </c>
      <c r="E4828" t="inlineStr">
        <is>
          <t>SEC</t>
        </is>
      </c>
    </row>
    <row r="4829">
      <c r="A4829" s="5">
        <f>HYPERLINK("https://finance.yahoo.com/quote/PAL","PAL")</f>
        <v/>
      </c>
      <c r="B4829" t="inlineStr">
        <is>
          <t>Proficient Auto Logistics, Inc</t>
        </is>
      </c>
      <c r="C4829" t="inlineStr">
        <is>
          <t>Nasdaq</t>
        </is>
      </c>
      <c r="D4829" t="n">
        <v>1998768</v>
      </c>
      <c r="E4829" t="inlineStr">
        <is>
          <t>SEC</t>
        </is>
      </c>
    </row>
    <row r="4830">
      <c r="A4830" s="5">
        <f>HYPERLINK("https://finance.yahoo.com/quote/ZOMDF","ZOMDF")</f>
        <v/>
      </c>
      <c r="B4830" t="inlineStr">
        <is>
          <t>Zomedica Corp.</t>
        </is>
      </c>
      <c r="C4830" t="inlineStr">
        <is>
          <t>OTC</t>
        </is>
      </c>
      <c r="D4830" t="n">
        <v>1684144</v>
      </c>
      <c r="E4830" t="inlineStr">
        <is>
          <t>SEC</t>
        </is>
      </c>
    </row>
    <row r="4831">
      <c r="A4831" s="5">
        <f>HYPERLINK("https://finance.yahoo.com/quote/EQ","EQ")</f>
        <v/>
      </c>
      <c r="B4831" t="inlineStr">
        <is>
          <t>Equillium, Inc.</t>
        </is>
      </c>
      <c r="C4831" t="inlineStr">
        <is>
          <t>Nasdaq</t>
        </is>
      </c>
      <c r="D4831" t="n">
        <v>1746466</v>
      </c>
      <c r="E4831" t="inlineStr">
        <is>
          <t>SEC</t>
        </is>
      </c>
    </row>
    <row r="4832">
      <c r="A4832" s="5">
        <f>HYPERLINK("https://finance.yahoo.com/quote/CHGG","CHGG")</f>
        <v/>
      </c>
      <c r="B4832" t="inlineStr">
        <is>
          <t>CHEGG, INC</t>
        </is>
      </c>
      <c r="C4832" t="inlineStr">
        <is>
          <t>NYSE</t>
        </is>
      </c>
      <c r="D4832" t="n">
        <v>1364954</v>
      </c>
      <c r="E4832" t="inlineStr">
        <is>
          <t>SEC</t>
        </is>
      </c>
    </row>
    <row r="4833">
      <c r="A4833" s="5">
        <f>HYPERLINK("https://finance.yahoo.com/quote/PXS","PXS")</f>
        <v/>
      </c>
      <c r="B4833" t="inlineStr">
        <is>
          <t>Pyxis Tankers Inc.</t>
        </is>
      </c>
      <c r="C4833" t="inlineStr">
        <is>
          <t>Nasdaq</t>
        </is>
      </c>
      <c r="D4833" t="n">
        <v>1640043</v>
      </c>
      <c r="E4833" t="inlineStr">
        <is>
          <t>SEC</t>
        </is>
      </c>
    </row>
    <row r="4834">
      <c r="A4834" s="5">
        <f>HYPERLINK("https://finance.yahoo.com/quote/SIEB","SIEB")</f>
        <v/>
      </c>
      <c r="B4834" t="inlineStr">
        <is>
          <t>SIEBERT FINANCIAL CORP</t>
        </is>
      </c>
      <c r="C4834" t="inlineStr">
        <is>
          <t>Nasdaq</t>
        </is>
      </c>
      <c r="D4834" t="n">
        <v>65596</v>
      </c>
      <c r="E4834" t="inlineStr">
        <is>
          <t>SEC</t>
        </is>
      </c>
    </row>
    <row r="4835">
      <c r="A4835" s="5">
        <f>HYPERLINK("https://finance.yahoo.com/quote/PMN","PMN")</f>
        <v/>
      </c>
      <c r="B4835" t="inlineStr">
        <is>
          <t>ProMIS Neurosciences Inc.</t>
        </is>
      </c>
      <c r="C4835" t="inlineStr">
        <is>
          <t>Nasdaq</t>
        </is>
      </c>
      <c r="D4835" t="n">
        <v>1374339</v>
      </c>
      <c r="E4835" t="inlineStr">
        <is>
          <t>SEC</t>
        </is>
      </c>
    </row>
    <row r="4836">
      <c r="A4836" s="5">
        <f>HYPERLINK("https://finance.yahoo.com/quote/HYPR","HYPR")</f>
        <v/>
      </c>
      <c r="B4836" t="inlineStr">
        <is>
          <t>Hyperfine, Inc.</t>
        </is>
      </c>
      <c r="C4836" t="inlineStr">
        <is>
          <t>Nasdaq</t>
        </is>
      </c>
      <c r="D4836" t="n">
        <v>1833769</v>
      </c>
      <c r="E4836" t="inlineStr">
        <is>
          <t>SEC</t>
        </is>
      </c>
    </row>
    <row r="4837">
      <c r="A4837" s="5">
        <f>HYPERLINK("https://finance.yahoo.com/quote/WRAP","WRAP")</f>
        <v/>
      </c>
      <c r="B4837" t="inlineStr">
        <is>
          <t>WRAP TECHNOLOGIES, INC.</t>
        </is>
      </c>
      <c r="C4837" t="inlineStr">
        <is>
          <t>Nasdaq</t>
        </is>
      </c>
      <c r="D4837" t="n">
        <v>1702924</v>
      </c>
      <c r="E4837" t="inlineStr">
        <is>
          <t>SEC</t>
        </is>
      </c>
    </row>
    <row r="4838">
      <c r="A4838" s="5">
        <f>HYPERLINK("https://finance.yahoo.com/quote/NBRG","NBRG")</f>
        <v/>
      </c>
      <c r="B4838" t="inlineStr">
        <is>
          <t>Newbridge Acquisition Ltd</t>
        </is>
      </c>
      <c r="C4838" t="inlineStr">
        <is>
          <t>Nasdaq</t>
        </is>
      </c>
      <c r="D4838" t="n">
        <v>1918414</v>
      </c>
      <c r="E4838" t="inlineStr">
        <is>
          <t>SEC</t>
        </is>
      </c>
    </row>
    <row r="4839">
      <c r="A4839" s="5">
        <f>HYPERLINK("https://finance.yahoo.com/quote/VIVO","VIVO")</f>
        <v/>
      </c>
      <c r="B4839" t="inlineStr">
        <is>
          <t>VivoPower PLC</t>
        </is>
      </c>
      <c r="C4839" t="inlineStr">
        <is>
          <t>Nasdaq</t>
        </is>
      </c>
      <c r="D4839" t="n">
        <v>1681348</v>
      </c>
      <c r="E4839" t="inlineStr">
        <is>
          <t>SEC</t>
        </is>
      </c>
    </row>
    <row r="4840">
      <c r="A4840" s="5">
        <f>HYPERLINK("https://finance.yahoo.com/quote/SCAT","SCAT")</f>
        <v/>
      </c>
      <c r="B4840" t="inlineStr">
        <is>
          <t>Southern Cross Acquisition II Corp.</t>
        </is>
      </c>
      <c r="C4840" t="inlineStr">
        <is>
          <t>Nasdaq</t>
        </is>
      </c>
      <c r="D4840" t="n">
        <v>2133239</v>
      </c>
      <c r="E4840" t="inlineStr">
        <is>
          <t>SEC</t>
        </is>
      </c>
    </row>
    <row r="4841">
      <c r="A4841" s="5">
        <f>HYPERLINK("https://finance.yahoo.com/quote/ISPR","ISPR")</f>
        <v/>
      </c>
      <c r="B4841" t="inlineStr">
        <is>
          <t>Ispire Technology Inc.</t>
        </is>
      </c>
      <c r="C4841" t="inlineStr">
        <is>
          <t>Nasdaq</t>
        </is>
      </c>
      <c r="D4841" t="n">
        <v>1948455</v>
      </c>
      <c r="E4841" t="inlineStr">
        <is>
          <t>SEC</t>
        </is>
      </c>
    </row>
    <row r="4842">
      <c r="A4842" s="5">
        <f>HYPERLINK("https://finance.yahoo.com/quote/ARQ","ARQ")</f>
        <v/>
      </c>
      <c r="B4842" t="inlineStr">
        <is>
          <t>Arq, Inc.</t>
        </is>
      </c>
      <c r="C4842" t="inlineStr">
        <is>
          <t>Nasdaq</t>
        </is>
      </c>
      <c r="D4842" t="n">
        <v>1515156</v>
      </c>
      <c r="E4842" t="inlineStr">
        <is>
          <t>SEC</t>
        </is>
      </c>
    </row>
    <row r="4843">
      <c r="A4843" s="5">
        <f>HYPERLINK("https://finance.yahoo.com/quote/BPAC","BPAC")</f>
        <v/>
      </c>
      <c r="B4843" t="inlineStr">
        <is>
          <t>Blueport Acquisition Ltd</t>
        </is>
      </c>
      <c r="C4843" t="inlineStr">
        <is>
          <t>Nasdaq</t>
        </is>
      </c>
      <c r="D4843" t="n">
        <v>2064177</v>
      </c>
      <c r="E4843" t="inlineStr">
        <is>
          <t>SEC</t>
        </is>
      </c>
    </row>
    <row r="4844">
      <c r="A4844" s="5">
        <f>HYPERLINK("https://finance.yahoo.com/quote/SWZ","SWZ")</f>
        <v/>
      </c>
      <c r="B4844" t="inlineStr">
        <is>
          <t>Total Return Securities Fund</t>
        </is>
      </c>
      <c r="C4844" t="inlineStr">
        <is>
          <t>NYSE</t>
        </is>
      </c>
      <c r="D4844" t="n">
        <v>813623</v>
      </c>
      <c r="E4844" t="inlineStr">
        <is>
          <t>SEC</t>
        </is>
      </c>
    </row>
    <row r="4845">
      <c r="A4845" s="5">
        <f>HYPERLINK("https://finance.yahoo.com/quote/RFIL","RFIL")</f>
        <v/>
      </c>
      <c r="B4845" t="inlineStr">
        <is>
          <t>R F INDUSTRIES LTD</t>
        </is>
      </c>
      <c r="C4845" t="inlineStr">
        <is>
          <t>Nasdaq</t>
        </is>
      </c>
      <c r="D4845" t="n">
        <v>740664</v>
      </c>
      <c r="E4845" t="inlineStr">
        <is>
          <t>SEC</t>
        </is>
      </c>
    </row>
    <row r="4846">
      <c r="A4846" s="5">
        <f>HYPERLINK("https://finance.yahoo.com/quote/MHH","MHH")</f>
        <v/>
      </c>
      <c r="B4846" t="inlineStr">
        <is>
          <t>Mastech Digital, Inc.</t>
        </is>
      </c>
      <c r="C4846" t="inlineStr">
        <is>
          <t>NYSE</t>
        </is>
      </c>
      <c r="D4846" t="n">
        <v>1437226</v>
      </c>
      <c r="E4846" t="inlineStr">
        <is>
          <t>SEC</t>
        </is>
      </c>
    </row>
    <row r="4847">
      <c r="A4847" s="5">
        <f>HYPERLINK("https://finance.yahoo.com/quote/GFLT","GFLT")</f>
        <v/>
      </c>
      <c r="B4847" t="inlineStr">
        <is>
          <t>GenFlat Holdings, Inc.</t>
        </is>
      </c>
      <c r="C4847" t="inlineStr">
        <is>
          <t>OTC</t>
        </is>
      </c>
      <c r="D4847" t="n">
        <v>1796949</v>
      </c>
      <c r="E4847" t="inlineStr">
        <is>
          <t>SEC</t>
        </is>
      </c>
    </row>
    <row r="4848">
      <c r="A4848" s="5">
        <f>HYPERLINK("https://finance.yahoo.com/quote/CCLD","CCLD")</f>
        <v/>
      </c>
      <c r="B4848" t="inlineStr">
        <is>
          <t>CareCloud, Inc.</t>
        </is>
      </c>
      <c r="C4848" t="inlineStr">
        <is>
          <t>Nasdaq</t>
        </is>
      </c>
      <c r="D4848" t="n">
        <v>1582982</v>
      </c>
      <c r="E4848" t="inlineStr">
        <is>
          <t>SEC</t>
        </is>
      </c>
    </row>
    <row r="4849">
      <c r="A4849" s="5">
        <f>HYPERLINK("https://finance.yahoo.com/quote/RTGN","RTGN")</f>
        <v/>
      </c>
      <c r="B4849" t="inlineStr">
        <is>
          <t>RetinalGenix Technologies Inc.</t>
        </is>
      </c>
      <c r="C4849" t="inlineStr">
        <is>
          <t>OTC</t>
        </is>
      </c>
      <c r="D4849" t="n">
        <v>1836295</v>
      </c>
      <c r="E4849" t="inlineStr">
        <is>
          <t>SEC</t>
        </is>
      </c>
    </row>
    <row r="4850">
      <c r="A4850" s="5">
        <f>HYPERLINK("https://finance.yahoo.com/quote/AEAE","AEAE")</f>
        <v/>
      </c>
      <c r="B4850" t="inlineStr">
        <is>
          <t>AltEnergy Acquisition Corp</t>
        </is>
      </c>
      <c r="C4850" t="inlineStr">
        <is>
          <t>OTC</t>
        </is>
      </c>
      <c r="D4850" t="n">
        <v>1852016</v>
      </c>
      <c r="E4850" t="inlineStr">
        <is>
          <t>SEC</t>
        </is>
      </c>
    </row>
    <row r="4851">
      <c r="A4851" s="5">
        <f>HYPERLINK("https://finance.yahoo.com/quote/OKYO","OKYO")</f>
        <v/>
      </c>
      <c r="B4851" t="inlineStr">
        <is>
          <t>OKYO Pharma Ltd</t>
        </is>
      </c>
      <c r="C4851" t="inlineStr">
        <is>
          <t>Nasdaq</t>
        </is>
      </c>
      <c r="D4851" t="n">
        <v>1849296</v>
      </c>
      <c r="E4851" t="inlineStr">
        <is>
          <t>SEC</t>
        </is>
      </c>
    </row>
    <row r="4852">
      <c r="A4852" s="5">
        <f>HYPERLINK("https://finance.yahoo.com/quote/REDW","REDW")</f>
        <v/>
      </c>
      <c r="B4852" t="inlineStr">
        <is>
          <t>REDWOOD FINANCIAL INC /MN/</t>
        </is>
      </c>
      <c r="C4852" t="inlineStr">
        <is>
          <t>OTC</t>
        </is>
      </c>
      <c r="D4852" t="n">
        <v>942895</v>
      </c>
      <c r="E4852" t="inlineStr">
        <is>
          <t>SEC</t>
        </is>
      </c>
    </row>
    <row r="4853">
      <c r="A4853" s="5">
        <f>HYPERLINK("https://finance.yahoo.com/quote/INSG","INSG")</f>
        <v/>
      </c>
      <c r="B4853" t="inlineStr">
        <is>
          <t>INSEEGO CORP.</t>
        </is>
      </c>
      <c r="C4853" t="inlineStr">
        <is>
          <t>Nasdaq</t>
        </is>
      </c>
      <c r="D4853" t="n">
        <v>1022652</v>
      </c>
      <c r="E4853" t="inlineStr">
        <is>
          <t>SEC</t>
        </is>
      </c>
    </row>
    <row r="4854">
      <c r="A4854" s="5">
        <f>HYPERLINK("https://finance.yahoo.com/quote/VGI","VGI")</f>
        <v/>
      </c>
      <c r="B4854" t="inlineStr">
        <is>
          <t>Virtus Global Multi-Sector Income Fund</t>
        </is>
      </c>
      <c r="C4854" t="inlineStr">
        <is>
          <t>NYSE</t>
        </is>
      </c>
      <c r="D4854" t="n">
        <v>1528811</v>
      </c>
      <c r="E4854" t="inlineStr">
        <is>
          <t>SEC</t>
        </is>
      </c>
    </row>
    <row r="4855">
      <c r="A4855" s="5">
        <f>HYPERLINK("https://finance.yahoo.com/quote/VATE","VATE")</f>
        <v/>
      </c>
      <c r="B4855" t="inlineStr">
        <is>
          <t>INNOVATE Corp.</t>
        </is>
      </c>
      <c r="C4855" t="inlineStr">
        <is>
          <t>NYSE</t>
        </is>
      </c>
      <c r="D4855" t="n">
        <v>1006837</v>
      </c>
      <c r="E4855" t="inlineStr">
        <is>
          <t>SEC</t>
        </is>
      </c>
    </row>
    <row r="4856">
      <c r="A4856" s="5">
        <f>HYPERLINK("https://finance.yahoo.com/quote/CSPI","CSPI")</f>
        <v/>
      </c>
      <c r="B4856" t="inlineStr">
        <is>
          <t>CSP INC /MA/</t>
        </is>
      </c>
      <c r="C4856" t="inlineStr">
        <is>
          <t>Nasdaq</t>
        </is>
      </c>
      <c r="D4856" t="n">
        <v>356037</v>
      </c>
      <c r="E4856" t="inlineStr">
        <is>
          <t>SEC</t>
        </is>
      </c>
    </row>
    <row r="4857">
      <c r="A4857" s="5">
        <f>HYPERLINK("https://finance.yahoo.com/quote/WFCF","WFCF")</f>
        <v/>
      </c>
      <c r="B4857" t="inlineStr">
        <is>
          <t>Where Food Comes From, Inc.</t>
        </is>
      </c>
      <c r="C4857" t="inlineStr">
        <is>
          <t>Nasdaq</t>
        </is>
      </c>
      <c r="D4857" t="n">
        <v>1360565</v>
      </c>
      <c r="E4857" t="inlineStr">
        <is>
          <t>SEC</t>
        </is>
      </c>
    </row>
    <row r="4858">
      <c r="A4858" s="5">
        <f>HYPERLINK("https://finance.yahoo.com/quote/ALIS","ALIS")</f>
        <v/>
      </c>
      <c r="B4858" t="inlineStr">
        <is>
          <t>Calisa Acquisition Corp</t>
        </is>
      </c>
      <c r="C4858" t="inlineStr">
        <is>
          <t>Nasdaq</t>
        </is>
      </c>
      <c r="D4858" t="n">
        <v>2026767</v>
      </c>
      <c r="E4858" t="inlineStr">
        <is>
          <t>SEC</t>
        </is>
      </c>
    </row>
    <row r="4859">
      <c r="A4859" s="5">
        <f>HYPERLINK("https://finance.yahoo.com/quote/CANG","CANG")</f>
        <v/>
      </c>
      <c r="B4859" t="inlineStr">
        <is>
          <t>Cango Inc.</t>
        </is>
      </c>
      <c r="C4859" t="inlineStr">
        <is>
          <t>NYSE</t>
        </is>
      </c>
      <c r="D4859" t="n">
        <v>1725123</v>
      </c>
      <c r="E4859" t="inlineStr">
        <is>
          <t>SEC</t>
        </is>
      </c>
    </row>
    <row r="4860">
      <c r="A4860" s="5">
        <f>HYPERLINK("https://finance.yahoo.com/quote/CBAT","CBAT")</f>
        <v/>
      </c>
      <c r="B4860" t="inlineStr">
        <is>
          <t>CBAK Energy Technology Ltd</t>
        </is>
      </c>
      <c r="C4860" t="inlineStr">
        <is>
          <t>Nasdaq</t>
        </is>
      </c>
      <c r="D4860" t="n">
        <v>2086841</v>
      </c>
      <c r="E4860" t="inlineStr">
        <is>
          <t>SEC</t>
        </is>
      </c>
    </row>
    <row r="4861">
      <c r="A4861" s="5">
        <f>HYPERLINK("https://finance.yahoo.com/quote/FATN","FATN")</f>
        <v/>
      </c>
      <c r="B4861" t="inlineStr">
        <is>
          <t>Fatpipe Inc/UT</t>
        </is>
      </c>
      <c r="C4861" t="inlineStr">
        <is>
          <t>Nasdaq</t>
        </is>
      </c>
      <c r="D4861" t="n">
        <v>1993400</v>
      </c>
      <c r="E4861" t="inlineStr">
        <is>
          <t>SEC</t>
        </is>
      </c>
    </row>
    <row r="4862">
      <c r="A4862" s="5">
        <f>HYPERLINK("https://finance.yahoo.com/quote/VENU","VENU")</f>
        <v/>
      </c>
      <c r="B4862" t="inlineStr">
        <is>
          <t>Venu Holding Corp</t>
        </is>
      </c>
      <c r="C4862" t="inlineStr">
        <is>
          <t>NYSE</t>
        </is>
      </c>
      <c r="D4862" t="n">
        <v>1770501</v>
      </c>
      <c r="E4862" t="inlineStr">
        <is>
          <t>SEC</t>
        </is>
      </c>
    </row>
    <row r="4863">
      <c r="A4863" s="5">
        <f>HYPERLINK("https://finance.yahoo.com/quote/VMCAF","VMCAF")</f>
        <v/>
      </c>
      <c r="B4863" t="inlineStr">
        <is>
          <t>Valuence Merger Corp. I</t>
        </is>
      </c>
      <c r="C4863" t="inlineStr">
        <is>
          <t>OTC</t>
        </is>
      </c>
      <c r="D4863" t="n">
        <v>1892747</v>
      </c>
      <c r="E4863" t="inlineStr">
        <is>
          <t>SEC</t>
        </is>
      </c>
    </row>
    <row r="4864">
      <c r="A4864" s="5">
        <f>HYPERLINK("https://finance.yahoo.com/quote/AISP","AISP")</f>
        <v/>
      </c>
      <c r="B4864" t="inlineStr">
        <is>
          <t>Airship AI Holdings, Inc.</t>
        </is>
      </c>
      <c r="C4864" t="inlineStr">
        <is>
          <t>Nasdaq</t>
        </is>
      </c>
      <c r="D4864" t="n">
        <v>1842566</v>
      </c>
      <c r="E4864" t="inlineStr">
        <is>
          <t>SEC</t>
        </is>
      </c>
    </row>
    <row r="4865">
      <c r="A4865" s="5">
        <f>HYPERLINK("https://finance.yahoo.com/quote/TTEC","TTEC")</f>
        <v/>
      </c>
      <c r="B4865" t="inlineStr">
        <is>
          <t>TTEC Holdings, Inc.</t>
        </is>
      </c>
      <c r="C4865" t="inlineStr">
        <is>
          <t>Nasdaq</t>
        </is>
      </c>
      <c r="D4865" t="n">
        <v>1013880</v>
      </c>
      <c r="E4865" t="inlineStr">
        <is>
          <t>SEC</t>
        </is>
      </c>
    </row>
    <row r="4866">
      <c r="A4866" s="5">
        <f>HYPERLINK("https://finance.yahoo.com/quote/RGS","RGS")</f>
        <v/>
      </c>
      <c r="B4866" t="inlineStr">
        <is>
          <t>REGIS CORP</t>
        </is>
      </c>
      <c r="C4866" t="inlineStr">
        <is>
          <t>Nasdaq</t>
        </is>
      </c>
      <c r="D4866" t="n">
        <v>716643</v>
      </c>
      <c r="E4866" t="inlineStr">
        <is>
          <t>SEC</t>
        </is>
      </c>
    </row>
    <row r="4867">
      <c r="A4867" s="5">
        <f>HYPERLINK("https://finance.yahoo.com/quote/BCIC","BCIC")</f>
        <v/>
      </c>
      <c r="B4867" t="inlineStr">
        <is>
          <t>BCP Investment Corp</t>
        </is>
      </c>
      <c r="C4867" t="inlineStr">
        <is>
          <t>Nasdaq</t>
        </is>
      </c>
      <c r="D4867" t="n">
        <v>1372807</v>
      </c>
      <c r="E4867" t="inlineStr">
        <is>
          <t>SEC</t>
        </is>
      </c>
    </row>
    <row r="4868">
      <c r="A4868" s="5">
        <f>HYPERLINK("https://finance.yahoo.com/quote/SPWR","SPWR")</f>
        <v/>
      </c>
      <c r="B4868" t="inlineStr">
        <is>
          <t>SunPower Inc.</t>
        </is>
      </c>
      <c r="C4868" t="inlineStr">
        <is>
          <t>Nasdaq</t>
        </is>
      </c>
      <c r="D4868" t="n">
        <v>1838987</v>
      </c>
      <c r="E4868" t="inlineStr">
        <is>
          <t>SEC</t>
        </is>
      </c>
    </row>
    <row r="4869">
      <c r="A4869" s="5">
        <f>HYPERLINK("https://finance.yahoo.com/quote/LNSR","LNSR")</f>
        <v/>
      </c>
      <c r="B4869" t="inlineStr">
        <is>
          <t>LENSAR, Inc.</t>
        </is>
      </c>
      <c r="C4869" t="inlineStr">
        <is>
          <t>Nasdaq</t>
        </is>
      </c>
      <c r="D4869" t="n">
        <v>1320350</v>
      </c>
      <c r="E4869" t="inlineStr">
        <is>
          <t>SEC</t>
        </is>
      </c>
    </row>
    <row r="4870">
      <c r="A4870" s="5">
        <f>HYPERLINK("https://finance.yahoo.com/quote/OZVN","OZVN")</f>
        <v/>
      </c>
      <c r="B4870" t="inlineStr">
        <is>
          <t>OZ VISION INC.</t>
        </is>
      </c>
      <c r="C4870" t="inlineStr">
        <is>
          <t>OTC</t>
        </is>
      </c>
      <c r="D4870" t="n">
        <v>1751707</v>
      </c>
      <c r="E4870" t="inlineStr">
        <is>
          <t>SEC</t>
        </is>
      </c>
    </row>
    <row r="4871">
      <c r="A4871" s="5">
        <f>HYPERLINK("https://finance.yahoo.com/quote/LQMT","LQMT")</f>
        <v/>
      </c>
      <c r="B4871" t="inlineStr">
        <is>
          <t>LIQUIDMETAL TECHNOLOGIES INC</t>
        </is>
      </c>
      <c r="C4871" t="inlineStr">
        <is>
          <t>OTC</t>
        </is>
      </c>
      <c r="D4871" t="n">
        <v>1141240</v>
      </c>
      <c r="E4871" t="inlineStr">
        <is>
          <t>SEC</t>
        </is>
      </c>
    </row>
    <row r="4872">
      <c r="A4872" s="5">
        <f>HYPERLINK("https://finance.yahoo.com/quote/KULR","KULR")</f>
        <v/>
      </c>
      <c r="B4872" t="inlineStr">
        <is>
          <t>KULR Technology Group, Inc.</t>
        </is>
      </c>
      <c r="C4872" t="inlineStr">
        <is>
          <t>NYSE</t>
        </is>
      </c>
      <c r="D4872" t="n">
        <v>1662684</v>
      </c>
      <c r="E4872" t="inlineStr">
        <is>
          <t>SEC</t>
        </is>
      </c>
    </row>
    <row r="4873">
      <c r="A4873" s="5">
        <f>HYPERLINK("https://finance.yahoo.com/quote/IOR","IOR")</f>
        <v/>
      </c>
      <c r="B4873" t="inlineStr">
        <is>
          <t>INCOME OPPORTUNITY REALTY INVESTORS INC /TX/</t>
        </is>
      </c>
      <c r="C4873" t="inlineStr">
        <is>
          <t>NYSE</t>
        </is>
      </c>
      <c r="D4873" t="n">
        <v>949961</v>
      </c>
      <c r="E4873" t="inlineStr">
        <is>
          <t>SEC</t>
        </is>
      </c>
    </row>
    <row r="4874">
      <c r="A4874" s="5">
        <f>HYPERLINK("https://finance.yahoo.com/quote/NTIC","NTIC")</f>
        <v/>
      </c>
      <c r="B4874" t="inlineStr">
        <is>
          <t>NORTHERN TECHNOLOGIES INTERNATIONAL CORP</t>
        </is>
      </c>
      <c r="C4874" t="inlineStr">
        <is>
          <t>Nasdaq</t>
        </is>
      </c>
      <c r="D4874" t="n">
        <v>875582</v>
      </c>
      <c r="E4874" t="inlineStr">
        <is>
          <t>SEC</t>
        </is>
      </c>
    </row>
    <row r="4875">
      <c r="A4875" s="5">
        <f>HYPERLINK("https://finance.yahoo.com/quote/RANG","RANG")</f>
        <v/>
      </c>
      <c r="B4875" t="inlineStr">
        <is>
          <t>Range Capital Acquisition Corp.</t>
        </is>
      </c>
      <c r="C4875" t="inlineStr">
        <is>
          <t>Nasdaq</t>
        </is>
      </c>
      <c r="D4875" t="n">
        <v>2035644</v>
      </c>
      <c r="E4875" t="inlineStr">
        <is>
          <t>SEC</t>
        </is>
      </c>
    </row>
    <row r="4876">
      <c r="A4876" s="5">
        <f>HYPERLINK("https://finance.yahoo.com/quote/ISRLF","ISRLF")</f>
        <v/>
      </c>
      <c r="B4876" t="inlineStr">
        <is>
          <t>Israel Acquisitions Corp</t>
        </is>
      </c>
      <c r="C4876" t="inlineStr">
        <is>
          <t>OTC</t>
        </is>
      </c>
      <c r="D4876" t="n">
        <v>1915328</v>
      </c>
      <c r="E4876" t="inlineStr">
        <is>
          <t>SEC</t>
        </is>
      </c>
    </row>
    <row r="4877">
      <c r="A4877" s="5">
        <f>HYPERLINK("https://finance.yahoo.com/quote/ACRV","ACRV")</f>
        <v/>
      </c>
      <c r="B4877" t="inlineStr">
        <is>
          <t>Acrivon Therapeutics, Inc.</t>
        </is>
      </c>
      <c r="C4877" t="inlineStr">
        <is>
          <t>Nasdaq</t>
        </is>
      </c>
      <c r="D4877" t="n">
        <v>1781174</v>
      </c>
      <c r="E4877" t="inlineStr">
        <is>
          <t>SEC</t>
        </is>
      </c>
    </row>
    <row r="4878">
      <c r="A4878" s="5">
        <f>HYPERLINK("https://finance.yahoo.com/quote/BLNC","BLNC")</f>
        <v/>
      </c>
      <c r="B4878" t="inlineStr">
        <is>
          <t>Balance Labs, Inc.</t>
        </is>
      </c>
      <c r="C4878" t="inlineStr">
        <is>
          <t>OTC</t>
        </is>
      </c>
      <c r="D4878" t="n">
        <v>1632121</v>
      </c>
      <c r="E4878" t="inlineStr">
        <is>
          <t>SEC</t>
        </is>
      </c>
    </row>
    <row r="4879">
      <c r="A4879" s="5">
        <f>HYPERLINK("https://finance.yahoo.com/quote/CEV","CEV")</f>
        <v/>
      </c>
      <c r="B4879" t="inlineStr">
        <is>
          <t>Eaton Vance California Municipal Income Trust</t>
        </is>
      </c>
      <c r="C4879" t="inlineStr">
        <is>
          <t>NYSE</t>
        </is>
      </c>
      <c r="D4879" t="n">
        <v>1074692</v>
      </c>
      <c r="E4879" t="inlineStr">
        <is>
          <t>SEC</t>
        </is>
      </c>
    </row>
    <row r="4880">
      <c r="A4880" s="5">
        <f>HYPERLINK("https://finance.yahoo.com/quote/DWNX","DWNX")</f>
        <v/>
      </c>
      <c r="B4880" t="inlineStr">
        <is>
          <t>DELHI BANK CORP</t>
        </is>
      </c>
      <c r="C4880" t="inlineStr">
        <is>
          <t>OTC</t>
        </is>
      </c>
      <c r="D4880" t="n">
        <v>927719</v>
      </c>
      <c r="E4880" t="inlineStr">
        <is>
          <t>SEC</t>
        </is>
      </c>
    </row>
    <row r="4881">
      <c r="A4881" s="5">
        <f>HYPERLINK("https://finance.yahoo.com/quote/LFVN","LFVN")</f>
        <v/>
      </c>
      <c r="B4881" t="inlineStr">
        <is>
          <t>Lifevantage Corp</t>
        </is>
      </c>
      <c r="C4881" t="inlineStr">
        <is>
          <t>Nasdaq</t>
        </is>
      </c>
      <c r="D4881" t="n">
        <v>849146</v>
      </c>
      <c r="E4881" t="inlineStr">
        <is>
          <t>SEC</t>
        </is>
      </c>
    </row>
    <row r="4882">
      <c r="A4882" s="5">
        <f>HYPERLINK("https://finance.yahoo.com/quote/TELO","TELO")</f>
        <v/>
      </c>
      <c r="B4882" t="inlineStr">
        <is>
          <t>Telomir Pharmaceuticals, Inc.</t>
        </is>
      </c>
      <c r="C4882" t="inlineStr">
        <is>
          <t>Nasdaq</t>
        </is>
      </c>
      <c r="D4882" t="n">
        <v>1971532</v>
      </c>
      <c r="E4882" t="inlineStr">
        <is>
          <t>SEC</t>
        </is>
      </c>
    </row>
    <row r="4883">
      <c r="A4883" s="5">
        <f>HYPERLINK("https://finance.yahoo.com/quote/PSIG","PSIG")</f>
        <v/>
      </c>
      <c r="B4883" t="inlineStr">
        <is>
          <t>PS International Group Ltd.</t>
        </is>
      </c>
      <c r="C4883" t="inlineStr">
        <is>
          <t>Nasdaq</t>
        </is>
      </c>
      <c r="D4883" t="n">
        <v>1997201</v>
      </c>
      <c r="E4883" t="inlineStr">
        <is>
          <t>SEC</t>
        </is>
      </c>
    </row>
    <row r="4884">
      <c r="A4884" s="5">
        <f>HYPERLINK("https://finance.yahoo.com/quote/IEHC","IEHC")</f>
        <v/>
      </c>
      <c r="B4884" t="inlineStr">
        <is>
          <t>IEH Corp</t>
        </is>
      </c>
      <c r="C4884" t="inlineStr">
        <is>
          <t>OTC</t>
        </is>
      </c>
      <c r="D4884" t="n">
        <v>50292</v>
      </c>
      <c r="E4884" t="inlineStr">
        <is>
          <t>SEC</t>
        </is>
      </c>
    </row>
    <row r="4885">
      <c r="A4885" s="5">
        <f>HYPERLINK("https://finance.yahoo.com/quote/INTG","INTG")</f>
        <v/>
      </c>
      <c r="B4885" t="inlineStr">
        <is>
          <t>INTERGROUP CORP</t>
        </is>
      </c>
      <c r="C4885" t="inlineStr">
        <is>
          <t>Nasdaq</t>
        </is>
      </c>
      <c r="D4885" t="n">
        <v>69422</v>
      </c>
      <c r="E4885" t="inlineStr">
        <is>
          <t>SEC</t>
        </is>
      </c>
    </row>
    <row r="4886">
      <c r="A4886" s="5">
        <f>HYPERLINK("https://finance.yahoo.com/quote/ZYBT","ZYBT")</f>
        <v/>
      </c>
      <c r="B4886" t="inlineStr">
        <is>
          <t>Zhengye Biotechnology Holding Ltd</t>
        </is>
      </c>
      <c r="C4886" t="inlineStr">
        <is>
          <t>Nasdaq</t>
        </is>
      </c>
      <c r="D4886" t="n">
        <v>1975641</v>
      </c>
      <c r="E4886" t="inlineStr">
        <is>
          <t>SEC</t>
        </is>
      </c>
    </row>
    <row r="4887">
      <c r="A4887" s="5">
        <f>HYPERLINK("https://finance.yahoo.com/quote/NDLS","NDLS")</f>
        <v/>
      </c>
      <c r="B4887" t="inlineStr">
        <is>
          <t>NOODLES &amp; Co</t>
        </is>
      </c>
      <c r="C4887" t="inlineStr">
        <is>
          <t>Nasdaq</t>
        </is>
      </c>
      <c r="D4887" t="n">
        <v>1275158</v>
      </c>
      <c r="E4887" t="inlineStr">
        <is>
          <t>SEC</t>
        </is>
      </c>
    </row>
    <row r="4888">
      <c r="A4888" s="5">
        <f>HYPERLINK("https://finance.yahoo.com/quote/GLV","GLV")</f>
        <v/>
      </c>
      <c r="B4888" t="inlineStr">
        <is>
          <t>Clough Global Dividend &amp; Income Fund</t>
        </is>
      </c>
      <c r="C4888" t="inlineStr">
        <is>
          <t>NYSE</t>
        </is>
      </c>
      <c r="D4888" t="n">
        <v>1288795</v>
      </c>
      <c r="E4888" t="inlineStr">
        <is>
          <t>SEC</t>
        </is>
      </c>
    </row>
    <row r="4889">
      <c r="A4889" s="5">
        <f>HYPERLINK("https://finance.yahoo.com/quote/BBCI","BBCI")</f>
        <v/>
      </c>
      <c r="B4889" t="inlineStr">
        <is>
          <t>Bradbury Capital Inc.</t>
        </is>
      </c>
      <c r="C4889" t="inlineStr">
        <is>
          <t>Nasdaq</t>
        </is>
      </c>
      <c r="D4889" t="n">
        <v>1986694</v>
      </c>
      <c r="E4889" t="inlineStr">
        <is>
          <t>SEC</t>
        </is>
      </c>
    </row>
    <row r="4890">
      <c r="A4890" s="5">
        <f>HYPERLINK("https://finance.yahoo.com/quote/NTRB","NTRB")</f>
        <v/>
      </c>
      <c r="B4890" t="inlineStr">
        <is>
          <t>NutriBand Inc.</t>
        </is>
      </c>
      <c r="C4890" t="inlineStr">
        <is>
          <t>Nasdaq</t>
        </is>
      </c>
      <c r="D4890" t="n">
        <v>1676047</v>
      </c>
      <c r="E4890" t="inlineStr">
        <is>
          <t>SEC</t>
        </is>
      </c>
    </row>
    <row r="4891">
      <c r="A4891" s="5">
        <f>HYPERLINK("https://finance.yahoo.com/quote/TSQ","TSQ")</f>
        <v/>
      </c>
      <c r="B4891" t="inlineStr">
        <is>
          <t>Townsquare Media, Inc.</t>
        </is>
      </c>
      <c r="C4891" t="inlineStr">
        <is>
          <t>NYSE</t>
        </is>
      </c>
      <c r="D4891" t="n">
        <v>1499832</v>
      </c>
      <c r="E4891" t="inlineStr">
        <is>
          <t>SEC</t>
        </is>
      </c>
    </row>
    <row r="4892">
      <c r="A4892" s="5">
        <f>HYPERLINK("https://finance.yahoo.com/quote/MAIA","MAIA")</f>
        <v/>
      </c>
      <c r="B4892" t="inlineStr">
        <is>
          <t>MAIA Biotechnology, Inc.</t>
        </is>
      </c>
      <c r="C4892" t="inlineStr">
        <is>
          <t>NYSE</t>
        </is>
      </c>
      <c r="D4892" t="n">
        <v>1878313</v>
      </c>
      <c r="E4892" t="inlineStr">
        <is>
          <t>SEC</t>
        </is>
      </c>
    </row>
    <row r="4893">
      <c r="A4893" s="5">
        <f>HYPERLINK("https://finance.yahoo.com/quote/ACRG","ACRG")</f>
        <v/>
      </c>
      <c r="B4893" t="inlineStr">
        <is>
          <t>American Clean Resources Group, Inc.</t>
        </is>
      </c>
      <c r="C4893" t="inlineStr">
        <is>
          <t>OTC</t>
        </is>
      </c>
      <c r="D4893" t="n">
        <v>773717</v>
      </c>
      <c r="E4893" t="inlineStr">
        <is>
          <t>SEC</t>
        </is>
      </c>
    </row>
    <row r="4894">
      <c r="A4894" s="5">
        <f>HYPERLINK("https://finance.yahoo.com/quote/IMTCF","IMTCF")</f>
        <v/>
      </c>
      <c r="B4894" t="inlineStr">
        <is>
          <t>Intrepid Metals Corp.</t>
        </is>
      </c>
      <c r="C4894" t="inlineStr">
        <is>
          <t>OTC</t>
        </is>
      </c>
      <c r="D4894" t="n">
        <v>1288268</v>
      </c>
      <c r="E4894" t="inlineStr">
        <is>
          <t>SEC</t>
        </is>
      </c>
    </row>
    <row r="4895">
      <c r="A4895" s="5">
        <f>HYPERLINK("https://finance.yahoo.com/quote/CWBHF","CWBHF")</f>
        <v/>
      </c>
      <c r="B4895" t="inlineStr">
        <is>
          <t>Charlotte's Web Holdings, Inc.</t>
        </is>
      </c>
      <c r="C4895" t="inlineStr">
        <is>
          <t>OTC</t>
        </is>
      </c>
      <c r="D4895" t="n">
        <v>1750155</v>
      </c>
      <c r="E4895" t="inlineStr">
        <is>
          <t>SEC</t>
        </is>
      </c>
    </row>
    <row r="4896">
      <c r="A4896" s="5">
        <f>HYPERLINK("https://finance.yahoo.com/quote/COE","COE")</f>
        <v/>
      </c>
      <c r="B4896" t="inlineStr">
        <is>
          <t>51Talk Online Education Group</t>
        </is>
      </c>
      <c r="C4896" t="inlineStr">
        <is>
          <t>NYSE</t>
        </is>
      </c>
      <c r="D4896" t="n">
        <v>1659494</v>
      </c>
      <c r="E4896" t="inlineStr">
        <is>
          <t>SEC</t>
        </is>
      </c>
    </row>
    <row r="4897">
      <c r="A4897" s="5">
        <f>HYPERLINK("https://finance.yahoo.com/quote/SKIN","SKIN")</f>
        <v/>
      </c>
      <c r="B4897" t="inlineStr">
        <is>
          <t>SkinHealth Systems Inc.</t>
        </is>
      </c>
      <c r="C4897" t="inlineStr">
        <is>
          <t>Nasdaq</t>
        </is>
      </c>
      <c r="D4897" t="n">
        <v>1818093</v>
      </c>
      <c r="E4897" t="inlineStr">
        <is>
          <t>SEC</t>
        </is>
      </c>
    </row>
    <row r="4898">
      <c r="A4898" s="5">
        <f>HYPERLINK("https://finance.yahoo.com/quote/AIRT","AIRT")</f>
        <v/>
      </c>
      <c r="B4898" t="inlineStr">
        <is>
          <t>AIR T INC</t>
        </is>
      </c>
      <c r="C4898" t="inlineStr">
        <is>
          <t>Nasdaq</t>
        </is>
      </c>
      <c r="D4898" t="n">
        <v>353184</v>
      </c>
      <c r="E4898" t="inlineStr">
        <is>
          <t>SEC</t>
        </is>
      </c>
    </row>
    <row r="4899">
      <c r="A4899" s="5">
        <f>HYPERLINK("https://finance.yahoo.com/quote/ZSTK","ZSTK")</f>
        <v/>
      </c>
      <c r="B4899" t="inlineStr">
        <is>
          <t>ZeroStack Corp.</t>
        </is>
      </c>
      <c r="C4899" t="inlineStr">
        <is>
          <t>Nasdaq</t>
        </is>
      </c>
      <c r="D4899" t="n">
        <v>1790169</v>
      </c>
      <c r="E4899" t="inlineStr">
        <is>
          <t>SEC</t>
        </is>
      </c>
    </row>
    <row r="4900">
      <c r="A4900" s="5">
        <f>HYPERLINK("https://finance.yahoo.com/quote/REVFF","REVFF")</f>
        <v/>
      </c>
      <c r="B4900" t="inlineStr">
        <is>
          <t>Gitennes Exploration Inc.</t>
        </is>
      </c>
      <c r="C4900" t="inlineStr">
        <is>
          <t>OTC</t>
        </is>
      </c>
      <c r="D4900" t="n">
        <v>1002366</v>
      </c>
      <c r="E4900" t="inlineStr">
        <is>
          <t>SEC</t>
        </is>
      </c>
    </row>
    <row r="4901">
      <c r="A4901" s="5">
        <f>HYPERLINK("https://finance.yahoo.com/quote/CRDF","CRDF")</f>
        <v/>
      </c>
      <c r="B4901" t="inlineStr">
        <is>
          <t>Cardiff Oncology, Inc.</t>
        </is>
      </c>
      <c r="C4901" t="inlineStr">
        <is>
          <t>Nasdaq</t>
        </is>
      </c>
      <c r="D4901" t="n">
        <v>1213037</v>
      </c>
      <c r="E4901" t="inlineStr">
        <is>
          <t>SEC</t>
        </is>
      </c>
    </row>
    <row r="4902">
      <c r="A4902" s="5">
        <f>HYPERLINK("https://finance.yahoo.com/quote/CTOR","CTOR")</f>
        <v/>
      </c>
      <c r="B4902" t="inlineStr">
        <is>
          <t>CITIUS ONCOLOGY, INC.</t>
        </is>
      </c>
      <c r="C4902" t="inlineStr">
        <is>
          <t>Nasdaq</t>
        </is>
      </c>
      <c r="D4902" t="n">
        <v>1851484</v>
      </c>
      <c r="E4902" t="inlineStr">
        <is>
          <t>SEC</t>
        </is>
      </c>
    </row>
    <row r="4903">
      <c r="A4903" s="5">
        <f>HYPERLINK("https://finance.yahoo.com/quote/SRL","SRL")</f>
        <v/>
      </c>
      <c r="B4903" t="inlineStr">
        <is>
          <t>Scully Royalty Ltd.</t>
        </is>
      </c>
      <c r="C4903" t="inlineStr">
        <is>
          <t>NYSE</t>
        </is>
      </c>
      <c r="D4903" t="n">
        <v>16859</v>
      </c>
      <c r="E4903" t="inlineStr">
        <is>
          <t>SEC</t>
        </is>
      </c>
    </row>
    <row r="4904">
      <c r="A4904" s="5">
        <f>HYPERLINK("https://finance.yahoo.com/quote/STFS","STFS")</f>
        <v/>
      </c>
      <c r="B4904" t="inlineStr">
        <is>
          <t>Star Fashion Culture Holdings Ltd</t>
        </is>
      </c>
      <c r="C4904" t="inlineStr">
        <is>
          <t>Nasdaq</t>
        </is>
      </c>
      <c r="D4904" t="n">
        <v>2003061</v>
      </c>
      <c r="E4904" t="inlineStr">
        <is>
          <t>SEC</t>
        </is>
      </c>
    </row>
    <row r="4905">
      <c r="A4905" s="5">
        <f>HYPERLINK("https://finance.yahoo.com/quote/CING","CING")</f>
        <v/>
      </c>
      <c r="B4905" t="inlineStr">
        <is>
          <t>Cingulate Inc.</t>
        </is>
      </c>
      <c r="C4905" t="inlineStr">
        <is>
          <t>Nasdaq</t>
        </is>
      </c>
      <c r="D4905" t="n">
        <v>1862150</v>
      </c>
      <c r="E4905" t="inlineStr">
        <is>
          <t>SEC</t>
        </is>
      </c>
    </row>
    <row r="4906">
      <c r="A4906" s="5">
        <f>HYPERLINK("https://finance.yahoo.com/quote/NMRA","NMRA")</f>
        <v/>
      </c>
      <c r="B4906" t="inlineStr">
        <is>
          <t>Neumora Therapeutics, Inc.</t>
        </is>
      </c>
      <c r="C4906" t="inlineStr">
        <is>
          <t>Nasdaq</t>
        </is>
      </c>
      <c r="D4906" t="n">
        <v>1885522</v>
      </c>
      <c r="E4906" t="inlineStr">
        <is>
          <t>SEC</t>
        </is>
      </c>
    </row>
    <row r="4907">
      <c r="A4907" s="5">
        <f>HYPERLINK("https://finance.yahoo.com/quote/PORT","PORT")</f>
        <v/>
      </c>
      <c r="B4907" t="inlineStr">
        <is>
          <t>Southport Acquisition Corp. II</t>
        </is>
      </c>
      <c r="C4907" t="inlineStr"/>
      <c r="D4907" t="n">
        <v>2148436</v>
      </c>
      <c r="E4907" t="inlineStr">
        <is>
          <t>SEC</t>
        </is>
      </c>
    </row>
    <row r="4908">
      <c r="A4908" s="5">
        <f>HYPERLINK("https://finance.yahoo.com/quote/BARK","BARK")</f>
        <v/>
      </c>
      <c r="B4908" t="inlineStr">
        <is>
          <t>Bark, Inc.</t>
        </is>
      </c>
      <c r="C4908" t="inlineStr">
        <is>
          <t>NYSE</t>
        </is>
      </c>
      <c r="D4908" t="n">
        <v>1819574</v>
      </c>
      <c r="E4908" t="inlineStr">
        <is>
          <t>SEC</t>
        </is>
      </c>
    </row>
    <row r="4909">
      <c r="A4909" s="5">
        <f>HYPERLINK("https://finance.yahoo.com/quote/IMAQ","IMAQ")</f>
        <v/>
      </c>
      <c r="B4909" t="inlineStr">
        <is>
          <t>International Media Acquisition Corp.</t>
        </is>
      </c>
      <c r="C4909" t="inlineStr">
        <is>
          <t>OTC</t>
        </is>
      </c>
      <c r="D4909" t="n">
        <v>1846235</v>
      </c>
      <c r="E4909" t="inlineStr">
        <is>
          <t>SEC</t>
        </is>
      </c>
    </row>
    <row r="4910">
      <c r="A4910" s="5">
        <f>HYPERLINK("https://finance.yahoo.com/quote/BWEN","BWEN")</f>
        <v/>
      </c>
      <c r="B4910" t="inlineStr">
        <is>
          <t>BROADWIND, INC.</t>
        </is>
      </c>
      <c r="C4910" t="inlineStr">
        <is>
          <t>Nasdaq</t>
        </is>
      </c>
      <c r="D4910" t="n">
        <v>1120370</v>
      </c>
      <c r="E4910" t="inlineStr">
        <is>
          <t>SEC</t>
        </is>
      </c>
    </row>
    <row r="4911">
      <c r="A4911" s="5">
        <f>HYPERLINK("https://finance.yahoo.com/quote/EEA","EEA")</f>
        <v/>
      </c>
      <c r="B4911" t="inlineStr">
        <is>
          <t>EUROPEAN EQUITY FUND, INC / MD</t>
        </is>
      </c>
      <c r="C4911" t="inlineStr">
        <is>
          <t>NYSE</t>
        </is>
      </c>
      <c r="D4911" t="n">
        <v>791718</v>
      </c>
      <c r="E4911" t="inlineStr">
        <is>
          <t>SEC</t>
        </is>
      </c>
    </row>
    <row r="4912">
      <c r="A4912" s="5">
        <f>HYPERLINK("https://finance.yahoo.com/quote/AWLRF","AWLRF")</f>
        <v/>
      </c>
      <c r="B4912" t="inlineStr">
        <is>
          <t>Awale Resources Ltd</t>
        </is>
      </c>
      <c r="C4912" t="inlineStr">
        <is>
          <t>OTC</t>
        </is>
      </c>
      <c r="D4912" t="n">
        <v>1727254</v>
      </c>
      <c r="E4912" t="inlineStr">
        <is>
          <t>SEC</t>
        </is>
      </c>
    </row>
    <row r="4913">
      <c r="A4913" s="5">
        <f>HYPERLINK("https://finance.yahoo.com/quote/CGTX","CGTX")</f>
        <v/>
      </c>
      <c r="B4913" t="inlineStr">
        <is>
          <t>COGNITION THERAPEUTICS INC</t>
        </is>
      </c>
      <c r="C4913" t="inlineStr">
        <is>
          <t>Nasdaq</t>
        </is>
      </c>
      <c r="D4913" t="n">
        <v>1455365</v>
      </c>
      <c r="E4913" t="inlineStr">
        <is>
          <t>SEC</t>
        </is>
      </c>
    </row>
    <row r="4914">
      <c r="A4914" s="5">
        <f>HYPERLINK("https://finance.yahoo.com/quote/MNOV","MNOV")</f>
        <v/>
      </c>
      <c r="B4914" t="inlineStr">
        <is>
          <t>MEDICINOVA INC</t>
        </is>
      </c>
      <c r="C4914" t="inlineStr">
        <is>
          <t>Nasdaq</t>
        </is>
      </c>
      <c r="D4914" t="n">
        <v>1226616</v>
      </c>
      <c r="E4914" t="inlineStr">
        <is>
          <t>SEC</t>
        </is>
      </c>
    </row>
    <row r="4915">
      <c r="A4915" s="5">
        <f>HYPERLINK("https://finance.yahoo.com/quote/CLST","CLST")</f>
        <v/>
      </c>
      <c r="B4915" t="inlineStr">
        <is>
          <t>Catalyst Bancorp, Inc.</t>
        </is>
      </c>
      <c r="C4915" t="inlineStr">
        <is>
          <t>Nasdaq</t>
        </is>
      </c>
      <c r="D4915" t="n">
        <v>1849867</v>
      </c>
      <c r="E4915" t="inlineStr">
        <is>
          <t>SEC</t>
        </is>
      </c>
    </row>
    <row r="4916">
      <c r="A4916" s="5">
        <f>HYPERLINK("https://finance.yahoo.com/quote/YDDL","YDDL")</f>
        <v/>
      </c>
      <c r="B4916" t="inlineStr">
        <is>
          <t>One &amp; one Green Technologies. INC</t>
        </is>
      </c>
      <c r="C4916" t="inlineStr">
        <is>
          <t>Nasdaq</t>
        </is>
      </c>
      <c r="D4916" t="n">
        <v>2034723</v>
      </c>
      <c r="E4916" t="inlineStr">
        <is>
          <t>SEC</t>
        </is>
      </c>
    </row>
    <row r="4917">
      <c r="A4917" s="5">
        <f>HYPERLINK("https://finance.yahoo.com/quote/SAFX","SAFX")</f>
        <v/>
      </c>
      <c r="B4917" t="inlineStr">
        <is>
          <t>XCF Global, Inc.</t>
        </is>
      </c>
      <c r="C4917" t="inlineStr">
        <is>
          <t>Nasdaq</t>
        </is>
      </c>
      <c r="D4917" t="n">
        <v>2019793</v>
      </c>
      <c r="E4917" t="inlineStr">
        <is>
          <t>SEC</t>
        </is>
      </c>
    </row>
    <row r="4918">
      <c r="A4918" s="5">
        <f>HYPERLINK("https://finance.yahoo.com/quote/NORD","NORD")</f>
        <v/>
      </c>
      <c r="B4918" t="inlineStr">
        <is>
          <t>Nordicus Partners Corp</t>
        </is>
      </c>
      <c r="C4918" t="inlineStr">
        <is>
          <t>OTC</t>
        </is>
      </c>
      <c r="D4918" t="n">
        <v>1011060</v>
      </c>
      <c r="E4918" t="inlineStr">
        <is>
          <t>SEC</t>
        </is>
      </c>
    </row>
    <row r="4919">
      <c r="A4919" s="5">
        <f>HYPERLINK("https://finance.yahoo.com/quote/AFCG","AFCG")</f>
        <v/>
      </c>
      <c r="B4919" t="inlineStr">
        <is>
          <t>Advanced Flower Capital Inc.</t>
        </is>
      </c>
      <c r="C4919" t="inlineStr">
        <is>
          <t>Nasdaq</t>
        </is>
      </c>
      <c r="D4919" t="n">
        <v>1822523</v>
      </c>
      <c r="E4919" t="inlineStr">
        <is>
          <t>SEC</t>
        </is>
      </c>
    </row>
    <row r="4920">
      <c r="A4920" s="5">
        <f>HYPERLINK("https://finance.yahoo.com/quote/JFIN","JFIN")</f>
        <v/>
      </c>
      <c r="B4920" t="inlineStr">
        <is>
          <t>Jiayin Group Inc.</t>
        </is>
      </c>
      <c r="C4920" t="inlineStr">
        <is>
          <t>Nasdaq</t>
        </is>
      </c>
      <c r="D4920" t="n">
        <v>1743102</v>
      </c>
      <c r="E4920" t="inlineStr">
        <is>
          <t>SEC</t>
        </is>
      </c>
    </row>
    <row r="4921">
      <c r="A4921" s="5">
        <f>HYPERLINK("https://finance.yahoo.com/quote/SBXDF","SBXDF")</f>
        <v/>
      </c>
      <c r="B4921" t="inlineStr">
        <is>
          <t>SilverBox Corp IV</t>
        </is>
      </c>
      <c r="C4921" t="inlineStr">
        <is>
          <t>OTC</t>
        </is>
      </c>
      <c r="D4921" t="n">
        <v>2015947</v>
      </c>
      <c r="E4921" t="inlineStr">
        <is>
          <t>SEC</t>
        </is>
      </c>
    </row>
    <row r="4922">
      <c r="A4922" s="5">
        <f>HYPERLINK("https://finance.yahoo.com/quote/OAKV","OAKV")</f>
        <v/>
      </c>
      <c r="B4922" t="inlineStr">
        <is>
          <t>Oak View Bankshares, Inc.</t>
        </is>
      </c>
      <c r="C4922" t="inlineStr">
        <is>
          <t>OTC</t>
        </is>
      </c>
      <c r="D4922" t="n">
        <v>1865429</v>
      </c>
      <c r="E4922" t="inlineStr">
        <is>
          <t>SEC</t>
        </is>
      </c>
    </row>
    <row r="4923">
      <c r="A4923" s="5">
        <f>HYPERLINK("https://finance.yahoo.com/quote/CPSH","CPSH")</f>
        <v/>
      </c>
      <c r="B4923" t="inlineStr">
        <is>
          <t>CPS TECHNOLOGIES CORP/DE/</t>
        </is>
      </c>
      <c r="C4923" t="inlineStr">
        <is>
          <t>Nasdaq</t>
        </is>
      </c>
      <c r="D4923" t="n">
        <v>814676</v>
      </c>
      <c r="E4923" t="inlineStr">
        <is>
          <t>SEC</t>
        </is>
      </c>
    </row>
    <row r="4924">
      <c r="A4924" s="5">
        <f>HYPERLINK("https://finance.yahoo.com/quote/AASP","AASP")</f>
        <v/>
      </c>
      <c r="B4924" t="inlineStr">
        <is>
          <t>Agassi Sports Entertainment Corp.</t>
        </is>
      </c>
      <c r="C4924" t="inlineStr">
        <is>
          <t>OTC</t>
        </is>
      </c>
      <c r="D4924" t="n">
        <v>930245</v>
      </c>
      <c r="E4924" t="inlineStr">
        <is>
          <t>SEC</t>
        </is>
      </c>
    </row>
    <row r="4925">
      <c r="A4925" s="5">
        <f>HYPERLINK("https://finance.yahoo.com/quote/RFL","RFL")</f>
        <v/>
      </c>
      <c r="B4925" t="inlineStr">
        <is>
          <t>Rafael Holdings, Inc.</t>
        </is>
      </c>
      <c r="C4925" t="inlineStr">
        <is>
          <t>NYSE</t>
        </is>
      </c>
      <c r="D4925" t="n">
        <v>1713863</v>
      </c>
      <c r="E4925" t="inlineStr">
        <is>
          <t>SEC</t>
        </is>
      </c>
    </row>
    <row r="4926">
      <c r="A4926" s="5">
        <f>HYPERLINK("https://finance.yahoo.com/quote/AIIO","AIIO")</f>
        <v/>
      </c>
      <c r="B4926" t="inlineStr">
        <is>
          <t>ROBO.AI INC.</t>
        </is>
      </c>
      <c r="C4926" t="inlineStr">
        <is>
          <t>Nasdaq</t>
        </is>
      </c>
      <c r="D4926" t="n">
        <v>1932737</v>
      </c>
      <c r="E4926" t="inlineStr">
        <is>
          <t>SEC</t>
        </is>
      </c>
    </row>
    <row r="4927">
      <c r="A4927" s="5">
        <f>HYPERLINK("https://finance.yahoo.com/quote/OPXS","OPXS")</f>
        <v/>
      </c>
      <c r="B4927" t="inlineStr">
        <is>
          <t>Optex Systems Holdings Inc</t>
        </is>
      </c>
      <c r="C4927" t="inlineStr">
        <is>
          <t>Nasdaq</t>
        </is>
      </c>
      <c r="D4927" t="n">
        <v>1397016</v>
      </c>
      <c r="E4927" t="inlineStr">
        <is>
          <t>SEC</t>
        </is>
      </c>
    </row>
    <row r="4928">
      <c r="A4928" s="5">
        <f>HYPERLINK("https://finance.yahoo.com/quote/LCU","LCU")</f>
        <v/>
      </c>
      <c r="B4928" t="inlineStr">
        <is>
          <t>Lion Copper Corp.</t>
        </is>
      </c>
      <c r="C4928" t="inlineStr">
        <is>
          <t>Nasdaq</t>
        </is>
      </c>
      <c r="D4928" t="n">
        <v>1339688</v>
      </c>
      <c r="E4928" t="inlineStr">
        <is>
          <t>SEC</t>
        </is>
      </c>
    </row>
    <row r="4929">
      <c r="A4929" s="5">
        <f>HYPERLINK("https://finance.yahoo.com/quote/RPMT","RPMT")</f>
        <v/>
      </c>
      <c r="B4929" t="inlineStr">
        <is>
          <t>REGO PAYMENT ARCHITECTURES, INC.</t>
        </is>
      </c>
      <c r="C4929" t="inlineStr">
        <is>
          <t>OTC</t>
        </is>
      </c>
      <c r="D4929" t="n">
        <v>1437283</v>
      </c>
      <c r="E4929" t="inlineStr">
        <is>
          <t>SEC</t>
        </is>
      </c>
    </row>
    <row r="4930">
      <c r="A4930" s="5">
        <f>HYPERLINK("https://finance.yahoo.com/quote/HANNF","HANNF")</f>
        <v/>
      </c>
      <c r="B4930" t="inlineStr">
        <is>
          <t>Hannan Metals Ltd.</t>
        </is>
      </c>
      <c r="C4930" t="inlineStr">
        <is>
          <t>OTC</t>
        </is>
      </c>
      <c r="D4930" t="n">
        <v>1123267</v>
      </c>
      <c r="E4930" t="inlineStr">
        <is>
          <t>SEC</t>
        </is>
      </c>
    </row>
    <row r="4931">
      <c r="A4931" s="5">
        <f>HYPERLINK("https://finance.yahoo.com/quote/SDCO","SDCO")</f>
        <v/>
      </c>
      <c r="B4931" t="inlineStr">
        <is>
          <t>SDR Drone, Inc.</t>
        </is>
      </c>
      <c r="C4931" t="inlineStr">
        <is>
          <t>OTC</t>
        </is>
      </c>
      <c r="D4931" t="n">
        <v>1331421</v>
      </c>
      <c r="E4931" t="inlineStr">
        <is>
          <t>SEC</t>
        </is>
      </c>
    </row>
    <row r="4932">
      <c r="A4932" s="5">
        <f>HYPERLINK("https://finance.yahoo.com/quote/ROC","ROC")</f>
        <v/>
      </c>
      <c r="B4932" t="inlineStr">
        <is>
          <t>Rank One Computing Corp</t>
        </is>
      </c>
      <c r="C4932" t="inlineStr">
        <is>
          <t>Nasdaq</t>
        </is>
      </c>
      <c r="D4932" t="n">
        <v>2077709</v>
      </c>
      <c r="E4932" t="inlineStr">
        <is>
          <t>SEC</t>
        </is>
      </c>
    </row>
    <row r="4933">
      <c r="A4933" s="5">
        <f>HYPERLINK("https://finance.yahoo.com/quote/RSSS","RSSS")</f>
        <v/>
      </c>
      <c r="B4933" t="inlineStr">
        <is>
          <t>Research Solutions, Inc.</t>
        </is>
      </c>
      <c r="C4933" t="inlineStr">
        <is>
          <t>Nasdaq</t>
        </is>
      </c>
      <c r="D4933" t="n">
        <v>1386301</v>
      </c>
      <c r="E4933" t="inlineStr">
        <is>
          <t>SEC</t>
        </is>
      </c>
    </row>
    <row r="4934">
      <c r="A4934" s="5">
        <f>HYPERLINK("https://finance.yahoo.com/quote/SPAI","SPAI")</f>
        <v/>
      </c>
      <c r="B4934" t="inlineStr">
        <is>
          <t>Safe Pro Group Inc.</t>
        </is>
      </c>
      <c r="C4934" t="inlineStr">
        <is>
          <t>Nasdaq</t>
        </is>
      </c>
      <c r="D4934" t="n">
        <v>2011208</v>
      </c>
      <c r="E4934" t="inlineStr">
        <is>
          <t>SEC</t>
        </is>
      </c>
    </row>
    <row r="4935">
      <c r="A4935" s="5">
        <f>HYPERLINK("https://finance.yahoo.com/quote/GDHG","GDHG")</f>
        <v/>
      </c>
      <c r="B4935" t="inlineStr">
        <is>
          <t>GOLDEN HEAVEN GROUP HOLDINGS LTD.</t>
        </is>
      </c>
      <c r="C4935" t="inlineStr">
        <is>
          <t>Nasdaq</t>
        </is>
      </c>
      <c r="D4935" t="n">
        <v>1928340</v>
      </c>
      <c r="E4935" t="inlineStr">
        <is>
          <t>SEC</t>
        </is>
      </c>
    </row>
    <row r="4936">
      <c r="A4936" s="5">
        <f>HYPERLINK("https://finance.yahoo.com/quote/WYY","WYY")</f>
        <v/>
      </c>
      <c r="B4936" t="inlineStr">
        <is>
          <t>WIDEPOINT CORP</t>
        </is>
      </c>
      <c r="C4936" t="inlineStr">
        <is>
          <t>NYSE</t>
        </is>
      </c>
      <c r="D4936" t="n">
        <v>1034760</v>
      </c>
      <c r="E4936" t="inlineStr">
        <is>
          <t>SEC</t>
        </is>
      </c>
    </row>
    <row r="4937">
      <c r="A4937" s="5">
        <f>HYPERLINK("https://finance.yahoo.com/quote/INVE","INVE")</f>
        <v/>
      </c>
      <c r="B4937" t="inlineStr">
        <is>
          <t>INVE Technologies, Inc.</t>
        </is>
      </c>
      <c r="C4937" t="inlineStr">
        <is>
          <t>Nasdaq</t>
        </is>
      </c>
      <c r="D4937" t="n">
        <v>1036044</v>
      </c>
      <c r="E4937" t="inlineStr">
        <is>
          <t>SEC</t>
        </is>
      </c>
    </row>
    <row r="4938">
      <c r="A4938" s="5">
        <f>HYPERLINK("https://finance.yahoo.com/quote/HFBL","HFBL")</f>
        <v/>
      </c>
      <c r="B4938" t="inlineStr">
        <is>
          <t>Home Federal Bancorp, Inc. of Louisiana</t>
        </is>
      </c>
      <c r="C4938" t="inlineStr">
        <is>
          <t>Nasdaq</t>
        </is>
      </c>
      <c r="D4938" t="n">
        <v>1500375</v>
      </c>
      <c r="E4938" t="inlineStr">
        <is>
          <t>SEC</t>
        </is>
      </c>
    </row>
    <row r="4939">
      <c r="A4939" s="5">
        <f>HYPERLINK("https://finance.yahoo.com/quote/SWVL","SWVL")</f>
        <v/>
      </c>
      <c r="B4939" t="inlineStr">
        <is>
          <t>Swvl Holdings Corp</t>
        </is>
      </c>
      <c r="C4939" t="inlineStr">
        <is>
          <t>Nasdaq</t>
        </is>
      </c>
      <c r="D4939" t="n">
        <v>1875609</v>
      </c>
      <c r="E4939" t="inlineStr">
        <is>
          <t>SEC</t>
        </is>
      </c>
    </row>
    <row r="4940">
      <c r="A4940" s="5">
        <f>HYPERLINK("https://finance.yahoo.com/quote/GNSS","GNSS")</f>
        <v/>
      </c>
      <c r="B4940" t="inlineStr">
        <is>
          <t>Genasys Inc.</t>
        </is>
      </c>
      <c r="C4940" t="inlineStr">
        <is>
          <t>Nasdaq</t>
        </is>
      </c>
      <c r="D4940" t="n">
        <v>924383</v>
      </c>
      <c r="E4940" t="inlineStr">
        <is>
          <t>SEC</t>
        </is>
      </c>
    </row>
    <row r="4941">
      <c r="A4941" s="5">
        <f>HYPERLINK("https://finance.yahoo.com/quote/TGLO","TGLO")</f>
        <v/>
      </c>
      <c r="B4941" t="inlineStr">
        <is>
          <t>THEGLOBE COM INC</t>
        </is>
      </c>
      <c r="C4941" t="inlineStr">
        <is>
          <t>OTC</t>
        </is>
      </c>
      <c r="D4941" t="n">
        <v>1066684</v>
      </c>
      <c r="E4941" t="inlineStr">
        <is>
          <t>SEC</t>
        </is>
      </c>
    </row>
    <row r="4942">
      <c r="A4942" s="5">
        <f>HYPERLINK("https://finance.yahoo.com/quote/GECC","GECC")</f>
        <v/>
      </c>
      <c r="B4942" t="inlineStr">
        <is>
          <t>Great Elm Capital Corp.</t>
        </is>
      </c>
      <c r="C4942" t="inlineStr">
        <is>
          <t>Nasdaq</t>
        </is>
      </c>
      <c r="D4942" t="n">
        <v>1675033</v>
      </c>
      <c r="E4942" t="inlineStr">
        <is>
          <t>SEC</t>
        </is>
      </c>
    </row>
    <row r="4943">
      <c r="A4943" s="5">
        <f>HYPERLINK("https://finance.yahoo.com/quote/MB","MB")</f>
        <v/>
      </c>
      <c r="B4943" t="inlineStr">
        <is>
          <t>MASTERBEEF GROUP</t>
        </is>
      </c>
      <c r="C4943" t="inlineStr">
        <is>
          <t>Nasdaq</t>
        </is>
      </c>
      <c r="D4943" t="n">
        <v>2027265</v>
      </c>
      <c r="E4943" t="inlineStr">
        <is>
          <t>SEC</t>
        </is>
      </c>
    </row>
    <row r="4944">
      <c r="A4944" s="5">
        <f>HYPERLINK("https://finance.yahoo.com/quote/INCR","INCR")</f>
        <v/>
      </c>
      <c r="B4944" t="inlineStr">
        <is>
          <t>Intercure Ltd.</t>
        </is>
      </c>
      <c r="C4944" t="inlineStr">
        <is>
          <t>Nasdaq</t>
        </is>
      </c>
      <c r="D4944" t="n">
        <v>1857030</v>
      </c>
      <c r="E4944" t="inlineStr">
        <is>
          <t>SEC</t>
        </is>
      </c>
    </row>
    <row r="4945">
      <c r="A4945" s="5">
        <f>HYPERLINK("https://finance.yahoo.com/quote/INVZ","INVZ")</f>
        <v/>
      </c>
      <c r="B4945" t="inlineStr">
        <is>
          <t>Innoviz Technologies Ltd.</t>
        </is>
      </c>
      <c r="C4945" t="inlineStr">
        <is>
          <t>Nasdaq</t>
        </is>
      </c>
      <c r="D4945" t="n">
        <v>1835654</v>
      </c>
      <c r="E4945" t="inlineStr">
        <is>
          <t>SEC</t>
        </is>
      </c>
    </row>
    <row r="4946">
      <c r="A4946" s="5">
        <f>HYPERLINK("https://finance.yahoo.com/quote/ECOR","ECOR")</f>
        <v/>
      </c>
      <c r="B4946" t="inlineStr">
        <is>
          <t>electroCore, Inc.</t>
        </is>
      </c>
      <c r="C4946" t="inlineStr">
        <is>
          <t>Nasdaq</t>
        </is>
      </c>
      <c r="D4946" t="n">
        <v>1560258</v>
      </c>
      <c r="E4946" t="inlineStr">
        <is>
          <t>SEC</t>
        </is>
      </c>
    </row>
    <row r="4947">
      <c r="A4947" s="5">
        <f>HYPERLINK("https://finance.yahoo.com/quote/EVTL","EVTL")</f>
        <v/>
      </c>
      <c r="B4947" t="inlineStr">
        <is>
          <t>Vertical Aerospace Ltd.</t>
        </is>
      </c>
      <c r="C4947" t="inlineStr">
        <is>
          <t>NYSE</t>
        </is>
      </c>
      <c r="D4947" t="n">
        <v>1867102</v>
      </c>
      <c r="E4947" t="inlineStr">
        <is>
          <t>SEC</t>
        </is>
      </c>
    </row>
    <row r="4948">
      <c r="A4948" s="5">
        <f>HYPERLINK("https://finance.yahoo.com/quote/UEIC","UEIC")</f>
        <v/>
      </c>
      <c r="B4948" t="inlineStr">
        <is>
          <t>UNIVERSAL ELECTRONICS INC</t>
        </is>
      </c>
      <c r="C4948" t="inlineStr">
        <is>
          <t>Nasdaq</t>
        </is>
      </c>
      <c r="D4948" t="n">
        <v>101984</v>
      </c>
      <c r="E4948" t="inlineStr">
        <is>
          <t>SEC</t>
        </is>
      </c>
    </row>
    <row r="4949">
      <c r="A4949" s="5">
        <f>HYPERLINK("https://finance.yahoo.com/quote/GAMG","GAMG")</f>
        <v/>
      </c>
      <c r="B4949" t="inlineStr">
        <is>
          <t>Global Asset Management Group, Inc.</t>
        </is>
      </c>
      <c r="C4949" t="inlineStr">
        <is>
          <t>OTC</t>
        </is>
      </c>
      <c r="D4949" t="n">
        <v>55234</v>
      </c>
      <c r="E4949" t="inlineStr">
        <is>
          <t>SEC</t>
        </is>
      </c>
    </row>
    <row r="4950">
      <c r="A4950" s="5">
        <f>HYPERLINK("https://finance.yahoo.com/quote/SVRN","SVRN")</f>
        <v/>
      </c>
      <c r="B4950" t="inlineStr">
        <is>
          <t>SVRN, Inc.</t>
        </is>
      </c>
      <c r="C4950" t="inlineStr">
        <is>
          <t>Nasdaq</t>
        </is>
      </c>
      <c r="D4950" t="n">
        <v>1869467</v>
      </c>
      <c r="E4950" t="inlineStr">
        <is>
          <t>SEC</t>
        </is>
      </c>
    </row>
    <row r="4951">
      <c r="A4951" s="5">
        <f>HYPERLINK("https://finance.yahoo.com/quote/MBOT","MBOT")</f>
        <v/>
      </c>
      <c r="B4951" t="inlineStr">
        <is>
          <t>Microbot Medical Inc.</t>
        </is>
      </c>
      <c r="C4951" t="inlineStr">
        <is>
          <t>Nasdaq</t>
        </is>
      </c>
      <c r="D4951" t="n">
        <v>883975</v>
      </c>
      <c r="E4951" t="inlineStr">
        <is>
          <t>SEC</t>
        </is>
      </c>
    </row>
    <row r="4952">
      <c r="A4952" s="5">
        <f>HYPERLINK("https://finance.yahoo.com/quote/LEAT","LEAT")</f>
        <v/>
      </c>
      <c r="B4952" t="inlineStr">
        <is>
          <t>Leatt Corp</t>
        </is>
      </c>
      <c r="C4952" t="inlineStr">
        <is>
          <t>OTC</t>
        </is>
      </c>
      <c r="D4952" t="n">
        <v>1456189</v>
      </c>
      <c r="E4952" t="inlineStr">
        <is>
          <t>SEC</t>
        </is>
      </c>
    </row>
    <row r="4953">
      <c r="A4953" s="5">
        <f>HYPERLINK("https://finance.yahoo.com/quote/PTHS","PTHS")</f>
        <v/>
      </c>
      <c r="B4953" t="inlineStr">
        <is>
          <t>Pelthos Therapeutics Inc.</t>
        </is>
      </c>
      <c r="C4953" t="inlineStr">
        <is>
          <t>NYSE</t>
        </is>
      </c>
      <c r="D4953" t="n">
        <v>1919246</v>
      </c>
      <c r="E4953" t="inlineStr">
        <is>
          <t>SEC</t>
        </is>
      </c>
    </row>
    <row r="4954">
      <c r="A4954" s="5">
        <f>HYPERLINK("https://finance.yahoo.com/quote/APLM","APLM")</f>
        <v/>
      </c>
      <c r="B4954" t="inlineStr">
        <is>
          <t>Apollomics Inc.</t>
        </is>
      </c>
      <c r="C4954" t="inlineStr">
        <is>
          <t>Nasdaq</t>
        </is>
      </c>
      <c r="D4954" t="n">
        <v>1944885</v>
      </c>
      <c r="E4954" t="inlineStr">
        <is>
          <t>SEC</t>
        </is>
      </c>
    </row>
    <row r="4955">
      <c r="A4955" s="5">
        <f>HYPERLINK("https://finance.yahoo.com/quote/NMS","NMS")</f>
        <v/>
      </c>
      <c r="B4955" t="inlineStr">
        <is>
          <t>Nuveen Minnesota Quality Municipal Income Fund</t>
        </is>
      </c>
      <c r="C4955" t="inlineStr">
        <is>
          <t>NYSE</t>
        </is>
      </c>
      <c r="D4955" t="n">
        <v>1607997</v>
      </c>
      <c r="E4955" t="inlineStr">
        <is>
          <t>SEC</t>
        </is>
      </c>
    </row>
    <row r="4956">
      <c r="A4956" s="5">
        <f>HYPERLINK("https://finance.yahoo.com/quote/ONCY","ONCY")</f>
        <v/>
      </c>
      <c r="B4956" t="inlineStr">
        <is>
          <t>ONCOLYTICS BIOTECH INC</t>
        </is>
      </c>
      <c r="C4956" t="inlineStr">
        <is>
          <t>Nasdaq</t>
        </is>
      </c>
      <c r="D4956" t="n">
        <v>1129928</v>
      </c>
      <c r="E4956" t="inlineStr">
        <is>
          <t>SEC</t>
        </is>
      </c>
    </row>
    <row r="4957">
      <c r="A4957" s="5">
        <f>HYPERLINK("https://finance.yahoo.com/quote/CSBR","CSBR")</f>
        <v/>
      </c>
      <c r="B4957" t="inlineStr">
        <is>
          <t>CHAMPIONS ONCOLOGY, INC.</t>
        </is>
      </c>
      <c r="C4957" t="inlineStr">
        <is>
          <t>Nasdaq</t>
        </is>
      </c>
      <c r="D4957" t="n">
        <v>771856</v>
      </c>
      <c r="E4957" t="inlineStr">
        <is>
          <t>SEC</t>
        </is>
      </c>
    </row>
    <row r="4958">
      <c r="A4958" s="5">
        <f>HYPERLINK("https://finance.yahoo.com/quote/RNGE","RNGE")</f>
        <v/>
      </c>
      <c r="B4958" t="inlineStr">
        <is>
          <t>RANGE IMPACT, INC.</t>
        </is>
      </c>
      <c r="C4958" t="inlineStr">
        <is>
          <t>OTC</t>
        </is>
      </c>
      <c r="D4958" t="n">
        <v>1438943</v>
      </c>
      <c r="E4958" t="inlineStr">
        <is>
          <t>SEC</t>
        </is>
      </c>
    </row>
    <row r="4959">
      <c r="A4959" s="5">
        <f>HYPERLINK("https://finance.yahoo.com/quote/SPRO","SPRO")</f>
        <v/>
      </c>
      <c r="B4959" t="inlineStr">
        <is>
          <t>Spero Therapeutics, Inc.</t>
        </is>
      </c>
      <c r="C4959" t="inlineStr">
        <is>
          <t>Nasdaq</t>
        </is>
      </c>
      <c r="D4959" t="n">
        <v>1701108</v>
      </c>
      <c r="E4959" t="inlineStr">
        <is>
          <t>SEC</t>
        </is>
      </c>
    </row>
    <row r="4960">
      <c r="A4960" s="5">
        <f>HYPERLINK("https://finance.yahoo.com/quote/BHIC","BHIC")</f>
        <v/>
      </c>
      <c r="B4960" t="inlineStr">
        <is>
          <t>BioScience Health Innovations, Inc.</t>
        </is>
      </c>
      <c r="C4960" t="inlineStr">
        <is>
          <t>OTC</t>
        </is>
      </c>
      <c r="D4960" t="n">
        <v>1784440</v>
      </c>
      <c r="E4960" t="inlineStr">
        <is>
          <t>SEC</t>
        </is>
      </c>
    </row>
    <row r="4961">
      <c r="A4961" s="5">
        <f>HYPERLINK("https://finance.yahoo.com/quote/YIBO","YIBO")</f>
        <v/>
      </c>
      <c r="B4961" t="inlineStr">
        <is>
          <t>Planet Image International Ltd</t>
        </is>
      </c>
      <c r="C4961" t="inlineStr">
        <is>
          <t>Nasdaq</t>
        </is>
      </c>
      <c r="D4961" t="n">
        <v>1868395</v>
      </c>
      <c r="E4961" t="inlineStr">
        <is>
          <t>SEC</t>
        </is>
      </c>
    </row>
    <row r="4962">
      <c r="A4962" s="5">
        <f>HYPERLINK("https://finance.yahoo.com/quote/FBIO","FBIO")</f>
        <v/>
      </c>
      <c r="B4962" t="inlineStr">
        <is>
          <t>Fortress Biotech, Inc.</t>
        </is>
      </c>
      <c r="C4962" t="inlineStr">
        <is>
          <t>Nasdaq</t>
        </is>
      </c>
      <c r="D4962" t="n">
        <v>1429260</v>
      </c>
      <c r="E4962" t="inlineStr">
        <is>
          <t>SEC</t>
        </is>
      </c>
    </row>
    <row r="4963">
      <c r="A4963" s="5">
        <f>HYPERLINK("https://finance.yahoo.com/quote/BRKCF","BRKCF")</f>
        <v/>
      </c>
      <c r="B4963" t="inlineStr">
        <is>
          <t>BARKSDALE RESOURCES CORP.</t>
        </is>
      </c>
      <c r="C4963" t="inlineStr">
        <is>
          <t>OTC</t>
        </is>
      </c>
      <c r="D4963" t="n">
        <v>1019742</v>
      </c>
      <c r="E4963" t="inlineStr">
        <is>
          <t>SEC</t>
        </is>
      </c>
    </row>
    <row r="4964">
      <c r="A4964" s="5">
        <f>HYPERLINK("https://finance.yahoo.com/quote/USGO","USGO")</f>
        <v/>
      </c>
      <c r="B4964" t="inlineStr">
        <is>
          <t>U.S. GoldMining Inc.</t>
        </is>
      </c>
      <c r="C4964" t="inlineStr">
        <is>
          <t>Nasdaq</t>
        </is>
      </c>
      <c r="D4964" t="n">
        <v>1947244</v>
      </c>
      <c r="E4964" t="inlineStr">
        <is>
          <t>SEC</t>
        </is>
      </c>
    </row>
    <row r="4965">
      <c r="A4965" s="5">
        <f>HYPERLINK("https://finance.yahoo.com/quote/PMVC","PMVC")</f>
        <v/>
      </c>
      <c r="B4965" t="inlineStr">
        <is>
          <t>PMV Consumer Acquisition Corp.</t>
        </is>
      </c>
      <c r="C4965" t="inlineStr">
        <is>
          <t>OTC</t>
        </is>
      </c>
      <c r="D4965" t="n">
        <v>1807765</v>
      </c>
      <c r="E4965" t="inlineStr">
        <is>
          <t>SEC</t>
        </is>
      </c>
    </row>
    <row r="4966">
      <c r="A4966" s="5">
        <f>HYPERLINK("https://finance.yahoo.com/quote/PRTS","PRTS")</f>
        <v/>
      </c>
      <c r="B4966" t="inlineStr">
        <is>
          <t>CarParts.com, Inc.</t>
        </is>
      </c>
      <c r="C4966" t="inlineStr">
        <is>
          <t>Nasdaq</t>
        </is>
      </c>
      <c r="D4966" t="n">
        <v>1378950</v>
      </c>
      <c r="E4966" t="inlineStr">
        <is>
          <t>SEC</t>
        </is>
      </c>
    </row>
    <row r="4967">
      <c r="A4967" s="5">
        <f>HYPERLINK("https://finance.yahoo.com/quote/HOST","HOST")</f>
        <v/>
      </c>
      <c r="B4967" t="inlineStr">
        <is>
          <t>Host Digital Inc.</t>
        </is>
      </c>
      <c r="C4967" t="inlineStr">
        <is>
          <t>NYSE</t>
        </is>
      </c>
      <c r="D4967" t="n">
        <v>1948864</v>
      </c>
      <c r="E4967" t="inlineStr">
        <is>
          <t>SEC</t>
        </is>
      </c>
    </row>
    <row r="4968">
      <c r="A4968" s="5">
        <f>HYPERLINK("https://finance.yahoo.com/quote/WBX","WBX")</f>
        <v/>
      </c>
      <c r="B4968" t="inlineStr">
        <is>
          <t>Wallbox N.V.</t>
        </is>
      </c>
      <c r="C4968" t="inlineStr">
        <is>
          <t>NYSE</t>
        </is>
      </c>
      <c r="D4968" t="n">
        <v>1866501</v>
      </c>
      <c r="E4968" t="inlineStr">
        <is>
          <t>SEC</t>
        </is>
      </c>
    </row>
    <row r="4969">
      <c r="A4969" s="5">
        <f>HYPERLINK("https://finance.yahoo.com/quote/GLBS","GLBS")</f>
        <v/>
      </c>
      <c r="B4969" t="inlineStr">
        <is>
          <t>GLOBUS MARITIME LTD</t>
        </is>
      </c>
      <c r="C4969" t="inlineStr">
        <is>
          <t>Nasdaq</t>
        </is>
      </c>
      <c r="D4969" t="n">
        <v>1499780</v>
      </c>
      <c r="E4969" t="inlineStr">
        <is>
          <t>SEC</t>
        </is>
      </c>
    </row>
    <row r="4970">
      <c r="A4970" s="5">
        <f>HYPERLINK("https://finance.yahoo.com/quote/GEG","GEG")</f>
        <v/>
      </c>
      <c r="B4970" t="inlineStr">
        <is>
          <t>Great Elm Group, Inc.</t>
        </is>
      </c>
      <c r="C4970" t="inlineStr">
        <is>
          <t>Nasdaq</t>
        </is>
      </c>
      <c r="D4970" t="n">
        <v>1831096</v>
      </c>
      <c r="E4970" t="inlineStr">
        <is>
          <t>SEC</t>
        </is>
      </c>
    </row>
    <row r="4971">
      <c r="A4971" s="5">
        <f>HYPERLINK("https://finance.yahoo.com/quote/STBI","STBI")</f>
        <v/>
      </c>
      <c r="B4971" t="inlineStr">
        <is>
          <t>STURGIS BANCORP INC</t>
        </is>
      </c>
      <c r="C4971" t="inlineStr">
        <is>
          <t>OTC</t>
        </is>
      </c>
      <c r="D4971" t="n">
        <v>1166362</v>
      </c>
      <c r="E4971" t="inlineStr">
        <is>
          <t>SEC</t>
        </is>
      </c>
    </row>
    <row r="4972">
      <c r="A4972" s="5">
        <f>HYPERLINK("https://finance.yahoo.com/quote/DMA","DMA")</f>
        <v/>
      </c>
      <c r="B4972" t="inlineStr">
        <is>
          <t>Destra Multi-Alternative Fund</t>
        </is>
      </c>
      <c r="C4972" t="inlineStr">
        <is>
          <t>NYSE</t>
        </is>
      </c>
      <c r="D4972" t="n">
        <v>1523289</v>
      </c>
      <c r="E4972" t="inlineStr">
        <is>
          <t>SEC</t>
        </is>
      </c>
    </row>
    <row r="4973">
      <c r="A4973" s="5">
        <f>HYPERLINK("https://finance.yahoo.com/quote/TENX","TENX")</f>
        <v/>
      </c>
      <c r="B4973" t="inlineStr">
        <is>
          <t>TENAX THERAPEUTICS, INC.</t>
        </is>
      </c>
      <c r="C4973" t="inlineStr">
        <is>
          <t>Nasdaq</t>
        </is>
      </c>
      <c r="D4973" t="n">
        <v>34956</v>
      </c>
      <c r="E4973" t="inlineStr">
        <is>
          <t>SEC</t>
        </is>
      </c>
    </row>
    <row r="4974">
      <c r="A4974" s="5">
        <f>HYPERLINK("https://finance.yahoo.com/quote/LNZA","LNZA")</f>
        <v/>
      </c>
      <c r="B4974" t="inlineStr">
        <is>
          <t>LanzaTech Global, Inc.</t>
        </is>
      </c>
      <c r="C4974" t="inlineStr">
        <is>
          <t>Nasdaq</t>
        </is>
      </c>
      <c r="D4974" t="n">
        <v>1843724</v>
      </c>
      <c r="E4974" t="inlineStr">
        <is>
          <t>SEC</t>
        </is>
      </c>
    </row>
    <row r="4975">
      <c r="A4975" s="5">
        <f>HYPERLINK("https://finance.yahoo.com/quote/UPXI","UPXI")</f>
        <v/>
      </c>
      <c r="B4975" t="inlineStr">
        <is>
          <t>UPEXI, INC.</t>
        </is>
      </c>
      <c r="C4975" t="inlineStr">
        <is>
          <t>Nasdaq</t>
        </is>
      </c>
      <c r="D4975" t="n">
        <v>1775194</v>
      </c>
      <c r="E4975" t="inlineStr">
        <is>
          <t>SEC</t>
        </is>
      </c>
    </row>
    <row r="4976">
      <c r="A4976" s="5">
        <f>HYPERLINK("https://finance.yahoo.com/quote/ASPS","ASPS")</f>
        <v/>
      </c>
      <c r="B4976" t="inlineStr">
        <is>
          <t>ALTISOURCE PORTFOLIO SOLUTIONS S.A.</t>
        </is>
      </c>
      <c r="C4976" t="inlineStr">
        <is>
          <t>Nasdaq</t>
        </is>
      </c>
      <c r="D4976" t="n">
        <v>1462418</v>
      </c>
      <c r="E4976" t="inlineStr">
        <is>
          <t>SEC</t>
        </is>
      </c>
    </row>
    <row r="4977">
      <c r="A4977" s="5">
        <f>HYPERLINK("https://finance.yahoo.com/quote/AIFU","AIFU")</f>
        <v/>
      </c>
      <c r="B4977" t="inlineStr">
        <is>
          <t>AIFU Inc.</t>
        </is>
      </c>
      <c r="C4977" t="inlineStr">
        <is>
          <t>Nasdaq</t>
        </is>
      </c>
      <c r="D4977" t="n">
        <v>1413855</v>
      </c>
      <c r="E4977" t="inlineStr">
        <is>
          <t>SEC</t>
        </is>
      </c>
    </row>
    <row r="4978">
      <c r="A4978" s="5">
        <f>HYPERLINK("https://finance.yahoo.com/quote/DWSN","DWSN")</f>
        <v/>
      </c>
      <c r="B4978" t="inlineStr">
        <is>
          <t>DAWSON GEOPHYSICAL CO</t>
        </is>
      </c>
      <c r="C4978" t="inlineStr">
        <is>
          <t>Nasdaq</t>
        </is>
      </c>
      <c r="D4978" t="n">
        <v>799165</v>
      </c>
      <c r="E4978" t="inlineStr">
        <is>
          <t>SEC</t>
        </is>
      </c>
    </row>
    <row r="4979">
      <c r="A4979" s="5">
        <f>HYPERLINK("https://finance.yahoo.com/quote/AURX","AURX")</f>
        <v/>
      </c>
      <c r="B4979" t="inlineStr">
        <is>
          <t>Nuo Therapeutics, Inc.</t>
        </is>
      </c>
      <c r="C4979" t="inlineStr">
        <is>
          <t>OTC</t>
        </is>
      </c>
      <c r="D4979" t="n">
        <v>1091596</v>
      </c>
      <c r="E4979" t="inlineStr">
        <is>
          <t>SEC</t>
        </is>
      </c>
    </row>
    <row r="4980">
      <c r="A4980" s="5">
        <f>HYPERLINK("https://finance.yahoo.com/quote/CVU","CVU")</f>
        <v/>
      </c>
      <c r="B4980" t="inlineStr">
        <is>
          <t>CPI AEROSTRUCTURES INC</t>
        </is>
      </c>
      <c r="C4980" t="inlineStr">
        <is>
          <t>NYSE</t>
        </is>
      </c>
      <c r="D4980" t="n">
        <v>889348</v>
      </c>
      <c r="E4980" t="inlineStr">
        <is>
          <t>SEC</t>
        </is>
      </c>
    </row>
    <row r="4981">
      <c r="A4981" s="5">
        <f>HYPERLINK("https://finance.yahoo.com/quote/LINK","LINK")</f>
        <v/>
      </c>
      <c r="B4981" t="inlineStr">
        <is>
          <t>INTERLINK ELECTRONICS INC</t>
        </is>
      </c>
      <c r="C4981" t="inlineStr">
        <is>
          <t>Nasdaq</t>
        </is>
      </c>
      <c r="D4981" t="n">
        <v>828146</v>
      </c>
      <c r="E4981" t="inlineStr">
        <is>
          <t>SEC</t>
        </is>
      </c>
    </row>
    <row r="4982">
      <c r="A4982" s="5">
        <f>HYPERLINK("https://finance.yahoo.com/quote/PYYX","PYYX")</f>
        <v/>
      </c>
      <c r="B4982" t="inlineStr">
        <is>
          <t>PYXUS INTERNATIONAL, INC.</t>
        </is>
      </c>
      <c r="C4982" t="inlineStr">
        <is>
          <t>OTC</t>
        </is>
      </c>
      <c r="D4982" t="n">
        <v>939930</v>
      </c>
      <c r="E4982" t="inlineStr">
        <is>
          <t>SEC</t>
        </is>
      </c>
    </row>
    <row r="4983">
      <c r="A4983" s="5">
        <f>HYPERLINK("https://finance.yahoo.com/quote/TGEN","TGEN")</f>
        <v/>
      </c>
      <c r="B4983" t="inlineStr">
        <is>
          <t>TECOGEN INC.</t>
        </is>
      </c>
      <c r="C4983" t="inlineStr">
        <is>
          <t>NYSE</t>
        </is>
      </c>
      <c r="D4983" t="n">
        <v>1537435</v>
      </c>
      <c r="E4983" t="inlineStr">
        <is>
          <t>SEC</t>
        </is>
      </c>
    </row>
    <row r="4984">
      <c r="A4984" s="5">
        <f>HYPERLINK("https://finance.yahoo.com/quote/SGLA","SGLA")</f>
        <v/>
      </c>
      <c r="B4984" t="inlineStr">
        <is>
          <t>Sino Green Land Corp.</t>
        </is>
      </c>
      <c r="C4984" t="inlineStr">
        <is>
          <t>OTC</t>
        </is>
      </c>
      <c r="D4984" t="n">
        <v>1433551</v>
      </c>
      <c r="E4984" t="inlineStr">
        <is>
          <t>SEC</t>
        </is>
      </c>
    </row>
    <row r="4985">
      <c r="A4985" s="5">
        <f>HYPERLINK("https://finance.yahoo.com/quote/KBSX","KBSX")</f>
        <v/>
      </c>
      <c r="B4985" t="inlineStr">
        <is>
          <t>FST Corp.</t>
        </is>
      </c>
      <c r="C4985" t="inlineStr">
        <is>
          <t>Nasdaq</t>
        </is>
      </c>
      <c r="D4985" t="n">
        <v>2014254</v>
      </c>
      <c r="E4985" t="inlineStr">
        <is>
          <t>SEC</t>
        </is>
      </c>
    </row>
    <row r="4986">
      <c r="A4986" s="5">
        <f>HYPERLINK("https://finance.yahoo.com/quote/DGNX","DGNX")</f>
        <v/>
      </c>
      <c r="B4986" t="inlineStr">
        <is>
          <t>Diginex Ltd</t>
        </is>
      </c>
      <c r="C4986" t="inlineStr">
        <is>
          <t>Nasdaq</t>
        </is>
      </c>
      <c r="D4986" t="n">
        <v>2010499</v>
      </c>
      <c r="E4986" t="inlineStr">
        <is>
          <t>SEC</t>
        </is>
      </c>
    </row>
    <row r="4987">
      <c r="A4987" s="5">
        <f>HYPERLINK("https://finance.yahoo.com/quote/DTI","DTI")</f>
        <v/>
      </c>
      <c r="B4987" t="inlineStr">
        <is>
          <t>Drilling Tools International Corp</t>
        </is>
      </c>
      <c r="C4987" t="inlineStr">
        <is>
          <t>Nasdaq</t>
        </is>
      </c>
      <c r="D4987" t="n">
        <v>1884516</v>
      </c>
      <c r="E4987" t="inlineStr">
        <is>
          <t>SEC</t>
        </is>
      </c>
    </row>
    <row r="4988">
      <c r="A4988" s="5">
        <f>HYPERLINK("https://finance.yahoo.com/quote/RBTK","RBTK")</f>
        <v/>
      </c>
      <c r="B4988" t="inlineStr">
        <is>
          <t>ZHEN DING RESOURCES INC.</t>
        </is>
      </c>
      <c r="C4988" t="inlineStr">
        <is>
          <t>OTC</t>
        </is>
      </c>
      <c r="D4988" t="n">
        <v>1594204</v>
      </c>
      <c r="E4988" t="inlineStr">
        <is>
          <t>SEC</t>
        </is>
      </c>
    </row>
    <row r="4989">
      <c r="A4989" s="5">
        <f>HYPERLINK("https://finance.yahoo.com/quote/FMFG","FMFG")</f>
        <v/>
      </c>
      <c r="B4989" t="inlineStr">
        <is>
          <t>Farmers &amp; Merchants Bancshares, Inc.</t>
        </is>
      </c>
      <c r="C4989" t="inlineStr">
        <is>
          <t>OTC</t>
        </is>
      </c>
      <c r="D4989" t="n">
        <v>1698022</v>
      </c>
      <c r="E4989" t="inlineStr">
        <is>
          <t>SEC</t>
        </is>
      </c>
    </row>
    <row r="4990">
      <c r="A4990" s="5">
        <f>HYPERLINK("https://finance.yahoo.com/quote/VISK","VISK")</f>
        <v/>
      </c>
      <c r="B4990" t="inlineStr">
        <is>
          <t>Viskase Holdings, Inc.</t>
        </is>
      </c>
      <c r="C4990" t="inlineStr">
        <is>
          <t>OTC</t>
        </is>
      </c>
      <c r="D4990" t="n">
        <v>727510</v>
      </c>
      <c r="E4990" t="inlineStr">
        <is>
          <t>SEC</t>
        </is>
      </c>
    </row>
    <row r="4991">
      <c r="A4991" s="5">
        <f>HYPERLINK("https://finance.yahoo.com/quote/PCM","PCM")</f>
        <v/>
      </c>
      <c r="B4991" t="inlineStr">
        <is>
          <t>PCM FUND, INC.</t>
        </is>
      </c>
      <c r="C4991" t="inlineStr">
        <is>
          <t>NYSE</t>
        </is>
      </c>
      <c r="D4991" t="n">
        <v>908187</v>
      </c>
      <c r="E4991" t="inlineStr">
        <is>
          <t>SEC</t>
        </is>
      </c>
    </row>
    <row r="4992">
      <c r="A4992" s="5">
        <f>HYPERLINK("https://finance.yahoo.com/quote/VRCA","VRCA")</f>
        <v/>
      </c>
      <c r="B4992" t="inlineStr">
        <is>
          <t>Verrica Pharmaceuticals Inc.</t>
        </is>
      </c>
      <c r="C4992" t="inlineStr">
        <is>
          <t>Nasdaq</t>
        </is>
      </c>
      <c r="D4992" t="n">
        <v>1660334</v>
      </c>
      <c r="E4992" t="inlineStr">
        <is>
          <t>SEC</t>
        </is>
      </c>
    </row>
    <row r="4993">
      <c r="A4993" s="5">
        <f>HYPERLINK("https://finance.yahoo.com/quote/NMAD","NMAD")</f>
        <v/>
      </c>
      <c r="B4993" t="inlineStr">
        <is>
          <t>NOMAD POWER SOLUTIONS, INC.</t>
        </is>
      </c>
      <c r="C4993" t="inlineStr">
        <is>
          <t>Nasdaq</t>
        </is>
      </c>
      <c r="D4993" t="n">
        <v>1335105</v>
      </c>
      <c r="E4993" t="inlineStr">
        <is>
          <t>SEC</t>
        </is>
      </c>
    </row>
    <row r="4994">
      <c r="A4994" s="5">
        <f>HYPERLINK("https://finance.yahoo.com/quote/CITR","CITR")</f>
        <v/>
      </c>
      <c r="B4994" t="inlineStr">
        <is>
          <t>CitroTech Inc.</t>
        </is>
      </c>
      <c r="C4994" t="inlineStr">
        <is>
          <t>NYSE</t>
        </is>
      </c>
      <c r="D4994" t="n">
        <v>894556</v>
      </c>
      <c r="E4994" t="inlineStr">
        <is>
          <t>SEC</t>
        </is>
      </c>
    </row>
    <row r="4995">
      <c r="A4995" s="5">
        <f>HYPERLINK("https://finance.yahoo.com/quote/ZTEKF","ZTEKF")</f>
        <v/>
      </c>
      <c r="B4995" t="inlineStr">
        <is>
          <t>Zentek Ltd.</t>
        </is>
      </c>
      <c r="C4995" t="inlineStr">
        <is>
          <t>OTC</t>
        </is>
      </c>
      <c r="D4995" t="n">
        <v>1904501</v>
      </c>
      <c r="E4995" t="inlineStr">
        <is>
          <t>SEC</t>
        </is>
      </c>
    </row>
    <row r="4996">
      <c r="A4996" s="5">
        <f>HYPERLINK("https://finance.yahoo.com/quote/SEV","SEV")</f>
        <v/>
      </c>
      <c r="B4996" t="inlineStr">
        <is>
          <t>Aptera Motors Corp</t>
        </is>
      </c>
      <c r="C4996" t="inlineStr">
        <is>
          <t>Nasdaq</t>
        </is>
      </c>
      <c r="D4996" t="n">
        <v>1786471</v>
      </c>
      <c r="E4996" t="inlineStr">
        <is>
          <t>SEC</t>
        </is>
      </c>
    </row>
    <row r="4997">
      <c r="A4997" s="5">
        <f>HYPERLINK("https://finance.yahoo.com/quote/CAPN","CAPN")</f>
        <v/>
      </c>
      <c r="B4997" t="inlineStr">
        <is>
          <t>Cayson Acquisition Corp</t>
        </is>
      </c>
      <c r="C4997" t="inlineStr">
        <is>
          <t>Nasdaq</t>
        </is>
      </c>
      <c r="D4997" t="n">
        <v>2024203</v>
      </c>
      <c r="E4997" t="inlineStr">
        <is>
          <t>SEC</t>
        </is>
      </c>
    </row>
    <row r="4998">
      <c r="A4998" s="5">
        <f>HYPERLINK("https://finance.yahoo.com/quote/BSPA","BSPA")</f>
        <v/>
      </c>
      <c r="B4998" t="inlineStr">
        <is>
          <t>Ballston Spa Bancorp, Inc.</t>
        </is>
      </c>
      <c r="C4998" t="inlineStr">
        <is>
          <t>OTC</t>
        </is>
      </c>
      <c r="D4998" t="n">
        <v>2094107</v>
      </c>
      <c r="E4998" t="inlineStr">
        <is>
          <t>SEC</t>
        </is>
      </c>
    </row>
    <row r="4999">
      <c r="A4999" s="5">
        <f>HYPERLINK("https://finance.yahoo.com/quote/LRDC","LRDC")</f>
        <v/>
      </c>
      <c r="B4999" t="inlineStr">
        <is>
          <t>Laredo Oil, Inc.</t>
        </is>
      </c>
      <c r="C4999" t="inlineStr">
        <is>
          <t>OTC</t>
        </is>
      </c>
      <c r="D4999" t="n">
        <v>1442492</v>
      </c>
      <c r="E4999" t="inlineStr">
        <is>
          <t>SEC</t>
        </is>
      </c>
    </row>
    <row r="5000">
      <c r="A5000" s="5">
        <f>HYPERLINK("https://finance.yahoo.com/quote/ATLX","ATLX")</f>
        <v/>
      </c>
      <c r="B5000" t="inlineStr">
        <is>
          <t>Atlas Lithium Corp</t>
        </is>
      </c>
      <c r="C5000" t="inlineStr">
        <is>
          <t>Nasdaq</t>
        </is>
      </c>
      <c r="D5000" t="n">
        <v>1540684</v>
      </c>
      <c r="E5000" t="inlineStr">
        <is>
          <t>SEC</t>
        </is>
      </c>
    </row>
    <row r="5001">
      <c r="A5001" s="5">
        <f>HYPERLINK("https://finance.yahoo.com/quote/PVL","PVL")</f>
        <v/>
      </c>
      <c r="B5001" t="inlineStr">
        <is>
          <t>Permianville Royalty Trust</t>
        </is>
      </c>
      <c r="C5001" t="inlineStr">
        <is>
          <t>NYSE</t>
        </is>
      </c>
      <c r="D5001" t="n">
        <v>1520048</v>
      </c>
      <c r="E5001" t="inlineStr">
        <is>
          <t>SEC</t>
        </is>
      </c>
    </row>
    <row r="5002">
      <c r="A5002" s="5">
        <f>HYPERLINK("https://finance.yahoo.com/quote/NAAS","NAAS")</f>
        <v/>
      </c>
      <c r="B5002" t="inlineStr">
        <is>
          <t>NaaS Technology Inc.</t>
        </is>
      </c>
      <c r="C5002" t="inlineStr">
        <is>
          <t>Nasdaq</t>
        </is>
      </c>
      <c r="D5002" t="n">
        <v>1712178</v>
      </c>
      <c r="E5002" t="inlineStr">
        <is>
          <t>SEC</t>
        </is>
      </c>
    </row>
    <row r="5003">
      <c r="A5003" s="5">
        <f>HYPERLINK("https://finance.yahoo.com/quote/MGTE","MGTE")</f>
        <v/>
      </c>
      <c r="B5003" t="inlineStr">
        <is>
          <t>Marblegate Capital Corp</t>
        </is>
      </c>
      <c r="C5003" t="inlineStr">
        <is>
          <t>OTC</t>
        </is>
      </c>
      <c r="D5003" t="n">
        <v>1965052</v>
      </c>
      <c r="E5003" t="inlineStr">
        <is>
          <t>SEC</t>
        </is>
      </c>
    </row>
    <row r="5004">
      <c r="A5004" s="5">
        <f>HYPERLINK("https://finance.yahoo.com/quote/OSTX","OSTX")</f>
        <v/>
      </c>
      <c r="B5004" t="inlineStr">
        <is>
          <t>OS Therapies Inc</t>
        </is>
      </c>
      <c r="C5004" t="inlineStr">
        <is>
          <t>NYSE</t>
        </is>
      </c>
      <c r="D5004" t="n">
        <v>1795091</v>
      </c>
      <c r="E5004" t="inlineStr">
        <is>
          <t>SEC</t>
        </is>
      </c>
    </row>
    <row r="5005">
      <c r="A5005" s="5">
        <f>HYPERLINK("https://finance.yahoo.com/quote/YTRA","YTRA")</f>
        <v/>
      </c>
      <c r="B5005" t="inlineStr">
        <is>
          <t>Yatra Online, Inc.</t>
        </is>
      </c>
      <c r="C5005" t="inlineStr">
        <is>
          <t>Nasdaq</t>
        </is>
      </c>
      <c r="D5005" t="n">
        <v>1516899</v>
      </c>
      <c r="E5005" t="inlineStr">
        <is>
          <t>SEC</t>
        </is>
      </c>
    </row>
    <row r="5006">
      <c r="A5006" s="5">
        <f>HYPERLINK("https://finance.yahoo.com/quote/SPCB","SPCB")</f>
        <v/>
      </c>
      <c r="B5006" t="inlineStr">
        <is>
          <t>SuperCom Ltd</t>
        </is>
      </c>
      <c r="C5006" t="inlineStr">
        <is>
          <t>Nasdaq</t>
        </is>
      </c>
      <c r="D5006" t="n">
        <v>1291855</v>
      </c>
      <c r="E5006" t="inlineStr">
        <is>
          <t>SEC</t>
        </is>
      </c>
    </row>
    <row r="5007">
      <c r="A5007" s="5">
        <f>HYPERLINK("https://finance.yahoo.com/quote/HOUR","HOUR")</f>
        <v/>
      </c>
      <c r="B5007" t="inlineStr">
        <is>
          <t>Hour Loop, Inc</t>
        </is>
      </c>
      <c r="C5007" t="inlineStr">
        <is>
          <t>Nasdaq</t>
        </is>
      </c>
      <c r="D5007" t="n">
        <v>1874875</v>
      </c>
      <c r="E5007" t="inlineStr">
        <is>
          <t>SEC</t>
        </is>
      </c>
    </row>
    <row r="5008">
      <c r="A5008" s="5">
        <f>HYPERLINK("https://finance.yahoo.com/quote/MDNC","MDNC")</f>
        <v/>
      </c>
      <c r="B5008" t="inlineStr">
        <is>
          <t>Medinotec Inc.</t>
        </is>
      </c>
      <c r="C5008" t="inlineStr">
        <is>
          <t>OTC</t>
        </is>
      </c>
      <c r="D5008" t="n">
        <v>1931055</v>
      </c>
      <c r="E5008" t="inlineStr">
        <is>
          <t>SEC</t>
        </is>
      </c>
    </row>
    <row r="5009">
      <c r="A5009" s="5">
        <f>HYPERLINK("https://finance.yahoo.com/quote/SLSN","SLSN")</f>
        <v/>
      </c>
      <c r="B5009" t="inlineStr">
        <is>
          <t>SOLESENCE, INC.</t>
        </is>
      </c>
      <c r="C5009" t="inlineStr">
        <is>
          <t>Nasdaq</t>
        </is>
      </c>
      <c r="D5009" t="n">
        <v>883107</v>
      </c>
      <c r="E5009" t="inlineStr">
        <is>
          <t>SEC</t>
        </is>
      </c>
    </row>
    <row r="5010">
      <c r="A5010" s="5">
        <f>HYPERLINK("https://finance.yahoo.com/quote/VERI","VERI")</f>
        <v/>
      </c>
      <c r="B5010" t="inlineStr">
        <is>
          <t>Veritone, Inc.</t>
        </is>
      </c>
      <c r="C5010" t="inlineStr">
        <is>
          <t>Nasdaq</t>
        </is>
      </c>
      <c r="D5010" t="n">
        <v>1615165</v>
      </c>
      <c r="E5010" t="inlineStr">
        <is>
          <t>SEC</t>
        </is>
      </c>
    </row>
    <row r="5011">
      <c r="A5011" s="5">
        <f>HYPERLINK("https://finance.yahoo.com/quote/IH","IH")</f>
        <v/>
      </c>
      <c r="B5011" t="inlineStr">
        <is>
          <t>iHuman Inc.</t>
        </is>
      </c>
      <c r="C5011" t="inlineStr">
        <is>
          <t>NYSE</t>
        </is>
      </c>
      <c r="D5011" t="n">
        <v>1814423</v>
      </c>
      <c r="E5011" t="inlineStr">
        <is>
          <t>SEC</t>
        </is>
      </c>
    </row>
    <row r="5012">
      <c r="A5012" s="5">
        <f>HYPERLINK("https://finance.yahoo.com/quote/PGZ","PGZ")</f>
        <v/>
      </c>
      <c r="B5012" t="inlineStr">
        <is>
          <t>Principal Real Estate Income Fund</t>
        </is>
      </c>
      <c r="C5012" t="inlineStr">
        <is>
          <t>NYSE</t>
        </is>
      </c>
      <c r="D5012" t="n">
        <v>1557523</v>
      </c>
      <c r="E5012" t="inlineStr">
        <is>
          <t>SEC</t>
        </is>
      </c>
    </row>
    <row r="5013">
      <c r="A5013" s="5">
        <f>HYPERLINK("https://finance.yahoo.com/quote/XBIT","XBIT")</f>
        <v/>
      </c>
      <c r="B5013" t="inlineStr">
        <is>
          <t>XBiotech Inc.</t>
        </is>
      </c>
      <c r="C5013" t="inlineStr">
        <is>
          <t>Nasdaq</t>
        </is>
      </c>
      <c r="D5013" t="n">
        <v>1626878</v>
      </c>
      <c r="E5013" t="inlineStr">
        <is>
          <t>SEC</t>
        </is>
      </c>
    </row>
    <row r="5014">
      <c r="A5014" s="5">
        <f>HYPERLINK("https://finance.yahoo.com/quote/MXE","MXE")</f>
        <v/>
      </c>
      <c r="B5014" t="inlineStr">
        <is>
          <t>MEXICO EQUITY &amp; INCOME FUND INC</t>
        </is>
      </c>
      <c r="C5014" t="inlineStr">
        <is>
          <t>NYSE</t>
        </is>
      </c>
      <c r="D5014" t="n">
        <v>863900</v>
      </c>
      <c r="E5014" t="inlineStr">
        <is>
          <t>SEC</t>
        </is>
      </c>
    </row>
    <row r="5015">
      <c r="A5015" s="5">
        <f>HYPERLINK("https://finance.yahoo.com/quote/GGR","GGR")</f>
        <v/>
      </c>
      <c r="B5015" t="inlineStr">
        <is>
          <t>Gogoro Inc.</t>
        </is>
      </c>
      <c r="C5015" t="inlineStr">
        <is>
          <t>Nasdaq</t>
        </is>
      </c>
      <c r="D5015" t="n">
        <v>1886190</v>
      </c>
      <c r="E5015" t="inlineStr">
        <is>
          <t>SEC</t>
        </is>
      </c>
    </row>
    <row r="5016">
      <c r="A5016" s="5">
        <f>HYPERLINK("https://finance.yahoo.com/quote/GOSS","GOSS")</f>
        <v/>
      </c>
      <c r="B5016" t="inlineStr">
        <is>
          <t>Gossamer Bio, Inc.</t>
        </is>
      </c>
      <c r="C5016" t="inlineStr">
        <is>
          <t>Nasdaq</t>
        </is>
      </c>
      <c r="D5016" t="n">
        <v>1728117</v>
      </c>
      <c r="E5016" t="inlineStr">
        <is>
          <t>SEC</t>
        </is>
      </c>
    </row>
    <row r="5017">
      <c r="A5017" s="5">
        <f>HYPERLINK("https://finance.yahoo.com/quote/PTLE","PTLE")</f>
        <v/>
      </c>
      <c r="B5017" t="inlineStr">
        <is>
          <t>PTL Ltd</t>
        </is>
      </c>
      <c r="C5017" t="inlineStr">
        <is>
          <t>Nasdaq</t>
        </is>
      </c>
      <c r="D5017" t="n">
        <v>2016337</v>
      </c>
      <c r="E5017" t="inlineStr">
        <is>
          <t>SEC</t>
        </is>
      </c>
    </row>
    <row r="5018">
      <c r="A5018" s="5">
        <f>HYPERLINK("https://finance.yahoo.com/quote/WNW","WNW")</f>
        <v/>
      </c>
      <c r="B5018" t="inlineStr">
        <is>
          <t>Meiwu Technology Co Ltd</t>
        </is>
      </c>
      <c r="C5018" t="inlineStr">
        <is>
          <t>Nasdaq</t>
        </is>
      </c>
      <c r="D5018" t="n">
        <v>1787803</v>
      </c>
      <c r="E5018" t="inlineStr">
        <is>
          <t>SEC</t>
        </is>
      </c>
    </row>
    <row r="5019">
      <c r="A5019" s="5">
        <f>HYPERLINK("https://finance.yahoo.com/quote/MCHX","MCHX")</f>
        <v/>
      </c>
      <c r="B5019" t="inlineStr">
        <is>
          <t>MARCHEX INC</t>
        </is>
      </c>
      <c r="C5019" t="inlineStr">
        <is>
          <t>Nasdaq</t>
        </is>
      </c>
      <c r="D5019" t="n">
        <v>1224133</v>
      </c>
      <c r="E5019" t="inlineStr">
        <is>
          <t>SEC</t>
        </is>
      </c>
    </row>
    <row r="5020">
      <c r="A5020" s="5">
        <f>HYPERLINK("https://finance.yahoo.com/quote/SGLD","SGLD")</f>
        <v/>
      </c>
      <c r="B5020" t="inlineStr">
        <is>
          <t>Scorpio Gold Corp</t>
        </is>
      </c>
      <c r="C5020" t="inlineStr">
        <is>
          <t>Nasdaq</t>
        </is>
      </c>
      <c r="D5020" t="n">
        <v>1467093</v>
      </c>
      <c r="E5020" t="inlineStr">
        <is>
          <t>SEC</t>
        </is>
      </c>
    </row>
    <row r="5021">
      <c r="A5021" s="5">
        <f>HYPERLINK("https://finance.yahoo.com/quote/CRBU","CRBU")</f>
        <v/>
      </c>
      <c r="B5021" t="inlineStr">
        <is>
          <t>Caribou Biosciences, Inc.</t>
        </is>
      </c>
      <c r="C5021" t="inlineStr">
        <is>
          <t>Nasdaq</t>
        </is>
      </c>
      <c r="D5021" t="n">
        <v>1619856</v>
      </c>
      <c r="E5021" t="inlineStr">
        <is>
          <t>SEC</t>
        </is>
      </c>
    </row>
    <row r="5022">
      <c r="A5022" s="5">
        <f>HYPERLINK("https://finance.yahoo.com/quote/LFS","LFS")</f>
        <v/>
      </c>
      <c r="B5022" t="inlineStr">
        <is>
          <t>LEIFRAS Co., Ltd.</t>
        </is>
      </c>
      <c r="C5022" t="inlineStr">
        <is>
          <t>Nasdaq</t>
        </is>
      </c>
      <c r="D5022" t="n">
        <v>2030277</v>
      </c>
      <c r="E5022" t="inlineStr">
        <is>
          <t>SEC</t>
        </is>
      </c>
    </row>
    <row r="5023">
      <c r="A5023" s="5">
        <f>HYPERLINK("https://finance.yahoo.com/quote/RNXT","RNXT")</f>
        <v/>
      </c>
      <c r="B5023" t="inlineStr">
        <is>
          <t>RenovoRx, Inc.</t>
        </is>
      </c>
      <c r="C5023" t="inlineStr">
        <is>
          <t>Nasdaq</t>
        </is>
      </c>
      <c r="D5023" t="n">
        <v>1574094</v>
      </c>
      <c r="E5023" t="inlineStr">
        <is>
          <t>SEC</t>
        </is>
      </c>
    </row>
    <row r="5024">
      <c r="A5024" s="5">
        <f>HYPERLINK("https://finance.yahoo.com/quote/APT","APT")</f>
        <v/>
      </c>
      <c r="B5024" t="inlineStr">
        <is>
          <t>ALPHA PRO TECH LTD</t>
        </is>
      </c>
      <c r="C5024" t="inlineStr">
        <is>
          <t>NYSE</t>
        </is>
      </c>
      <c r="D5024" t="n">
        <v>884269</v>
      </c>
      <c r="E5024" t="inlineStr">
        <is>
          <t>SEC</t>
        </is>
      </c>
    </row>
    <row r="5025">
      <c r="A5025" s="5">
        <f>HYPERLINK("https://finance.yahoo.com/quote/BTCS","BTCS")</f>
        <v/>
      </c>
      <c r="B5025" t="inlineStr">
        <is>
          <t>BTCS Inc.</t>
        </is>
      </c>
      <c r="C5025" t="inlineStr">
        <is>
          <t>Nasdaq</t>
        </is>
      </c>
      <c r="D5025" t="n">
        <v>1436229</v>
      </c>
      <c r="E5025" t="inlineStr">
        <is>
          <t>SEC</t>
        </is>
      </c>
    </row>
    <row r="5026">
      <c r="A5026" s="5">
        <f>HYPERLINK("https://finance.yahoo.com/quote/NFE","NFE")</f>
        <v/>
      </c>
      <c r="B5026" t="inlineStr">
        <is>
          <t>New Fortress Energy Inc.</t>
        </is>
      </c>
      <c r="C5026" t="inlineStr">
        <is>
          <t>Nasdaq</t>
        </is>
      </c>
      <c r="D5026" t="n">
        <v>1749723</v>
      </c>
      <c r="E5026" t="inlineStr">
        <is>
          <t>SEC</t>
        </is>
      </c>
    </row>
    <row r="5027">
      <c r="A5027" s="5">
        <f>HYPERLINK("https://finance.yahoo.com/quote/GOAI","GOAI")</f>
        <v/>
      </c>
      <c r="B5027" t="inlineStr">
        <is>
          <t>Eva Live Inc</t>
        </is>
      </c>
      <c r="C5027" t="inlineStr">
        <is>
          <t>Nasdaq</t>
        </is>
      </c>
      <c r="D5027" t="n">
        <v>1983736</v>
      </c>
      <c r="E5027" t="inlineStr">
        <is>
          <t>SEC</t>
        </is>
      </c>
    </row>
    <row r="5028">
      <c r="A5028" s="5">
        <f>HYPERLINK("https://finance.yahoo.com/quote/KANP","KANP")</f>
        <v/>
      </c>
      <c r="B5028" t="inlineStr">
        <is>
          <t>KAANAPALI LAND LLC</t>
        </is>
      </c>
      <c r="C5028" t="inlineStr">
        <is>
          <t>OTC</t>
        </is>
      </c>
      <c r="D5028" t="n">
        <v>1230058</v>
      </c>
      <c r="E5028" t="inlineStr">
        <is>
          <t>SEC</t>
        </is>
      </c>
    </row>
    <row r="5029">
      <c r="A5029" s="5">
        <f>HYPERLINK("https://finance.yahoo.com/quote/PEW","PEW")</f>
        <v/>
      </c>
      <c r="B5029" t="inlineStr">
        <is>
          <t>GrabAGun Digital Holdings Inc.</t>
        </is>
      </c>
      <c r="C5029" t="inlineStr">
        <is>
          <t>NYSE</t>
        </is>
      </c>
      <c r="D5029" t="n">
        <v>2051380</v>
      </c>
      <c r="E5029" t="inlineStr">
        <is>
          <t>SEC</t>
        </is>
      </c>
    </row>
    <row r="5030">
      <c r="A5030" s="5">
        <f>HYPERLINK("https://finance.yahoo.com/quote/JANL","JANL")</f>
        <v/>
      </c>
      <c r="B5030" t="inlineStr">
        <is>
          <t>JANEL CORP</t>
        </is>
      </c>
      <c r="C5030" t="inlineStr">
        <is>
          <t>OTC</t>
        </is>
      </c>
      <c r="D5030" t="n">
        <v>1133062</v>
      </c>
      <c r="E5030" t="inlineStr">
        <is>
          <t>SEC</t>
        </is>
      </c>
    </row>
    <row r="5031">
      <c r="A5031" s="5">
        <f>HYPERLINK("https://finance.yahoo.com/quote/AEC","AEC")</f>
        <v/>
      </c>
      <c r="B5031" t="inlineStr">
        <is>
          <t>ANFIELD ENERGY INC.</t>
        </is>
      </c>
      <c r="C5031" t="inlineStr">
        <is>
          <t>Nasdaq</t>
        </is>
      </c>
      <c r="D5031" t="n">
        <v>1519469</v>
      </c>
      <c r="E5031" t="inlineStr">
        <is>
          <t>SEC</t>
        </is>
      </c>
    </row>
    <row r="5032">
      <c r="A5032" s="5">
        <f>HYPERLINK("https://finance.yahoo.com/quote/PCLA","PCLA")</f>
        <v/>
      </c>
      <c r="B5032" t="inlineStr">
        <is>
          <t>PicoCELA Inc.</t>
        </is>
      </c>
      <c r="C5032" t="inlineStr">
        <is>
          <t>Nasdaq</t>
        </is>
      </c>
      <c r="D5032" t="n">
        <v>2018462</v>
      </c>
      <c r="E5032" t="inlineStr">
        <is>
          <t>SEC</t>
        </is>
      </c>
    </row>
    <row r="5033">
      <c r="A5033" s="5">
        <f>HYPERLINK("https://finance.yahoo.com/quote/GANX","GANX")</f>
        <v/>
      </c>
      <c r="B5033" t="inlineStr">
        <is>
          <t>Gain Therapeutics, Inc.</t>
        </is>
      </c>
      <c r="C5033" t="inlineStr">
        <is>
          <t>Nasdaq</t>
        </is>
      </c>
      <c r="D5033" t="n">
        <v>1819411</v>
      </c>
      <c r="E5033" t="inlineStr">
        <is>
          <t>SEC</t>
        </is>
      </c>
    </row>
    <row r="5034">
      <c r="A5034" s="5">
        <f>HYPERLINK("https://finance.yahoo.com/quote/SORA","SORA")</f>
        <v/>
      </c>
      <c r="B5034" t="inlineStr">
        <is>
          <t>AsiaStrategy</t>
        </is>
      </c>
      <c r="C5034" t="inlineStr">
        <is>
          <t>Nasdaq</t>
        </is>
      </c>
      <c r="D5034" t="n">
        <v>2033515</v>
      </c>
      <c r="E5034" t="inlineStr">
        <is>
          <t>SEC</t>
        </is>
      </c>
    </row>
    <row r="5035">
      <c r="A5035" s="5">
        <f>HYPERLINK("https://finance.yahoo.com/quote/HYOR","HYOR")</f>
        <v/>
      </c>
      <c r="B5035" t="inlineStr">
        <is>
          <t>HyOrc Corp</t>
        </is>
      </c>
      <c r="C5035" t="inlineStr">
        <is>
          <t>OTC</t>
        </is>
      </c>
      <c r="D5035" t="n">
        <v>1070789</v>
      </c>
      <c r="E5035" t="inlineStr">
        <is>
          <t>SEC</t>
        </is>
      </c>
    </row>
    <row r="5036">
      <c r="A5036" s="5">
        <f>HYPERLINK("https://finance.yahoo.com/quote/JZXN","JZXN")</f>
        <v/>
      </c>
      <c r="B5036" t="inlineStr">
        <is>
          <t>Jiuzi Holdings, Inc.</t>
        </is>
      </c>
      <c r="C5036" t="inlineStr">
        <is>
          <t>Nasdaq</t>
        </is>
      </c>
      <c r="D5036" t="n">
        <v>1816172</v>
      </c>
      <c r="E5036" t="inlineStr">
        <is>
          <t>SEC</t>
        </is>
      </c>
    </row>
    <row r="5037">
      <c r="A5037" s="5">
        <f>HYPERLINK("https://finance.yahoo.com/quote/TLPH","TLPH")</f>
        <v/>
      </c>
      <c r="B5037" t="inlineStr">
        <is>
          <t>TALPHERA, INC.</t>
        </is>
      </c>
      <c r="C5037" t="inlineStr">
        <is>
          <t>Nasdaq</t>
        </is>
      </c>
      <c r="D5037" t="n">
        <v>1427925</v>
      </c>
      <c r="E5037" t="inlineStr">
        <is>
          <t>SEC</t>
        </is>
      </c>
    </row>
    <row r="5038">
      <c r="A5038" s="5">
        <f>HYPERLINK("https://finance.yahoo.com/quote/KVACF","KVACF")</f>
        <v/>
      </c>
      <c r="B5038" t="inlineStr">
        <is>
          <t>Keen Vision Acquisition Corp.</t>
        </is>
      </c>
      <c r="C5038" t="inlineStr">
        <is>
          <t>OTC</t>
        </is>
      </c>
      <c r="D5038" t="n">
        <v>1889983</v>
      </c>
      <c r="E5038" t="inlineStr">
        <is>
          <t>SEC</t>
        </is>
      </c>
    </row>
    <row r="5039">
      <c r="A5039" s="5">
        <f>HYPERLINK("https://finance.yahoo.com/quote/HRTX","HRTX")</f>
        <v/>
      </c>
      <c r="B5039" t="inlineStr">
        <is>
          <t>HERON THERAPEUTICS, INC. /DE/</t>
        </is>
      </c>
      <c r="C5039" t="inlineStr">
        <is>
          <t>Nasdaq</t>
        </is>
      </c>
      <c r="D5039" t="n">
        <v>818033</v>
      </c>
      <c r="E5039" t="inlineStr">
        <is>
          <t>SEC</t>
        </is>
      </c>
    </row>
    <row r="5040">
      <c r="A5040" s="5">
        <f>HYPERLINK("https://finance.yahoo.com/quote/SELF","SELF")</f>
        <v/>
      </c>
      <c r="B5040" t="inlineStr">
        <is>
          <t>Global Self Storage, Inc.</t>
        </is>
      </c>
      <c r="C5040" t="inlineStr">
        <is>
          <t>Nasdaq</t>
        </is>
      </c>
      <c r="D5040" t="n">
        <v>1031235</v>
      </c>
      <c r="E5040" t="inlineStr">
        <is>
          <t>SEC</t>
        </is>
      </c>
    </row>
    <row r="5041">
      <c r="A5041" s="5">
        <f>HYPERLINK("https://finance.yahoo.com/quote/INKT","INKT")</f>
        <v/>
      </c>
      <c r="B5041" t="inlineStr">
        <is>
          <t>MiNK Therapeutics, Inc.</t>
        </is>
      </c>
      <c r="C5041" t="inlineStr">
        <is>
          <t>Nasdaq</t>
        </is>
      </c>
      <c r="D5041" t="n">
        <v>1840229</v>
      </c>
      <c r="E5041" t="inlineStr">
        <is>
          <t>SEC</t>
        </is>
      </c>
    </row>
    <row r="5042">
      <c r="A5042" s="5">
        <f>HYPERLINK("https://finance.yahoo.com/quote/LITB","LITB")</f>
        <v/>
      </c>
      <c r="B5042" t="inlineStr">
        <is>
          <t>LightInTheBox Holding Co., Ltd.</t>
        </is>
      </c>
      <c r="C5042" t="inlineStr">
        <is>
          <t>NYSE</t>
        </is>
      </c>
      <c r="D5042" t="n">
        <v>1523836</v>
      </c>
      <c r="E5042" t="inlineStr">
        <is>
          <t>SEC</t>
        </is>
      </c>
    </row>
    <row r="5043">
      <c r="A5043" s="5">
        <f>HYPERLINK("https://finance.yahoo.com/quote/SLQT","SLQT")</f>
        <v/>
      </c>
      <c r="B5043" t="inlineStr">
        <is>
          <t>SelectQuote, Inc.</t>
        </is>
      </c>
      <c r="C5043" t="inlineStr">
        <is>
          <t>NYSE</t>
        </is>
      </c>
      <c r="D5043" t="n">
        <v>1794783</v>
      </c>
      <c r="E5043" t="inlineStr">
        <is>
          <t>SEC</t>
        </is>
      </c>
    </row>
    <row r="5044">
      <c r="A5044" s="5">
        <f>HYPERLINK("https://finance.yahoo.com/quote/PGAC","PGAC")</f>
        <v/>
      </c>
      <c r="B5044" t="inlineStr">
        <is>
          <t>PANTAGES CAPITAL ACQUISITION Corp</t>
        </is>
      </c>
      <c r="C5044" t="inlineStr">
        <is>
          <t>Nasdaq</t>
        </is>
      </c>
      <c r="D5044" t="n">
        <v>2030829</v>
      </c>
      <c r="E5044" t="inlineStr">
        <is>
          <t>SEC</t>
        </is>
      </c>
    </row>
    <row r="5045">
      <c r="A5045" s="5">
        <f>HYPERLINK("https://finance.yahoo.com/quote/ROLR","ROLR")</f>
        <v/>
      </c>
      <c r="B5045" t="inlineStr">
        <is>
          <t>High Roller Technologies, Inc.</t>
        </is>
      </c>
      <c r="C5045" t="inlineStr">
        <is>
          <t>NYSE</t>
        </is>
      </c>
      <c r="D5045" t="n">
        <v>1947210</v>
      </c>
      <c r="E5045" t="inlineStr">
        <is>
          <t>SEC</t>
        </is>
      </c>
    </row>
    <row r="5046">
      <c r="A5046" s="5">
        <f>HYPERLINK("https://finance.yahoo.com/quote/BLNK","BLNK")</f>
        <v/>
      </c>
      <c r="B5046" t="inlineStr">
        <is>
          <t>Blink Charging Co.</t>
        </is>
      </c>
      <c r="C5046" t="inlineStr">
        <is>
          <t>Nasdaq</t>
        </is>
      </c>
      <c r="D5046" t="n">
        <v>1429764</v>
      </c>
      <c r="E5046" t="inlineStr">
        <is>
          <t>SEC</t>
        </is>
      </c>
    </row>
    <row r="5047">
      <c r="A5047" s="5">
        <f>HYPERLINK("https://finance.yahoo.com/quote/NCEW","NCEW")</f>
        <v/>
      </c>
      <c r="B5047" t="inlineStr">
        <is>
          <t>New Century Logistics (BVI) Ltd</t>
        </is>
      </c>
      <c r="C5047" t="inlineStr">
        <is>
          <t>Nasdaq</t>
        </is>
      </c>
      <c r="D5047" t="n">
        <v>1968043</v>
      </c>
      <c r="E5047" t="inlineStr">
        <is>
          <t>SEC</t>
        </is>
      </c>
    </row>
    <row r="5048">
      <c r="A5048" s="5">
        <f>HYPERLINK("https://finance.yahoo.com/quote/CUAUF","CUAUF")</f>
        <v/>
      </c>
      <c r="B5048" t="inlineStr">
        <is>
          <t>C3 Metals Inc.</t>
        </is>
      </c>
      <c r="C5048" t="inlineStr">
        <is>
          <t>OTC</t>
        </is>
      </c>
      <c r="D5048" t="n">
        <v>1737319</v>
      </c>
      <c r="E5048" t="inlineStr">
        <is>
          <t>SEC</t>
        </is>
      </c>
    </row>
    <row r="5049">
      <c r="A5049" s="5">
        <f>HYPERLINK("https://finance.yahoo.com/quote/ARBE","ARBE")</f>
        <v/>
      </c>
      <c r="B5049" t="inlineStr">
        <is>
          <t>Arbe Robotics Ltd.</t>
        </is>
      </c>
      <c r="C5049" t="inlineStr">
        <is>
          <t>Nasdaq</t>
        </is>
      </c>
      <c r="D5049" t="n">
        <v>1861841</v>
      </c>
      <c r="E5049" t="inlineStr">
        <is>
          <t>SEC</t>
        </is>
      </c>
    </row>
    <row r="5050">
      <c r="A5050" s="5">
        <f>HYPERLINK("https://finance.yahoo.com/quote/VCUFF","VCUFF")</f>
        <v/>
      </c>
      <c r="B5050" t="inlineStr">
        <is>
          <t>Vizsla Copper Corp.</t>
        </is>
      </c>
      <c r="C5050" t="inlineStr">
        <is>
          <t>OTC</t>
        </is>
      </c>
      <c r="D5050" t="n">
        <v>1884122</v>
      </c>
      <c r="E5050" t="inlineStr">
        <is>
          <t>SEC</t>
        </is>
      </c>
    </row>
    <row r="5051">
      <c r="A5051" s="5">
        <f>HYPERLINK("https://finance.yahoo.com/quote/SRLZF","SRLZF")</f>
        <v/>
      </c>
      <c r="B5051" t="inlineStr">
        <is>
          <t>Salazar Resources Ltd</t>
        </is>
      </c>
      <c r="C5051" t="inlineStr">
        <is>
          <t>OTC</t>
        </is>
      </c>
      <c r="D5051" t="n">
        <v>861972</v>
      </c>
      <c r="E5051" t="inlineStr">
        <is>
          <t>SEC</t>
        </is>
      </c>
    </row>
    <row r="5052">
      <c r="A5052" s="5">
        <f>HYPERLINK("https://finance.yahoo.com/quote/CLNN","CLNN")</f>
        <v/>
      </c>
      <c r="B5052" t="inlineStr">
        <is>
          <t>Clene Inc.</t>
        </is>
      </c>
      <c r="C5052" t="inlineStr">
        <is>
          <t>Nasdaq</t>
        </is>
      </c>
      <c r="D5052" t="n">
        <v>1822791</v>
      </c>
      <c r="E5052" t="inlineStr">
        <is>
          <t>SEC</t>
        </is>
      </c>
    </row>
    <row r="5053">
      <c r="A5053" s="5">
        <f>HYPERLINK("https://finance.yahoo.com/quote/GEOS","GEOS")</f>
        <v/>
      </c>
      <c r="B5053" t="inlineStr">
        <is>
          <t>GEOSPACE TECHNOLOGIES CORP</t>
        </is>
      </c>
      <c r="C5053" t="inlineStr">
        <is>
          <t>Nasdaq</t>
        </is>
      </c>
      <c r="D5053" t="n">
        <v>1001115</v>
      </c>
      <c r="E5053" t="inlineStr">
        <is>
          <t>SEC</t>
        </is>
      </c>
    </row>
    <row r="5054">
      <c r="A5054" s="5">
        <f>HYPERLINK("https://finance.yahoo.com/quote/TACT","TACT")</f>
        <v/>
      </c>
      <c r="B5054" t="inlineStr">
        <is>
          <t>TRANSACT TECHNOLOGIES INC</t>
        </is>
      </c>
      <c r="C5054" t="inlineStr">
        <is>
          <t>Nasdaq</t>
        </is>
      </c>
      <c r="D5054" t="n">
        <v>1017303</v>
      </c>
      <c r="E5054" t="inlineStr">
        <is>
          <t>SEC</t>
        </is>
      </c>
    </row>
    <row r="5055">
      <c r="A5055" s="5">
        <f>HYPERLINK("https://finance.yahoo.com/quote/BOLD","BOLD")</f>
        <v/>
      </c>
      <c r="B5055" t="inlineStr">
        <is>
          <t>Boundless Bio, Inc.</t>
        </is>
      </c>
      <c r="C5055" t="inlineStr">
        <is>
          <t>Nasdaq</t>
        </is>
      </c>
      <c r="D5055" t="n">
        <v>1782303</v>
      </c>
      <c r="E5055" t="inlineStr">
        <is>
          <t>SEC</t>
        </is>
      </c>
    </row>
    <row r="5056">
      <c r="A5056" s="5">
        <f>HYPERLINK("https://finance.yahoo.com/quote/ALPS","ALPS")</f>
        <v/>
      </c>
      <c r="B5056" t="inlineStr">
        <is>
          <t>Alps Group Inc</t>
        </is>
      </c>
      <c r="C5056" t="inlineStr">
        <is>
          <t>Nasdaq</t>
        </is>
      </c>
      <c r="D5056" t="n">
        <v>2025774</v>
      </c>
      <c r="E5056" t="inlineStr">
        <is>
          <t>SEC</t>
        </is>
      </c>
    </row>
    <row r="5057">
      <c r="A5057" s="5">
        <f>HYPERLINK("https://finance.yahoo.com/quote/IBAC","IBAC")</f>
        <v/>
      </c>
      <c r="B5057" t="inlineStr">
        <is>
          <t>IB Acquisition Corp.</t>
        </is>
      </c>
      <c r="C5057" t="inlineStr">
        <is>
          <t>Nasdaq</t>
        </is>
      </c>
      <c r="D5057" t="n">
        <v>1998781</v>
      </c>
      <c r="E5057" t="inlineStr">
        <is>
          <t>SEC</t>
        </is>
      </c>
    </row>
    <row r="5058">
      <c r="A5058" s="5">
        <f>HYPERLINK("https://finance.yahoo.com/quote/PBMLF","PBMLF")</f>
        <v/>
      </c>
      <c r="B5058" t="inlineStr">
        <is>
          <t>Pacific Booker Minerals Inc.</t>
        </is>
      </c>
      <c r="C5058" t="inlineStr">
        <is>
          <t>OTC</t>
        </is>
      </c>
      <c r="D5058" t="n">
        <v>1319150</v>
      </c>
      <c r="E5058" t="inlineStr">
        <is>
          <t>SEC</t>
        </is>
      </c>
    </row>
    <row r="5059">
      <c r="A5059" s="5">
        <f>HYPERLINK("https://finance.yahoo.com/quote/DXR","DXR")</f>
        <v/>
      </c>
      <c r="B5059" t="inlineStr">
        <is>
          <t>DAXOR CORP</t>
        </is>
      </c>
      <c r="C5059" t="inlineStr">
        <is>
          <t>Nasdaq</t>
        </is>
      </c>
      <c r="D5059" t="n">
        <v>27367</v>
      </c>
      <c r="E5059" t="inlineStr">
        <is>
          <t>SEC</t>
        </is>
      </c>
    </row>
    <row r="5060">
      <c r="A5060" s="5">
        <f>HYPERLINK("https://finance.yahoo.com/quote/THRY","THRY")</f>
        <v/>
      </c>
      <c r="B5060" t="inlineStr">
        <is>
          <t>Thryv Holdings, Inc.</t>
        </is>
      </c>
      <c r="C5060" t="inlineStr">
        <is>
          <t>Nasdaq</t>
        </is>
      </c>
      <c r="D5060" t="n">
        <v>1556739</v>
      </c>
      <c r="E5060" t="inlineStr">
        <is>
          <t>SEC</t>
        </is>
      </c>
    </row>
    <row r="5061">
      <c r="A5061" s="5">
        <f>HYPERLINK("https://finance.yahoo.com/quote/PODC","PODC")</f>
        <v/>
      </c>
      <c r="B5061" t="inlineStr">
        <is>
          <t>PodcastOne, Inc.</t>
        </is>
      </c>
      <c r="C5061" t="inlineStr">
        <is>
          <t>Nasdaq</t>
        </is>
      </c>
      <c r="D5061" t="n">
        <v>1940177</v>
      </c>
      <c r="E5061" t="inlineStr">
        <is>
          <t>SEC</t>
        </is>
      </c>
    </row>
    <row r="5062">
      <c r="A5062" s="5">
        <f>HYPERLINK("https://finance.yahoo.com/quote/POSC","POSC")</f>
        <v/>
      </c>
      <c r="B5062" t="inlineStr">
        <is>
          <t>POSITRON CORP</t>
        </is>
      </c>
      <c r="C5062" t="inlineStr">
        <is>
          <t>OTC</t>
        </is>
      </c>
      <c r="D5062" t="n">
        <v>844985</v>
      </c>
      <c r="E5062" t="inlineStr">
        <is>
          <t>SEC</t>
        </is>
      </c>
    </row>
    <row r="5063">
      <c r="A5063" s="5">
        <f>HYPERLINK("https://finance.yahoo.com/quote/MEGL","MEGL")</f>
        <v/>
      </c>
      <c r="B5063" t="inlineStr">
        <is>
          <t>Magic Empire Global Ltd</t>
        </is>
      </c>
      <c r="C5063" t="inlineStr">
        <is>
          <t>Nasdaq</t>
        </is>
      </c>
      <c r="D5063" t="n">
        <v>1881472</v>
      </c>
      <c r="E5063" t="inlineStr">
        <is>
          <t>SEC</t>
        </is>
      </c>
    </row>
    <row r="5064">
      <c r="A5064" s="5">
        <f>HYPERLINK("https://finance.yahoo.com/quote/SGA","SGA")</f>
        <v/>
      </c>
      <c r="B5064" t="inlineStr">
        <is>
          <t>SAGA COMMUNICATIONS INC</t>
        </is>
      </c>
      <c r="C5064" t="inlineStr">
        <is>
          <t>Nasdaq</t>
        </is>
      </c>
      <c r="D5064" t="n">
        <v>886136</v>
      </c>
      <c r="E5064" t="inlineStr">
        <is>
          <t>SEC</t>
        </is>
      </c>
    </row>
    <row r="5065">
      <c r="A5065" s="5">
        <f>HYPERLINK("https://finance.yahoo.com/quote/HDRN","HDRN")</f>
        <v/>
      </c>
      <c r="B5065" t="inlineStr">
        <is>
          <t>Hadron Energy, Inc.</t>
        </is>
      </c>
      <c r="C5065" t="inlineStr">
        <is>
          <t>Nasdaq</t>
        </is>
      </c>
      <c r="D5065" t="n">
        <v>2023730</v>
      </c>
      <c r="E5065" t="inlineStr">
        <is>
          <t>SEC</t>
        </is>
      </c>
    </row>
    <row r="5066">
      <c r="A5066" s="5">
        <f>HYPERLINK("https://finance.yahoo.com/quote/JMM","JMM")</f>
        <v/>
      </c>
      <c r="B5066" t="inlineStr">
        <is>
          <t>Nuveen Multi-Market Income Fund</t>
        </is>
      </c>
      <c r="C5066" t="inlineStr">
        <is>
          <t>NYSE</t>
        </is>
      </c>
      <c r="D5066" t="n">
        <v>838131</v>
      </c>
      <c r="E5066" t="inlineStr">
        <is>
          <t>SEC</t>
        </is>
      </c>
    </row>
    <row r="5067">
      <c r="A5067" s="5">
        <f>HYPERLINK("https://finance.yahoo.com/quote/TRT","TRT")</f>
        <v/>
      </c>
      <c r="B5067" t="inlineStr">
        <is>
          <t>TRIO-TECH INTERNATIONAL</t>
        </is>
      </c>
      <c r="C5067" t="inlineStr">
        <is>
          <t>Nasdaq</t>
        </is>
      </c>
      <c r="D5067" t="n">
        <v>732026</v>
      </c>
      <c r="E5067" t="inlineStr">
        <is>
          <t>SEC</t>
        </is>
      </c>
    </row>
    <row r="5068">
      <c r="A5068" s="5">
        <f>HYPERLINK("https://finance.yahoo.com/quote/PLRX","PLRX")</f>
        <v/>
      </c>
      <c r="B5068" t="inlineStr">
        <is>
          <t>PLIANT THERAPEUTICS, INC.</t>
        </is>
      </c>
      <c r="C5068" t="inlineStr">
        <is>
          <t>Nasdaq</t>
        </is>
      </c>
      <c r="D5068" t="n">
        <v>1746473</v>
      </c>
      <c r="E5068" t="inlineStr">
        <is>
          <t>SEC</t>
        </is>
      </c>
    </row>
    <row r="5069">
      <c r="A5069" s="5">
        <f>HYPERLINK("https://finance.yahoo.com/quote/CIGL","CIGL")</f>
        <v/>
      </c>
      <c r="B5069" t="inlineStr">
        <is>
          <t>Concorde International Group Ltd.</t>
        </is>
      </c>
      <c r="C5069" t="inlineStr">
        <is>
          <t>Nasdaq</t>
        </is>
      </c>
      <c r="D5069" t="n">
        <v>2001794</v>
      </c>
      <c r="E5069" t="inlineStr">
        <is>
          <t>SEC</t>
        </is>
      </c>
    </row>
    <row r="5070">
      <c r="A5070" s="5">
        <f>HYPERLINK("https://finance.yahoo.com/quote/HYFT","HYFT")</f>
        <v/>
      </c>
      <c r="B5070" t="inlineStr">
        <is>
          <t>MindWalk Holdings Corp.</t>
        </is>
      </c>
      <c r="C5070" t="inlineStr">
        <is>
          <t>Nasdaq</t>
        </is>
      </c>
      <c r="D5070" t="n">
        <v>1715925</v>
      </c>
      <c r="E5070" t="inlineStr">
        <is>
          <t>SEC</t>
        </is>
      </c>
    </row>
    <row r="5071">
      <c r="A5071" s="5">
        <f>HYPERLINK("https://finance.yahoo.com/quote/WWR","WWR")</f>
        <v/>
      </c>
      <c r="B5071" t="inlineStr">
        <is>
          <t>WESTWATER RESOURCES, INC.</t>
        </is>
      </c>
      <c r="C5071" t="inlineStr">
        <is>
          <t>NYSE</t>
        </is>
      </c>
      <c r="D5071" t="n">
        <v>839470</v>
      </c>
      <c r="E5071" t="inlineStr">
        <is>
          <t>SEC</t>
        </is>
      </c>
    </row>
    <row r="5072">
      <c r="A5072" s="5">
        <f>HYPERLINK("https://finance.yahoo.com/quote/ZOOZ","ZOOZ")</f>
        <v/>
      </c>
      <c r="B5072" t="inlineStr">
        <is>
          <t>ZOOZ Strategy Ltd.</t>
        </is>
      </c>
      <c r="C5072" t="inlineStr">
        <is>
          <t>Nasdaq</t>
        </is>
      </c>
      <c r="D5072" t="n">
        <v>1992818</v>
      </c>
      <c r="E5072" t="inlineStr">
        <is>
          <t>SEC</t>
        </is>
      </c>
    </row>
    <row r="5073">
      <c r="A5073" s="5">
        <f>HYPERLINK("https://finance.yahoo.com/quote/CZZLF","CZZLF")</f>
        <v/>
      </c>
      <c r="B5073" t="inlineStr">
        <is>
          <t>Cizzle Brands Corp</t>
        </is>
      </c>
      <c r="C5073" t="inlineStr">
        <is>
          <t>OTC</t>
        </is>
      </c>
      <c r="D5073" t="n">
        <v>2105038</v>
      </c>
      <c r="E5073" t="inlineStr">
        <is>
          <t>SEC</t>
        </is>
      </c>
    </row>
    <row r="5074">
      <c r="A5074" s="5">
        <f>HYPERLINK("https://finance.yahoo.com/quote/YARRF","YARRF")</f>
        <v/>
      </c>
      <c r="B5074" t="inlineStr">
        <is>
          <t>Pirate Gold Corp.</t>
        </is>
      </c>
      <c r="C5074" t="inlineStr">
        <is>
          <t>OTC</t>
        </is>
      </c>
      <c r="D5074" t="n">
        <v>2099818</v>
      </c>
      <c r="E5074" t="inlineStr">
        <is>
          <t>SEC</t>
        </is>
      </c>
    </row>
    <row r="5075">
      <c r="A5075" s="5">
        <f>HYPERLINK("https://finance.yahoo.com/quote/SYHBF","SYHBF")</f>
        <v/>
      </c>
      <c r="B5075" t="inlineStr">
        <is>
          <t>SKYHARBOUR RESOURCES LTD</t>
        </is>
      </c>
      <c r="C5075" t="inlineStr">
        <is>
          <t>OTC</t>
        </is>
      </c>
      <c r="D5075" t="n">
        <v>1541190</v>
      </c>
      <c r="E5075" t="inlineStr">
        <is>
          <t>SEC</t>
        </is>
      </c>
    </row>
    <row r="5076">
      <c r="A5076" s="5">
        <f>HYPERLINK("https://finance.yahoo.com/quote/AMOD","AMOD")</f>
        <v/>
      </c>
      <c r="B5076" t="inlineStr">
        <is>
          <t>ALPHA MODUS HOLDINGS, INC.</t>
        </is>
      </c>
      <c r="C5076" t="inlineStr">
        <is>
          <t>Nasdaq</t>
        </is>
      </c>
      <c r="D5076" t="n">
        <v>1862463</v>
      </c>
      <c r="E5076" t="inlineStr">
        <is>
          <t>SEC</t>
        </is>
      </c>
    </row>
    <row r="5077">
      <c r="A5077" s="5">
        <f>HYPERLINK("https://finance.yahoo.com/quote/HCMC","HCMC")</f>
        <v/>
      </c>
      <c r="B5077" t="inlineStr">
        <is>
          <t>Healthier Choices Management Corp.</t>
        </is>
      </c>
      <c r="C5077" t="inlineStr">
        <is>
          <t>OTC</t>
        </is>
      </c>
      <c r="D5077" t="n">
        <v>844856</v>
      </c>
      <c r="E5077" t="inlineStr">
        <is>
          <t>SEC</t>
        </is>
      </c>
    </row>
    <row r="5078">
      <c r="A5078" s="5">
        <f>HYPERLINK("https://finance.yahoo.com/quote/TPCS","TPCS")</f>
        <v/>
      </c>
      <c r="B5078" t="inlineStr">
        <is>
          <t>TECHPRECISION CORP</t>
        </is>
      </c>
      <c r="C5078" t="inlineStr">
        <is>
          <t>Nasdaq</t>
        </is>
      </c>
      <c r="D5078" t="n">
        <v>1328792</v>
      </c>
      <c r="E5078" t="inlineStr">
        <is>
          <t>SEC</t>
        </is>
      </c>
    </row>
    <row r="5079">
      <c r="A5079" s="5">
        <f>HYPERLINK("https://finance.yahoo.com/quote/OFS","OFS")</f>
        <v/>
      </c>
      <c r="B5079" t="inlineStr">
        <is>
          <t>OFS Capital Corp</t>
        </is>
      </c>
      <c r="C5079" t="inlineStr">
        <is>
          <t>Nasdaq</t>
        </is>
      </c>
      <c r="D5079" t="n">
        <v>1487918</v>
      </c>
      <c r="E5079" t="inlineStr">
        <is>
          <t>SEC</t>
        </is>
      </c>
    </row>
    <row r="5080">
      <c r="A5080" s="5">
        <f>HYPERLINK("https://finance.yahoo.com/quote/SAIH","SAIH")</f>
        <v/>
      </c>
      <c r="B5080" t="inlineStr">
        <is>
          <t>SAIHEAT Ltd</t>
        </is>
      </c>
      <c r="C5080" t="inlineStr">
        <is>
          <t>Nasdaq</t>
        </is>
      </c>
      <c r="D5080" t="n">
        <v>1847075</v>
      </c>
      <c r="E5080" t="inlineStr">
        <is>
          <t>SEC</t>
        </is>
      </c>
    </row>
    <row r="5081">
      <c r="A5081" s="5">
        <f>HYPERLINK("https://finance.yahoo.com/quote/TUNGF","TUNGF")</f>
        <v/>
      </c>
      <c r="B5081" t="inlineStr">
        <is>
          <t>American Tungsten Corp.</t>
        </is>
      </c>
      <c r="C5081" t="inlineStr">
        <is>
          <t>OTC</t>
        </is>
      </c>
      <c r="D5081" t="n">
        <v>2049560</v>
      </c>
      <c r="E5081" t="inlineStr">
        <is>
          <t>SEC</t>
        </is>
      </c>
    </row>
    <row r="5082">
      <c r="A5082" s="5">
        <f>HYPERLINK("https://finance.yahoo.com/quote/DTCX","DTCX")</f>
        <v/>
      </c>
      <c r="B5082" t="inlineStr">
        <is>
          <t>Datacentrex, Inc.</t>
        </is>
      </c>
      <c r="C5082" t="inlineStr">
        <is>
          <t>Nasdaq</t>
        </is>
      </c>
      <c r="D5082" t="n">
        <v>1853825</v>
      </c>
      <c r="E5082" t="inlineStr">
        <is>
          <t>SEC</t>
        </is>
      </c>
    </row>
    <row r="5083">
      <c r="A5083" s="5">
        <f>HYPERLINK("https://finance.yahoo.com/quote/AZI","AZI")</f>
        <v/>
      </c>
      <c r="B5083" t="inlineStr">
        <is>
          <t>Autozi Internet Technology (Global) Ltd.</t>
        </is>
      </c>
      <c r="C5083" t="inlineStr">
        <is>
          <t>Nasdaq</t>
        </is>
      </c>
      <c r="D5083" t="n">
        <v>1959726</v>
      </c>
      <c r="E5083" t="inlineStr">
        <is>
          <t>SEC</t>
        </is>
      </c>
    </row>
    <row r="5084">
      <c r="A5084" s="5">
        <f>HYPERLINK("https://finance.yahoo.com/quote/NVX","NVX")</f>
        <v/>
      </c>
      <c r="B5084" t="inlineStr">
        <is>
          <t>NOVONIX Ltd</t>
        </is>
      </c>
      <c r="C5084" t="inlineStr">
        <is>
          <t>Nasdaq</t>
        </is>
      </c>
      <c r="D5084" t="n">
        <v>1859795</v>
      </c>
      <c r="E5084" t="inlineStr">
        <is>
          <t>SEC</t>
        </is>
      </c>
    </row>
    <row r="5085">
      <c r="A5085" s="5">
        <f>HYPERLINK("https://finance.yahoo.com/quote/ESYN","ESYN")</f>
        <v/>
      </c>
      <c r="B5085" t="inlineStr">
        <is>
          <t>HWH International Inc.</t>
        </is>
      </c>
      <c r="C5085" t="inlineStr">
        <is>
          <t>Nasdaq</t>
        </is>
      </c>
      <c r="D5085" t="n">
        <v>1897245</v>
      </c>
      <c r="E5085" t="inlineStr">
        <is>
          <t>SEC</t>
        </is>
      </c>
    </row>
    <row r="5086">
      <c r="A5086" s="5">
        <f>HYPERLINK("https://finance.yahoo.com/quote/RNLXY","RNLXY")</f>
        <v/>
      </c>
      <c r="B5086" t="inlineStr">
        <is>
          <t>Renalytix plc</t>
        </is>
      </c>
      <c r="C5086" t="inlineStr">
        <is>
          <t>OTC</t>
        </is>
      </c>
      <c r="D5086" t="n">
        <v>1811115</v>
      </c>
      <c r="E5086" t="inlineStr">
        <is>
          <t>SEC</t>
        </is>
      </c>
    </row>
    <row r="5087">
      <c r="A5087" s="5">
        <f>HYPERLINK("https://finance.yahoo.com/quote/SDEV","SDEV")</f>
        <v/>
      </c>
      <c r="B5087" t="inlineStr">
        <is>
          <t>Stablecoin Development Corp</t>
        </is>
      </c>
      <c r="C5087" t="inlineStr">
        <is>
          <t>NYSE</t>
        </is>
      </c>
      <c r="D5087" t="n">
        <v>1389545</v>
      </c>
      <c r="E5087" t="inlineStr">
        <is>
          <t>SEC</t>
        </is>
      </c>
    </row>
    <row r="5088">
      <c r="A5088" s="5">
        <f>HYPERLINK("https://finance.yahoo.com/quote/VRDR","VRDR")</f>
        <v/>
      </c>
      <c r="B5088" t="inlineStr">
        <is>
          <t>VERDE RESOURCES, INC.</t>
        </is>
      </c>
      <c r="C5088" t="inlineStr">
        <is>
          <t>OTC</t>
        </is>
      </c>
      <c r="D5088" t="n">
        <v>1506929</v>
      </c>
      <c r="E5088" t="inlineStr">
        <is>
          <t>SEC</t>
        </is>
      </c>
    </row>
    <row r="5089">
      <c r="A5089" s="5">
        <f>HYPERLINK("https://finance.yahoo.com/quote/TOUR","TOUR")</f>
        <v/>
      </c>
      <c r="B5089" t="inlineStr">
        <is>
          <t>Tuniu Corp</t>
        </is>
      </c>
      <c r="C5089" t="inlineStr">
        <is>
          <t>Nasdaq</t>
        </is>
      </c>
      <c r="D5089" t="n">
        <v>1597095</v>
      </c>
      <c r="E5089" t="inlineStr">
        <is>
          <t>SEC</t>
        </is>
      </c>
    </row>
    <row r="5090">
      <c r="A5090" s="5">
        <f>HYPERLINK("https://finance.yahoo.com/quote/DLHC","DLHC")</f>
        <v/>
      </c>
      <c r="B5090" t="inlineStr">
        <is>
          <t>DLH Holdings Corp.</t>
        </is>
      </c>
      <c r="C5090" t="inlineStr">
        <is>
          <t>Nasdaq</t>
        </is>
      </c>
      <c r="D5090" t="n">
        <v>785557</v>
      </c>
      <c r="E5090" t="inlineStr">
        <is>
          <t>SEC</t>
        </is>
      </c>
    </row>
    <row r="5091">
      <c r="A5091" s="5">
        <f>HYPERLINK("https://finance.yahoo.com/quote/ELTX","ELTX")</f>
        <v/>
      </c>
      <c r="B5091" t="inlineStr">
        <is>
          <t>Elicio Therapeutics, Inc.</t>
        </is>
      </c>
      <c r="C5091" t="inlineStr">
        <is>
          <t>Nasdaq</t>
        </is>
      </c>
      <c r="D5091" t="n">
        <v>1601485</v>
      </c>
      <c r="E5091" t="inlineStr">
        <is>
          <t>SEC</t>
        </is>
      </c>
    </row>
    <row r="5092">
      <c r="A5092" s="5">
        <f>HYPERLINK("https://finance.yahoo.com/quote/ELOX","ELOX")</f>
        <v/>
      </c>
      <c r="B5092" t="inlineStr">
        <is>
          <t>Eloxx Pharmaceuticals, Inc.</t>
        </is>
      </c>
      <c r="C5092" t="inlineStr">
        <is>
          <t>Nasdaq</t>
        </is>
      </c>
      <c r="D5092" t="n">
        <v>1035354</v>
      </c>
      <c r="E5092" t="inlineStr">
        <is>
          <t>SEC</t>
        </is>
      </c>
    </row>
    <row r="5093">
      <c r="A5093" s="5">
        <f>HYPERLINK("https://finance.yahoo.com/quote/XLO","XLO")</f>
        <v/>
      </c>
      <c r="B5093" t="inlineStr">
        <is>
          <t>Xilio Therapeutics, Inc.</t>
        </is>
      </c>
      <c r="C5093" t="inlineStr">
        <is>
          <t>Nasdaq</t>
        </is>
      </c>
      <c r="D5093" t="n">
        <v>1840233</v>
      </c>
      <c r="E5093" t="inlineStr">
        <is>
          <t>SEC</t>
        </is>
      </c>
    </row>
    <row r="5094">
      <c r="A5094" s="5">
        <f>HYPERLINK("https://finance.yahoo.com/quote/MKTW","MKTW")</f>
        <v/>
      </c>
      <c r="B5094" t="inlineStr">
        <is>
          <t>MARKETWISE, INC.</t>
        </is>
      </c>
      <c r="C5094" t="inlineStr">
        <is>
          <t>Nasdaq</t>
        </is>
      </c>
      <c r="D5094" t="n">
        <v>1805651</v>
      </c>
      <c r="E5094" t="inlineStr">
        <is>
          <t>SEC</t>
        </is>
      </c>
    </row>
    <row r="5095">
      <c r="A5095" s="5">
        <f>HYPERLINK("https://finance.yahoo.com/quote/FGFI","FGFI")</f>
        <v/>
      </c>
      <c r="B5095" t="inlineStr">
        <is>
          <t>First Greenwich Financial, Inc.</t>
        </is>
      </c>
      <c r="C5095" t="inlineStr">
        <is>
          <t>OTC</t>
        </is>
      </c>
      <c r="D5095" t="n">
        <v>1703590</v>
      </c>
      <c r="E5095" t="inlineStr">
        <is>
          <t>SEC</t>
        </is>
      </c>
    </row>
    <row r="5096">
      <c r="A5096" s="5">
        <f>HYPERLINK("https://finance.yahoo.com/quote/KCCFF","KCCFF")</f>
        <v/>
      </c>
      <c r="B5096" t="inlineStr">
        <is>
          <t>Kutcho Copper Corp.</t>
        </is>
      </c>
      <c r="C5096" t="inlineStr">
        <is>
          <t>OTC</t>
        </is>
      </c>
      <c r="D5096" t="n">
        <v>1726906</v>
      </c>
      <c r="E5096" t="inlineStr">
        <is>
          <t>SEC</t>
        </is>
      </c>
    </row>
    <row r="5097">
      <c r="A5097" s="5">
        <f>HYPERLINK("https://finance.yahoo.com/quote/AIRG","AIRG")</f>
        <v/>
      </c>
      <c r="B5097" t="inlineStr">
        <is>
          <t>AIRGAIN INC</t>
        </is>
      </c>
      <c r="C5097" t="inlineStr">
        <is>
          <t>Nasdaq</t>
        </is>
      </c>
      <c r="D5097" t="n">
        <v>1272842</v>
      </c>
      <c r="E5097" t="inlineStr">
        <is>
          <t>SEC</t>
        </is>
      </c>
    </row>
    <row r="5098">
      <c r="A5098" s="5">
        <f>HYPERLINK("https://finance.yahoo.com/quote/APWC","APWC")</f>
        <v/>
      </c>
      <c r="B5098" t="inlineStr">
        <is>
          <t>ASIA PACIFIC WIRE &amp; CABLE CORP LTD</t>
        </is>
      </c>
      <c r="C5098" t="inlineStr">
        <is>
          <t>Nasdaq</t>
        </is>
      </c>
      <c r="D5098" t="n">
        <v>1026980</v>
      </c>
      <c r="E5098" t="inlineStr">
        <is>
          <t>SEC</t>
        </is>
      </c>
    </row>
    <row r="5099">
      <c r="A5099" s="5">
        <f>HYPERLINK("https://finance.yahoo.com/quote/ELRE","ELRE")</f>
        <v/>
      </c>
      <c r="B5099" t="inlineStr">
        <is>
          <t>Yinfu Gold Corp.</t>
        </is>
      </c>
      <c r="C5099" t="inlineStr">
        <is>
          <t>OTC</t>
        </is>
      </c>
      <c r="D5099" t="n">
        <v>1438461</v>
      </c>
      <c r="E5099" t="inlineStr">
        <is>
          <t>SEC</t>
        </is>
      </c>
    </row>
    <row r="5100">
      <c r="A5100" s="5">
        <f>HYPERLINK("https://finance.yahoo.com/quote/GENK","GENK")</f>
        <v/>
      </c>
      <c r="B5100" t="inlineStr">
        <is>
          <t>GEN Restaurant Group, Inc.</t>
        </is>
      </c>
      <c r="C5100" t="inlineStr">
        <is>
          <t>Nasdaq</t>
        </is>
      </c>
      <c r="D5100" t="n">
        <v>1891856</v>
      </c>
      <c r="E5100" t="inlineStr">
        <is>
          <t>SEC</t>
        </is>
      </c>
    </row>
    <row r="5101">
      <c r="A5101" s="5">
        <f>HYPERLINK("https://finance.yahoo.com/quote/TZOO","TZOO")</f>
        <v/>
      </c>
      <c r="B5101" t="inlineStr">
        <is>
          <t>TRAVELZOO</t>
        </is>
      </c>
      <c r="C5101" t="inlineStr">
        <is>
          <t>Nasdaq</t>
        </is>
      </c>
      <c r="D5101" t="n">
        <v>1133311</v>
      </c>
      <c r="E5101" t="inlineStr">
        <is>
          <t>SEC</t>
        </is>
      </c>
    </row>
    <row r="5102">
      <c r="A5102" s="5">
        <f>HYPERLINK("https://finance.yahoo.com/quote/STKE","STKE")</f>
        <v/>
      </c>
      <c r="B5102" t="inlineStr">
        <is>
          <t>SOL Strategies Inc.</t>
        </is>
      </c>
      <c r="C5102" t="inlineStr">
        <is>
          <t>Nasdaq</t>
        </is>
      </c>
      <c r="D5102" t="n">
        <v>1846839</v>
      </c>
      <c r="E5102" t="inlineStr">
        <is>
          <t>SEC</t>
        </is>
      </c>
    </row>
    <row r="5103">
      <c r="A5103" s="5">
        <f>HYPERLINK("https://finance.yahoo.com/quote/CTM","CTM")</f>
        <v/>
      </c>
      <c r="B5103" t="inlineStr">
        <is>
          <t>Castellum, Inc.</t>
        </is>
      </c>
      <c r="C5103" t="inlineStr">
        <is>
          <t>NYSE</t>
        </is>
      </c>
      <c r="D5103" t="n">
        <v>1877939</v>
      </c>
      <c r="E5103" t="inlineStr">
        <is>
          <t>SEC</t>
        </is>
      </c>
    </row>
    <row r="5104">
      <c r="A5104" s="5">
        <f>HYPERLINK("https://finance.yahoo.com/quote/SKIL","SKIL")</f>
        <v/>
      </c>
      <c r="B5104" t="inlineStr">
        <is>
          <t>Skillsoft Corp.</t>
        </is>
      </c>
      <c r="C5104" t="inlineStr">
        <is>
          <t>NYSE</t>
        </is>
      </c>
      <c r="D5104" t="n">
        <v>1774675</v>
      </c>
      <c r="E5104" t="inlineStr">
        <is>
          <t>SEC</t>
        </is>
      </c>
    </row>
    <row r="5105">
      <c r="A5105" s="5">
        <f>HYPERLINK("https://finance.yahoo.com/quote/WTHVF","WTHVF")</f>
        <v/>
      </c>
      <c r="B5105" t="inlineStr">
        <is>
          <t>Westhaven Gold Corp.</t>
        </is>
      </c>
      <c r="C5105" t="inlineStr">
        <is>
          <t>OTC</t>
        </is>
      </c>
      <c r="D5105" t="n">
        <v>1562530</v>
      </c>
      <c r="E5105" t="inlineStr">
        <is>
          <t>SEC</t>
        </is>
      </c>
    </row>
    <row r="5106">
      <c r="A5106" s="5">
        <f>HYPERLINK("https://finance.yahoo.com/quote/GNOLF","GNOLF")</f>
        <v/>
      </c>
      <c r="B5106" t="inlineStr">
        <is>
          <t>GENOIL INC</t>
        </is>
      </c>
      <c r="C5106" t="inlineStr">
        <is>
          <t>OTC</t>
        </is>
      </c>
      <c r="D5106" t="n">
        <v>1261002</v>
      </c>
      <c r="E5106" t="inlineStr">
        <is>
          <t>SEC</t>
        </is>
      </c>
    </row>
    <row r="5107">
      <c r="A5107" s="5">
        <f>HYPERLINK("https://finance.yahoo.com/quote/VASO","VASO")</f>
        <v/>
      </c>
      <c r="B5107" t="inlineStr">
        <is>
          <t>VASO Corp</t>
        </is>
      </c>
      <c r="C5107" t="inlineStr">
        <is>
          <t>OTC</t>
        </is>
      </c>
      <c r="D5107" t="n">
        <v>839087</v>
      </c>
      <c r="E5107" t="inlineStr">
        <is>
          <t>SEC</t>
        </is>
      </c>
    </row>
    <row r="5108">
      <c r="A5108" s="5">
        <f>HYPERLINK("https://finance.yahoo.com/quote/HFUS","HFUS")</f>
        <v/>
      </c>
      <c r="B5108" t="inlineStr">
        <is>
          <t>Hartford Creative Group, Inc.</t>
        </is>
      </c>
      <c r="C5108" t="inlineStr">
        <is>
          <t>OTC</t>
        </is>
      </c>
      <c r="D5108" t="n">
        <v>1482554</v>
      </c>
      <c r="E5108" t="inlineStr">
        <is>
          <t>SEC</t>
        </is>
      </c>
    </row>
    <row r="5109">
      <c r="A5109" s="5">
        <f>HYPERLINK("https://finance.yahoo.com/quote/WQEY","WQEY")</f>
        <v/>
      </c>
      <c r="B5109" t="inlineStr">
        <is>
          <t>WISeQey Corp.</t>
        </is>
      </c>
      <c r="C5109" t="inlineStr">
        <is>
          <t>Nasdaq</t>
        </is>
      </c>
      <c r="D5109" t="n">
        <v>2107968</v>
      </c>
      <c r="E5109" t="inlineStr">
        <is>
          <t>SEC</t>
        </is>
      </c>
    </row>
    <row r="5110">
      <c r="A5110" s="5">
        <f>HYPERLINK("https://finance.yahoo.com/quote/ELBM","ELBM")</f>
        <v/>
      </c>
      <c r="B5110" t="inlineStr">
        <is>
          <t>Electra Battery Materials Corp</t>
        </is>
      </c>
      <c r="C5110" t="inlineStr">
        <is>
          <t>Nasdaq</t>
        </is>
      </c>
      <c r="D5110" t="n">
        <v>1907184</v>
      </c>
      <c r="E5110" t="inlineStr">
        <is>
          <t>SEC</t>
        </is>
      </c>
    </row>
    <row r="5111">
      <c r="A5111" s="5">
        <f>HYPERLINK("https://finance.yahoo.com/quote/AZZTF","AZZTF")</f>
        <v/>
      </c>
      <c r="B5111" t="inlineStr">
        <is>
          <t>Aztec Minerals Corp.</t>
        </is>
      </c>
      <c r="C5111" t="inlineStr">
        <is>
          <t>OTC</t>
        </is>
      </c>
      <c r="D5111" t="n">
        <v>1706404</v>
      </c>
      <c r="E5111" t="inlineStr">
        <is>
          <t>SEC</t>
        </is>
      </c>
    </row>
    <row r="5112">
      <c r="A5112" s="5">
        <f>HYPERLINK("https://finance.yahoo.com/quote/NEXM","NEXM")</f>
        <v/>
      </c>
      <c r="B5112" t="inlineStr">
        <is>
          <t>NexMetals Mining Corp.</t>
        </is>
      </c>
      <c r="C5112" t="inlineStr">
        <is>
          <t>Nasdaq</t>
        </is>
      </c>
      <c r="D5112" t="n">
        <v>795800</v>
      </c>
      <c r="E5112" t="inlineStr">
        <is>
          <t>SEC</t>
        </is>
      </c>
    </row>
    <row r="5113">
      <c r="A5113" s="5">
        <f>HYPERLINK("https://finance.yahoo.com/quote/ALSAF","ALSAF")</f>
        <v/>
      </c>
      <c r="B5113" t="inlineStr">
        <is>
          <t>Alpha Star Acquisition Corp</t>
        </is>
      </c>
      <c r="C5113" t="inlineStr">
        <is>
          <t>OTC</t>
        </is>
      </c>
      <c r="D5113" t="n">
        <v>1865111</v>
      </c>
      <c r="E5113" t="inlineStr">
        <is>
          <t>SEC</t>
        </is>
      </c>
    </row>
    <row r="5114">
      <c r="A5114" s="5">
        <f>HYPERLINK("https://finance.yahoo.com/quote/ALCYF","ALCYF")</f>
        <v/>
      </c>
      <c r="B5114" t="inlineStr">
        <is>
          <t>Alchemy Investments Acquisition Corp 1</t>
        </is>
      </c>
      <c r="C5114" t="inlineStr">
        <is>
          <t>OTC</t>
        </is>
      </c>
      <c r="D5114" t="n">
        <v>1901336</v>
      </c>
      <c r="E5114" t="inlineStr">
        <is>
          <t>SEC</t>
        </is>
      </c>
    </row>
    <row r="5115">
      <c r="A5115" s="5">
        <f>HYPERLINK("https://finance.yahoo.com/quote/RNTX","RNTX")</f>
        <v/>
      </c>
      <c r="B5115" t="inlineStr">
        <is>
          <t>Rein Therapeutics, Inc.</t>
        </is>
      </c>
      <c r="C5115" t="inlineStr">
        <is>
          <t>Nasdaq</t>
        </is>
      </c>
      <c r="D5115" t="n">
        <v>1420565</v>
      </c>
      <c r="E5115" t="inlineStr">
        <is>
          <t>SEC</t>
        </is>
      </c>
    </row>
    <row r="5116">
      <c r="A5116" s="5">
        <f>HYPERLINK("https://finance.yahoo.com/quote/PDCC","PDCC")</f>
        <v/>
      </c>
      <c r="B5116" t="inlineStr">
        <is>
          <t>Pearl Diver Credit Co Inc.</t>
        </is>
      </c>
      <c r="C5116" t="inlineStr">
        <is>
          <t>NYSE</t>
        </is>
      </c>
      <c r="D5116" t="n">
        <v>1998043</v>
      </c>
      <c r="E5116" t="inlineStr">
        <is>
          <t>SEC</t>
        </is>
      </c>
    </row>
    <row r="5117">
      <c r="A5117" s="5">
        <f>HYPERLINK("https://finance.yahoo.com/quote/TCBS","TCBS")</f>
        <v/>
      </c>
      <c r="B5117" t="inlineStr">
        <is>
          <t>Texas Community Bancshares, Inc.</t>
        </is>
      </c>
      <c r="C5117" t="inlineStr">
        <is>
          <t>Nasdaq</t>
        </is>
      </c>
      <c r="D5117" t="n">
        <v>1849466</v>
      </c>
      <c r="E5117" t="inlineStr">
        <is>
          <t>SEC</t>
        </is>
      </c>
    </row>
    <row r="5118">
      <c r="A5118" s="5">
        <f>HYPERLINK("https://finance.yahoo.com/quote/IDN","IDN")</f>
        <v/>
      </c>
      <c r="B5118" t="inlineStr">
        <is>
          <t>Intellicheck, Inc.</t>
        </is>
      </c>
      <c r="C5118" t="inlineStr">
        <is>
          <t>Nasdaq</t>
        </is>
      </c>
      <c r="D5118" t="n">
        <v>1040896</v>
      </c>
      <c r="E5118" t="inlineStr">
        <is>
          <t>SEC</t>
        </is>
      </c>
    </row>
    <row r="5119">
      <c r="A5119" s="5">
        <f>HYPERLINK("https://finance.yahoo.com/quote/SRTS","SRTS")</f>
        <v/>
      </c>
      <c r="B5119" t="inlineStr">
        <is>
          <t>Sensus Healthcare, Inc.</t>
        </is>
      </c>
      <c r="C5119" t="inlineStr">
        <is>
          <t>Nasdaq</t>
        </is>
      </c>
      <c r="D5119" t="n">
        <v>1494891</v>
      </c>
      <c r="E5119" t="inlineStr">
        <is>
          <t>SEC</t>
        </is>
      </c>
    </row>
    <row r="5120">
      <c r="A5120" s="5">
        <f>HYPERLINK("https://finance.yahoo.com/quote/SMOFF","SMOFF")</f>
        <v/>
      </c>
      <c r="B5120" t="inlineStr">
        <is>
          <t>Sonoro Gold Corp.</t>
        </is>
      </c>
      <c r="C5120" t="inlineStr">
        <is>
          <t>OTC</t>
        </is>
      </c>
      <c r="D5120" t="n">
        <v>1538189</v>
      </c>
      <c r="E5120" t="inlineStr">
        <is>
          <t>SEC</t>
        </is>
      </c>
    </row>
    <row r="5121">
      <c r="A5121" s="5">
        <f>HYPERLINK("https://finance.yahoo.com/quote/NKGFF","NKGFF")</f>
        <v/>
      </c>
      <c r="B5121" t="inlineStr">
        <is>
          <t>Nevada King Gold Corp.</t>
        </is>
      </c>
      <c r="C5121" t="inlineStr">
        <is>
          <t>OTC</t>
        </is>
      </c>
      <c r="D5121" t="n">
        <v>1839154</v>
      </c>
      <c r="E5121" t="inlineStr">
        <is>
          <t>SEC</t>
        </is>
      </c>
    </row>
    <row r="5122">
      <c r="A5122" s="5">
        <f>HYPERLINK("https://finance.yahoo.com/quote/HOWL","HOWL")</f>
        <v/>
      </c>
      <c r="B5122" t="inlineStr">
        <is>
          <t>Werewolf Therapeutics, Inc.</t>
        </is>
      </c>
      <c r="C5122" t="inlineStr">
        <is>
          <t>Nasdaq</t>
        </is>
      </c>
      <c r="D5122" t="n">
        <v>1785530</v>
      </c>
      <c r="E5122" t="inlineStr">
        <is>
          <t>SEC</t>
        </is>
      </c>
    </row>
    <row r="5123">
      <c r="A5123" s="5">
        <f>HYPERLINK("https://finance.yahoo.com/quote/BRID","BRID")</f>
        <v/>
      </c>
      <c r="B5123" t="inlineStr">
        <is>
          <t>BRIDGFORD FOODS CORP</t>
        </is>
      </c>
      <c r="C5123" t="inlineStr">
        <is>
          <t>Nasdaq</t>
        </is>
      </c>
      <c r="D5123" t="n">
        <v>14177</v>
      </c>
      <c r="E5123" t="inlineStr">
        <is>
          <t>SEC</t>
        </is>
      </c>
    </row>
    <row r="5124">
      <c r="A5124" s="5">
        <f>HYPERLINK("https://finance.yahoo.com/quote/MWYN","MWYN")</f>
        <v/>
      </c>
      <c r="B5124" t="inlineStr">
        <is>
          <t>Marwynn Holdings, Inc.</t>
        </is>
      </c>
      <c r="C5124" t="inlineStr">
        <is>
          <t>Nasdaq</t>
        </is>
      </c>
      <c r="D5124" t="n">
        <v>2030522</v>
      </c>
      <c r="E5124" t="inlineStr">
        <is>
          <t>SEC</t>
        </is>
      </c>
    </row>
    <row r="5125">
      <c r="A5125" s="5">
        <f>HYPERLINK("https://finance.yahoo.com/quote/PGZFF","PGZFF")</f>
        <v/>
      </c>
      <c r="B5125" t="inlineStr">
        <is>
          <t>Pan Global Resources Inc.</t>
        </is>
      </c>
      <c r="C5125" t="inlineStr">
        <is>
          <t>OTC</t>
        </is>
      </c>
      <c r="D5125" t="n">
        <v>1566073</v>
      </c>
      <c r="E5125" t="inlineStr">
        <is>
          <t>SEC</t>
        </is>
      </c>
    </row>
    <row r="5126">
      <c r="A5126" s="5">
        <f>HYPERLINK("https://finance.yahoo.com/quote/RSF","RSF")</f>
        <v/>
      </c>
      <c r="B5126" t="inlineStr">
        <is>
          <t>RiverNorth Capital &amp; Income Fund, Inc.</t>
        </is>
      </c>
      <c r="C5126" t="inlineStr">
        <is>
          <t>NYSE</t>
        </is>
      </c>
      <c r="D5126" t="n">
        <v>1644771</v>
      </c>
      <c r="E5126" t="inlineStr">
        <is>
          <t>SEC</t>
        </is>
      </c>
    </row>
    <row r="5127">
      <c r="A5127" s="5">
        <f>HYPERLINK("https://finance.yahoo.com/quote/MYO","MYO")</f>
        <v/>
      </c>
      <c r="B5127" t="inlineStr">
        <is>
          <t>MYOMO, INC.</t>
        </is>
      </c>
      <c r="C5127" t="inlineStr">
        <is>
          <t>NYSE</t>
        </is>
      </c>
      <c r="D5127" t="n">
        <v>1369290</v>
      </c>
      <c r="E5127" t="inlineStr">
        <is>
          <t>SEC</t>
        </is>
      </c>
    </row>
    <row r="5128">
      <c r="A5128" s="5">
        <f>HYPERLINK("https://finance.yahoo.com/quote/CAST","CAST")</f>
        <v/>
      </c>
      <c r="B5128" t="inlineStr">
        <is>
          <t>FreeCast, Inc.</t>
        </is>
      </c>
      <c r="C5128" t="inlineStr">
        <is>
          <t>Nasdaq</t>
        </is>
      </c>
      <c r="D5128" t="n">
        <v>1633369</v>
      </c>
      <c r="E5128" t="inlineStr">
        <is>
          <t>SEC</t>
        </is>
      </c>
    </row>
    <row r="5129">
      <c r="A5129" s="5">
        <f>HYPERLINK("https://finance.yahoo.com/quote/BEWFF","BEWFF")</f>
        <v/>
      </c>
      <c r="B5129" t="inlineStr">
        <is>
          <t>BEWHERE HOLDINGS INC</t>
        </is>
      </c>
      <c r="C5129" t="inlineStr">
        <is>
          <t>OTC</t>
        </is>
      </c>
      <c r="D5129" t="n">
        <v>1113152</v>
      </c>
      <c r="E5129" t="inlineStr">
        <is>
          <t>SEC</t>
        </is>
      </c>
    </row>
    <row r="5130">
      <c r="A5130" s="5">
        <f>HYPERLINK("https://finance.yahoo.com/quote/WATT","WATT")</f>
        <v/>
      </c>
      <c r="B5130" t="inlineStr">
        <is>
          <t>Energous Corp</t>
        </is>
      </c>
      <c r="C5130" t="inlineStr">
        <is>
          <t>Nasdaq</t>
        </is>
      </c>
      <c r="D5130" t="n">
        <v>1575793</v>
      </c>
      <c r="E5130" t="inlineStr">
        <is>
          <t>SEC</t>
        </is>
      </c>
    </row>
    <row r="5131">
      <c r="A5131" s="5">
        <f>HYPERLINK("https://finance.yahoo.com/quote/BATL","BATL")</f>
        <v/>
      </c>
      <c r="B5131" t="inlineStr">
        <is>
          <t>BATTALION OIL CORP</t>
        </is>
      </c>
      <c r="C5131" t="inlineStr">
        <is>
          <t>NYSE</t>
        </is>
      </c>
      <c r="D5131" t="n">
        <v>1282648</v>
      </c>
      <c r="E5131" t="inlineStr">
        <is>
          <t>SEC</t>
        </is>
      </c>
    </row>
    <row r="5132">
      <c r="A5132" s="5">
        <f>HYPERLINK("https://finance.yahoo.com/quote/ZONE","ZONE")</f>
        <v/>
      </c>
      <c r="B5132" t="inlineStr">
        <is>
          <t>Zone Frontier Inc.</t>
        </is>
      </c>
      <c r="C5132" t="inlineStr">
        <is>
          <t>NYSE</t>
        </is>
      </c>
      <c r="D5132" t="n">
        <v>1956741</v>
      </c>
      <c r="E5132" t="inlineStr">
        <is>
          <t>SEC</t>
        </is>
      </c>
    </row>
    <row r="5133">
      <c r="A5133" s="5">
        <f>HYPERLINK("https://finance.yahoo.com/quote/SMJF","SMJF")</f>
        <v/>
      </c>
      <c r="B5133" t="inlineStr">
        <is>
          <t>SMJ International Holdings Inc.</t>
        </is>
      </c>
      <c r="C5133" t="inlineStr">
        <is>
          <t>NYSE</t>
        </is>
      </c>
      <c r="D5133" t="n">
        <v>2070954</v>
      </c>
      <c r="E5133" t="inlineStr">
        <is>
          <t>SEC</t>
        </is>
      </c>
    </row>
    <row r="5134">
      <c r="A5134" s="5">
        <f>HYPERLINK("https://finance.yahoo.com/quote/SCOR","SCOR")</f>
        <v/>
      </c>
      <c r="B5134" t="inlineStr">
        <is>
          <t>COMSCORE, INC.</t>
        </is>
      </c>
      <c r="C5134" t="inlineStr">
        <is>
          <t>Nasdaq</t>
        </is>
      </c>
      <c r="D5134" t="n">
        <v>1158172</v>
      </c>
      <c r="E5134" t="inlineStr">
        <is>
          <t>SEC</t>
        </is>
      </c>
    </row>
    <row r="5135">
      <c r="A5135" s="5">
        <f>HYPERLINK("https://finance.yahoo.com/quote/ANTA","ANTA")</f>
        <v/>
      </c>
      <c r="B5135" t="inlineStr">
        <is>
          <t>Antalpha Platform Holding Co</t>
        </is>
      </c>
      <c r="C5135" t="inlineStr">
        <is>
          <t>Nasdaq</t>
        </is>
      </c>
      <c r="D5135" t="n">
        <v>2044255</v>
      </c>
      <c r="E5135" t="inlineStr">
        <is>
          <t>SEC</t>
        </is>
      </c>
    </row>
    <row r="5136">
      <c r="A5136" s="5">
        <f>HYPERLINK("https://finance.yahoo.com/quote/MATH","MATH")</f>
        <v/>
      </c>
      <c r="B5136" t="inlineStr">
        <is>
          <t>Metalpha Technology Holding Ltd</t>
        </is>
      </c>
      <c r="C5136" t="inlineStr">
        <is>
          <t>Nasdaq</t>
        </is>
      </c>
      <c r="D5136" t="n">
        <v>1682241</v>
      </c>
      <c r="E5136" t="inlineStr">
        <is>
          <t>SEC</t>
        </is>
      </c>
    </row>
    <row r="5137">
      <c r="A5137" s="5">
        <f>HYPERLINK("https://finance.yahoo.com/quote/DSWL","DSWL")</f>
        <v/>
      </c>
      <c r="B5137" t="inlineStr">
        <is>
          <t>DESWELL INDUSTRIES INC</t>
        </is>
      </c>
      <c r="C5137" t="inlineStr">
        <is>
          <t>Nasdaq</t>
        </is>
      </c>
      <c r="D5137" t="n">
        <v>946936</v>
      </c>
      <c r="E5137" t="inlineStr">
        <is>
          <t>SEC</t>
        </is>
      </c>
    </row>
    <row r="5138">
      <c r="A5138" s="5">
        <f>HYPERLINK("https://finance.yahoo.com/quote/NCTY","NCTY")</f>
        <v/>
      </c>
      <c r="B5138" t="inlineStr">
        <is>
          <t>The9 LTD</t>
        </is>
      </c>
      <c r="C5138" t="inlineStr">
        <is>
          <t>Nasdaq</t>
        </is>
      </c>
      <c r="D5138" t="n">
        <v>1296774</v>
      </c>
      <c r="E5138" t="inlineStr">
        <is>
          <t>SEC</t>
        </is>
      </c>
    </row>
    <row r="5139">
      <c r="A5139" s="5">
        <f>HYPERLINK("https://finance.yahoo.com/quote/AACG","AACG")</f>
        <v/>
      </c>
      <c r="B5139" t="inlineStr">
        <is>
          <t>ATA Creativity Global</t>
        </is>
      </c>
      <c r="C5139" t="inlineStr">
        <is>
          <t>Nasdaq</t>
        </is>
      </c>
      <c r="D5139" t="n">
        <v>1420529</v>
      </c>
      <c r="E5139" t="inlineStr">
        <is>
          <t>SEC</t>
        </is>
      </c>
    </row>
    <row r="5140">
      <c r="A5140" s="5">
        <f>HYPERLINK("https://finance.yahoo.com/quote/IBIO","IBIO")</f>
        <v/>
      </c>
      <c r="B5140" t="inlineStr">
        <is>
          <t>iBio, Inc.</t>
        </is>
      </c>
      <c r="C5140" t="inlineStr">
        <is>
          <t>Nasdaq</t>
        </is>
      </c>
      <c r="D5140" t="n">
        <v>1420720</v>
      </c>
      <c r="E5140" t="inlineStr">
        <is>
          <t>SEC</t>
        </is>
      </c>
    </row>
    <row r="5141">
      <c r="A5141" s="5">
        <f>HYPERLINK("https://finance.yahoo.com/quote/YHNA","YHNA")</f>
        <v/>
      </c>
      <c r="B5141" t="inlineStr">
        <is>
          <t>YHN Acquisition I Ltd</t>
        </is>
      </c>
      <c r="C5141" t="inlineStr">
        <is>
          <t>Nasdaq</t>
        </is>
      </c>
      <c r="D5141" t="n">
        <v>2020987</v>
      </c>
      <c r="E5141" t="inlineStr">
        <is>
          <t>SEC</t>
        </is>
      </c>
    </row>
    <row r="5142">
      <c r="A5142" s="5">
        <f>HYPERLINK("https://finance.yahoo.com/quote/CNTB","CNTB")</f>
        <v/>
      </c>
      <c r="B5142" t="inlineStr">
        <is>
          <t>Connect Biopharma Holdings Ltd</t>
        </is>
      </c>
      <c r="C5142" t="inlineStr">
        <is>
          <t>Nasdaq</t>
        </is>
      </c>
      <c r="D5142" t="n">
        <v>1835268</v>
      </c>
      <c r="E5142" t="inlineStr">
        <is>
          <t>SEC</t>
        </is>
      </c>
    </row>
    <row r="5143">
      <c r="A5143" s="5">
        <f>HYPERLINK("https://finance.yahoo.com/quote/MNTS","MNTS")</f>
        <v/>
      </c>
      <c r="B5143" t="inlineStr">
        <is>
          <t>Momentus Inc.</t>
        </is>
      </c>
      <c r="C5143" t="inlineStr">
        <is>
          <t>Nasdaq</t>
        </is>
      </c>
      <c r="D5143" t="n">
        <v>1781162</v>
      </c>
      <c r="E5143" t="inlineStr">
        <is>
          <t>SEC</t>
        </is>
      </c>
    </row>
    <row r="5144">
      <c r="A5144" s="5">
        <f>HYPERLINK("https://finance.yahoo.com/quote/BGSF","BGSF")</f>
        <v/>
      </c>
      <c r="B5144" t="inlineStr">
        <is>
          <t>BGSF, INC.</t>
        </is>
      </c>
      <c r="C5144" t="inlineStr">
        <is>
          <t>NYSE</t>
        </is>
      </c>
      <c r="D5144" t="n">
        <v>1474903</v>
      </c>
      <c r="E5144" t="inlineStr">
        <is>
          <t>SEC</t>
        </is>
      </c>
    </row>
    <row r="5145">
      <c r="A5145" s="5">
        <f>HYPERLINK("https://finance.yahoo.com/quote/LEEEF","LEEEF")</f>
        <v/>
      </c>
      <c r="B5145" t="inlineStr">
        <is>
          <t>Leef Brands Inc.</t>
        </is>
      </c>
      <c r="C5145" t="inlineStr">
        <is>
          <t>OTC</t>
        </is>
      </c>
      <c r="D5145" t="n">
        <v>1711141</v>
      </c>
      <c r="E5145" t="inlineStr">
        <is>
          <t>SEC</t>
        </is>
      </c>
    </row>
    <row r="5146">
      <c r="A5146" s="5">
        <f>HYPERLINK("https://finance.yahoo.com/quote/USPCY","USPCY")</f>
        <v/>
      </c>
      <c r="B5146" t="inlineStr">
        <is>
          <t>China Strategic Technology Group Limited/ADR</t>
        </is>
      </c>
      <c r="C5146" t="inlineStr">
        <is>
          <t>OTC</t>
        </is>
      </c>
      <c r="D5146" t="n">
        <v>1939479</v>
      </c>
      <c r="E5146" t="inlineStr">
        <is>
          <t>SEC</t>
        </is>
      </c>
    </row>
    <row r="5147">
      <c r="A5147" s="5">
        <f>HYPERLINK("https://finance.yahoo.com/quote/ATNM","ATNM")</f>
        <v/>
      </c>
      <c r="B5147" t="inlineStr">
        <is>
          <t>Actinium Pharmaceuticals, Inc.</t>
        </is>
      </c>
      <c r="C5147" t="inlineStr">
        <is>
          <t>NYSE</t>
        </is>
      </c>
      <c r="D5147" t="n">
        <v>1388320</v>
      </c>
      <c r="E5147" t="inlineStr">
        <is>
          <t>SEC</t>
        </is>
      </c>
    </row>
    <row r="5148">
      <c r="A5148" s="5">
        <f>HYPERLINK("https://finance.yahoo.com/quote/ISTKF","ISTKF")</f>
        <v/>
      </c>
      <c r="B5148" t="inlineStr">
        <is>
          <t>Intellistake Technologies Corp.</t>
        </is>
      </c>
      <c r="C5148" t="inlineStr">
        <is>
          <t>OTC</t>
        </is>
      </c>
      <c r="D5148" t="n">
        <v>1678748</v>
      </c>
      <c r="E5148" t="inlineStr">
        <is>
          <t>SEC</t>
        </is>
      </c>
    </row>
    <row r="5149">
      <c r="A5149" s="5">
        <f>HYPERLINK("https://finance.yahoo.com/quote/COCH","COCH")</f>
        <v/>
      </c>
      <c r="B5149" t="inlineStr">
        <is>
          <t>Envoy Medical, Inc.</t>
        </is>
      </c>
      <c r="C5149" t="inlineStr">
        <is>
          <t>Nasdaq</t>
        </is>
      </c>
      <c r="D5149" t="n">
        <v>1840877</v>
      </c>
      <c r="E5149" t="inlineStr">
        <is>
          <t>SEC</t>
        </is>
      </c>
    </row>
    <row r="5150">
      <c r="A5150" s="5">
        <f>HYPERLINK("https://finance.yahoo.com/quote/SCIA","SCIA")</f>
        <v/>
      </c>
      <c r="B5150" t="inlineStr">
        <is>
          <t>SCI Engineered Materials, Inc.</t>
        </is>
      </c>
      <c r="C5150" t="inlineStr">
        <is>
          <t>OTC</t>
        </is>
      </c>
      <c r="D5150" t="n">
        <v>830616</v>
      </c>
      <c r="E5150" t="inlineStr">
        <is>
          <t>SEC</t>
        </is>
      </c>
    </row>
    <row r="5151">
      <c r="A5151" s="5">
        <f>HYPERLINK("https://finance.yahoo.com/quote/POCI","POCI")</f>
        <v/>
      </c>
      <c r="B5151" t="inlineStr">
        <is>
          <t>PRECISION OPTICS CORPORATION, INC.</t>
        </is>
      </c>
      <c r="C5151" t="inlineStr">
        <is>
          <t>Nasdaq</t>
        </is>
      </c>
      <c r="D5151" t="n">
        <v>867840</v>
      </c>
      <c r="E5151" t="inlineStr">
        <is>
          <t>SEC</t>
        </is>
      </c>
    </row>
    <row r="5152">
      <c r="A5152" s="5">
        <f>HYPERLINK("https://finance.yahoo.com/quote/PLLMF","PLLMF")</f>
        <v/>
      </c>
      <c r="B5152" t="inlineStr">
        <is>
          <t>EDGE COPPER Corp</t>
        </is>
      </c>
      <c r="C5152" t="inlineStr">
        <is>
          <t>OTC</t>
        </is>
      </c>
      <c r="D5152" t="n">
        <v>1570505</v>
      </c>
      <c r="E5152" t="inlineStr">
        <is>
          <t>SEC</t>
        </is>
      </c>
    </row>
    <row r="5153">
      <c r="A5153" s="5">
        <f>HYPERLINK("https://finance.yahoo.com/quote/CYPA","CYPA")</f>
        <v/>
      </c>
      <c r="B5153" t="inlineStr">
        <is>
          <t>Cyphaira Corp.</t>
        </is>
      </c>
      <c r="C5153" t="inlineStr">
        <is>
          <t>OTC</t>
        </is>
      </c>
      <c r="D5153" t="n">
        <v>1917993</v>
      </c>
      <c r="E5153" t="inlineStr">
        <is>
          <t>SEC</t>
        </is>
      </c>
    </row>
    <row r="5154">
      <c r="A5154" s="5">
        <f>HYPERLINK("https://finance.yahoo.com/quote/FSP","FSP")</f>
        <v/>
      </c>
      <c r="B5154" t="inlineStr">
        <is>
          <t>FRANKLIN STREET PROPERTIES CORP /MA/</t>
        </is>
      </c>
      <c r="C5154" t="inlineStr">
        <is>
          <t>NYSE</t>
        </is>
      </c>
      <c r="D5154" t="n">
        <v>1031316</v>
      </c>
      <c r="E5154" t="inlineStr">
        <is>
          <t>SEC</t>
        </is>
      </c>
    </row>
    <row r="5155">
      <c r="A5155" s="5">
        <f>HYPERLINK("https://finance.yahoo.com/quote/LIDR","LIDR")</f>
        <v/>
      </c>
      <c r="B5155" t="inlineStr">
        <is>
          <t>AEye, Inc.</t>
        </is>
      </c>
      <c r="C5155" t="inlineStr">
        <is>
          <t>Nasdaq</t>
        </is>
      </c>
      <c r="D5155" t="n">
        <v>1818644</v>
      </c>
      <c r="E5155" t="inlineStr">
        <is>
          <t>SEC</t>
        </is>
      </c>
    </row>
    <row r="5156">
      <c r="A5156" s="5">
        <f>HYPERLINK("https://finance.yahoo.com/quote/XPL","XPL")</f>
        <v/>
      </c>
      <c r="B5156" t="inlineStr">
        <is>
          <t>SOLITARIO RESOURCES CORP.</t>
        </is>
      </c>
      <c r="C5156" t="inlineStr">
        <is>
          <t>NYSE</t>
        </is>
      </c>
      <c r="D5156" t="n">
        <v>917225</v>
      </c>
      <c r="E5156" t="inlineStr">
        <is>
          <t>SEC</t>
        </is>
      </c>
    </row>
    <row r="5157">
      <c r="A5157" s="5">
        <f>HYPERLINK("https://finance.yahoo.com/quote/FMY","FMY")</f>
        <v/>
      </c>
      <c r="B5157" t="inlineStr">
        <is>
          <t>FIRST TRUST MORTGAGE INCOME FUND</t>
        </is>
      </c>
      <c r="C5157" t="inlineStr">
        <is>
          <t>NYSE</t>
        </is>
      </c>
      <c r="D5157" t="n">
        <v>1319183</v>
      </c>
      <c r="E5157" t="inlineStr">
        <is>
          <t>SEC</t>
        </is>
      </c>
    </row>
    <row r="5158">
      <c r="A5158" s="5">
        <f>HYPERLINK("https://finance.yahoo.com/quote/CATO","CATO")</f>
        <v/>
      </c>
      <c r="B5158" t="inlineStr">
        <is>
          <t>CATO CORP</t>
        </is>
      </c>
      <c r="C5158" t="inlineStr">
        <is>
          <t>NYSE</t>
        </is>
      </c>
      <c r="D5158" t="n">
        <v>18255</v>
      </c>
      <c r="E5158" t="inlineStr">
        <is>
          <t>SEC</t>
        </is>
      </c>
    </row>
    <row r="5159">
      <c r="A5159" s="5">
        <f>HYPERLINK("https://finance.yahoo.com/quote/TLTFF","TLTFF")</f>
        <v/>
      </c>
      <c r="B5159" t="inlineStr">
        <is>
          <t>THERALASE TECHNOLOGIES INC /FI</t>
        </is>
      </c>
      <c r="C5159" t="inlineStr">
        <is>
          <t>OTC</t>
        </is>
      </c>
      <c r="D5159" t="n">
        <v>923883</v>
      </c>
      <c r="E5159" t="inlineStr">
        <is>
          <t>SEC</t>
        </is>
      </c>
    </row>
    <row r="5160">
      <c r="A5160" s="5">
        <f>HYPERLINK("https://finance.yahoo.com/quote/IMA","IMA")</f>
        <v/>
      </c>
      <c r="B5160" t="inlineStr">
        <is>
          <t>ImageneBio, Inc.</t>
        </is>
      </c>
      <c r="C5160" t="inlineStr">
        <is>
          <t>Nasdaq</t>
        </is>
      </c>
      <c r="D5160" t="n">
        <v>1835579</v>
      </c>
      <c r="E5160" t="inlineStr">
        <is>
          <t>SEC</t>
        </is>
      </c>
    </row>
    <row r="5161">
      <c r="A5161" s="5">
        <f>HYPERLINK("https://finance.yahoo.com/quote/MDAI","MDAI")</f>
        <v/>
      </c>
      <c r="B5161" t="inlineStr">
        <is>
          <t>Spectral AI, Inc.</t>
        </is>
      </c>
      <c r="C5161" t="inlineStr">
        <is>
          <t>Nasdaq</t>
        </is>
      </c>
      <c r="D5161" t="n">
        <v>1833498</v>
      </c>
      <c r="E5161" t="inlineStr">
        <is>
          <t>SEC</t>
        </is>
      </c>
    </row>
    <row r="5162">
      <c r="A5162" s="5">
        <f>HYPERLINK("https://finance.yahoo.com/quote/VGAS","VGAS")</f>
        <v/>
      </c>
      <c r="B5162" t="inlineStr">
        <is>
          <t>Verde Clean Fuels, Inc.</t>
        </is>
      </c>
      <c r="C5162" t="inlineStr">
        <is>
          <t>Nasdaq</t>
        </is>
      </c>
      <c r="D5162" t="n">
        <v>1841425</v>
      </c>
      <c r="E5162" t="inlineStr">
        <is>
          <t>SEC</t>
        </is>
      </c>
    </row>
    <row r="5163">
      <c r="A5163" s="5">
        <f>HYPERLINK("https://finance.yahoo.com/quote/AIOK","AIOK")</f>
        <v/>
      </c>
      <c r="B5163" t="inlineStr">
        <is>
          <t>AI OKTO Corp.</t>
        </is>
      </c>
      <c r="C5163" t="inlineStr">
        <is>
          <t>Nasdaq</t>
        </is>
      </c>
      <c r="D5163" t="n">
        <v>2095591</v>
      </c>
      <c r="E5163" t="inlineStr">
        <is>
          <t>SEC</t>
        </is>
      </c>
    </row>
    <row r="5164">
      <c r="A5164" s="5">
        <f>HYPERLINK("https://finance.yahoo.com/quote/LGO","LGO")</f>
        <v/>
      </c>
      <c r="B5164" t="inlineStr">
        <is>
          <t>Largo Inc.</t>
        </is>
      </c>
      <c r="C5164" t="inlineStr">
        <is>
          <t>Nasdaq</t>
        </is>
      </c>
      <c r="D5164" t="n">
        <v>1400438</v>
      </c>
      <c r="E5164" t="inlineStr">
        <is>
          <t>SEC</t>
        </is>
      </c>
    </row>
    <row r="5165">
      <c r="A5165" s="5">
        <f>HYPERLINK("https://finance.yahoo.com/quote/SOGP","SOGP")</f>
        <v/>
      </c>
      <c r="B5165" t="inlineStr">
        <is>
          <t>Sound Group Inc.</t>
        </is>
      </c>
      <c r="C5165" t="inlineStr">
        <is>
          <t>Nasdaq</t>
        </is>
      </c>
      <c r="D5165" t="n">
        <v>1783407</v>
      </c>
      <c r="E5165" t="inlineStr">
        <is>
          <t>SEC</t>
        </is>
      </c>
    </row>
    <row r="5166">
      <c r="A5166" s="5">
        <f>HYPERLINK("https://finance.yahoo.com/quote/NAMM","NAMM")</f>
        <v/>
      </c>
      <c r="B5166" t="inlineStr">
        <is>
          <t>Namib Minerals</t>
        </is>
      </c>
      <c r="C5166" t="inlineStr">
        <is>
          <t>Nasdaq</t>
        </is>
      </c>
      <c r="D5166" t="n">
        <v>2026514</v>
      </c>
      <c r="E5166" t="inlineStr">
        <is>
          <t>SEC</t>
        </is>
      </c>
    </row>
    <row r="5167">
      <c r="A5167" s="5">
        <f>HYPERLINK("https://finance.yahoo.com/quote/AVAT","AVAT")</f>
        <v/>
      </c>
      <c r="B5167" t="inlineStr">
        <is>
          <t>Avalanche Treasury Corp</t>
        </is>
      </c>
      <c r="C5167" t="inlineStr">
        <is>
          <t>Nasdaq</t>
        </is>
      </c>
      <c r="D5167" t="n">
        <v>2092446</v>
      </c>
      <c r="E5167" t="inlineStr">
        <is>
          <t>SEC</t>
        </is>
      </c>
    </row>
    <row r="5168">
      <c r="A5168" s="5">
        <f>HYPERLINK("https://finance.yahoo.com/quote/EQTRF","EQTRF")</f>
        <v/>
      </c>
      <c r="B5168" t="inlineStr">
        <is>
          <t>Altamira Gold Corp.</t>
        </is>
      </c>
      <c r="C5168" t="inlineStr">
        <is>
          <t>OTC</t>
        </is>
      </c>
      <c r="D5168" t="n">
        <v>1635729</v>
      </c>
      <c r="E5168" t="inlineStr">
        <is>
          <t>SEC</t>
        </is>
      </c>
    </row>
    <row r="5169">
      <c r="A5169" s="5">
        <f>HYPERLINK("https://finance.yahoo.com/quote/WATR","WATR")</f>
        <v/>
      </c>
      <c r="B5169" t="inlineStr">
        <is>
          <t>Air Water Ventures Ltd</t>
        </is>
      </c>
      <c r="C5169" t="inlineStr">
        <is>
          <t>Nasdaq</t>
        </is>
      </c>
      <c r="D5169" t="n">
        <v>2092314</v>
      </c>
      <c r="E5169" t="inlineStr">
        <is>
          <t>SEC</t>
        </is>
      </c>
    </row>
    <row r="5170">
      <c r="A5170" s="5">
        <f>HYPERLINK("https://finance.yahoo.com/quote/VMXXF","VMXXF")</f>
        <v/>
      </c>
      <c r="B5170" t="inlineStr">
        <is>
          <t>VALHALLA METALS INC.</t>
        </is>
      </c>
      <c r="C5170" t="inlineStr">
        <is>
          <t>OTC</t>
        </is>
      </c>
      <c r="D5170" t="n">
        <v>1594856</v>
      </c>
      <c r="E5170" t="inlineStr">
        <is>
          <t>SEC</t>
        </is>
      </c>
    </row>
    <row r="5171">
      <c r="A5171" s="5">
        <f>HYPERLINK("https://finance.yahoo.com/quote/VIP","VIP")</f>
        <v/>
      </c>
      <c r="B5171" t="inlineStr">
        <is>
          <t>Vulcan Infrastructure &amp; Power Inc.</t>
        </is>
      </c>
      <c r="C5171" t="inlineStr">
        <is>
          <t>Nasdaq</t>
        </is>
      </c>
      <c r="D5171" t="n">
        <v>1844971</v>
      </c>
      <c r="E5171" t="inlineStr">
        <is>
          <t>SEC</t>
        </is>
      </c>
    </row>
    <row r="5172">
      <c r="A5172" s="5">
        <f>HYPERLINK("https://finance.yahoo.com/quote/LONA","LONA")</f>
        <v/>
      </c>
      <c r="B5172" t="inlineStr">
        <is>
          <t>LeonaBio, Inc.</t>
        </is>
      </c>
      <c r="C5172" t="inlineStr">
        <is>
          <t>Nasdaq</t>
        </is>
      </c>
      <c r="D5172" t="n">
        <v>1620463</v>
      </c>
      <c r="E5172" t="inlineStr">
        <is>
          <t>SEC</t>
        </is>
      </c>
    </row>
    <row r="5173">
      <c r="A5173" s="5">
        <f>HYPERLINK("https://finance.yahoo.com/quote/KLRS","KLRS")</f>
        <v/>
      </c>
      <c r="B5173" t="inlineStr">
        <is>
          <t>Kalaris Therapeutics, Inc.</t>
        </is>
      </c>
      <c r="C5173" t="inlineStr">
        <is>
          <t>Nasdaq</t>
        </is>
      </c>
      <c r="D5173" t="n">
        <v>1754068</v>
      </c>
      <c r="E5173" t="inlineStr">
        <is>
          <t>SEC</t>
        </is>
      </c>
    </row>
    <row r="5174">
      <c r="A5174" s="5">
        <f>HYPERLINK("https://finance.yahoo.com/quote/SGMOQ","SGMOQ")</f>
        <v/>
      </c>
      <c r="B5174" t="inlineStr">
        <is>
          <t>SANGAMO THERAPEUTICS, INC</t>
        </is>
      </c>
      <c r="C5174" t="inlineStr">
        <is>
          <t>OTC</t>
        </is>
      </c>
      <c r="D5174" t="n">
        <v>1001233</v>
      </c>
      <c r="E5174" t="inlineStr">
        <is>
          <t>SEC</t>
        </is>
      </c>
    </row>
    <row r="5175">
      <c r="A5175" s="5">
        <f>HYPERLINK("https://finance.yahoo.com/quote/TGRGF","TGRGF")</f>
        <v/>
      </c>
      <c r="B5175" t="inlineStr">
        <is>
          <t>Tiger Gold Corp.</t>
        </is>
      </c>
      <c r="C5175" t="inlineStr">
        <is>
          <t>OTC</t>
        </is>
      </c>
      <c r="D5175" t="n">
        <v>2094900</v>
      </c>
      <c r="E5175" t="inlineStr">
        <is>
          <t>SEC</t>
        </is>
      </c>
    </row>
    <row r="5176">
      <c r="A5176" s="5">
        <f>HYPERLINK("https://finance.yahoo.com/quote/IPWR","IPWR")</f>
        <v/>
      </c>
      <c r="B5176" t="inlineStr">
        <is>
          <t>Ideal Power Inc.</t>
        </is>
      </c>
      <c r="C5176" t="inlineStr">
        <is>
          <t>Nasdaq</t>
        </is>
      </c>
      <c r="D5176" t="n">
        <v>1507957</v>
      </c>
      <c r="E5176" t="inlineStr">
        <is>
          <t>SEC</t>
        </is>
      </c>
    </row>
    <row r="5177">
      <c r="A5177" s="5">
        <f>HYPERLINK("https://finance.yahoo.com/quote/CULP","CULP")</f>
        <v/>
      </c>
      <c r="B5177" t="inlineStr">
        <is>
          <t>CULP INC</t>
        </is>
      </c>
      <c r="C5177" t="inlineStr">
        <is>
          <t>Nasdaq</t>
        </is>
      </c>
      <c r="D5177" t="n">
        <v>723603</v>
      </c>
      <c r="E5177" t="inlineStr">
        <is>
          <t>SEC</t>
        </is>
      </c>
    </row>
    <row r="5178">
      <c r="A5178" s="5">
        <f>HYPERLINK("https://finance.yahoo.com/quote/GROV","GROV")</f>
        <v/>
      </c>
      <c r="B5178" t="inlineStr">
        <is>
          <t>Grove Collaborative Holdings, Inc.</t>
        </is>
      </c>
      <c r="C5178" t="inlineStr">
        <is>
          <t>NYSE</t>
        </is>
      </c>
      <c r="D5178" t="n">
        <v>1841761</v>
      </c>
      <c r="E5178" t="inlineStr">
        <is>
          <t>SEC</t>
        </is>
      </c>
    </row>
    <row r="5179">
      <c r="A5179" s="5">
        <f>HYPERLINK("https://finance.yahoo.com/quote/AMCI","AMCI")</f>
        <v/>
      </c>
      <c r="B5179" t="inlineStr">
        <is>
          <t>AMC Robotics Corp</t>
        </is>
      </c>
      <c r="C5179" t="inlineStr">
        <is>
          <t>Nasdaq</t>
        </is>
      </c>
      <c r="D5179" t="n">
        <v>1937891</v>
      </c>
      <c r="E5179" t="inlineStr">
        <is>
          <t>SEC</t>
        </is>
      </c>
    </row>
    <row r="5180">
      <c r="A5180" s="5">
        <f>HYPERLINK("https://finance.yahoo.com/quote/NIPG","NIPG")</f>
        <v/>
      </c>
      <c r="B5180" t="inlineStr">
        <is>
          <t>NIP Group Inc.</t>
        </is>
      </c>
      <c r="C5180" t="inlineStr">
        <is>
          <t>Nasdaq</t>
        </is>
      </c>
      <c r="D5180" t="n">
        <v>1966233</v>
      </c>
      <c r="E5180" t="inlineStr">
        <is>
          <t>SEC</t>
        </is>
      </c>
    </row>
    <row r="5181">
      <c r="A5181" s="5">
        <f>HYPERLINK("https://finance.yahoo.com/quote/AGIG","AGIG")</f>
        <v/>
      </c>
      <c r="B5181" t="inlineStr">
        <is>
          <t>ABUNDIA GLOBAL IMPACT GROUP, INC.</t>
        </is>
      </c>
      <c r="C5181" t="inlineStr">
        <is>
          <t>NYSE</t>
        </is>
      </c>
      <c r="D5181" t="n">
        <v>1156041</v>
      </c>
      <c r="E5181" t="inlineStr">
        <is>
          <t>SEC</t>
        </is>
      </c>
    </row>
    <row r="5182">
      <c r="A5182" s="5">
        <f>HYPERLINK("https://finance.yahoo.com/quote/RDEXF","RDEXF")</f>
        <v/>
      </c>
      <c r="B5182" t="inlineStr">
        <is>
          <t>RPX Gold Inc.</t>
        </is>
      </c>
      <c r="C5182" t="inlineStr">
        <is>
          <t>OTC</t>
        </is>
      </c>
      <c r="D5182" t="n">
        <v>1856082</v>
      </c>
      <c r="E5182" t="inlineStr">
        <is>
          <t>SEC</t>
        </is>
      </c>
    </row>
    <row r="5183">
      <c r="A5183" s="5">
        <f>HYPERLINK("https://finance.yahoo.com/quote/NRRSF","NRRSF")</f>
        <v/>
      </c>
      <c r="B5183" t="inlineStr">
        <is>
          <t>Norsemont Mining Inc.</t>
        </is>
      </c>
      <c r="C5183" t="inlineStr">
        <is>
          <t>OTC</t>
        </is>
      </c>
      <c r="D5183" t="n">
        <v>1778940</v>
      </c>
      <c r="E5183" t="inlineStr">
        <is>
          <t>SEC</t>
        </is>
      </c>
    </row>
    <row r="5184">
      <c r="A5184" s="5">
        <f>HYPERLINK("https://finance.yahoo.com/quote/TELA","TELA")</f>
        <v/>
      </c>
      <c r="B5184" t="inlineStr">
        <is>
          <t>TELA Bio, Inc.</t>
        </is>
      </c>
      <c r="C5184" t="inlineStr">
        <is>
          <t>Nasdaq</t>
        </is>
      </c>
      <c r="D5184" t="n">
        <v>1561921</v>
      </c>
      <c r="E5184" t="inlineStr">
        <is>
          <t>SEC</t>
        </is>
      </c>
    </row>
    <row r="5185">
      <c r="A5185" s="5">
        <f>HYPERLINK("https://finance.yahoo.com/quote/SNWV","SNWV")</f>
        <v/>
      </c>
      <c r="B5185" t="inlineStr">
        <is>
          <t>SANUWAVE Health, Inc.</t>
        </is>
      </c>
      <c r="C5185" t="inlineStr">
        <is>
          <t>Nasdaq</t>
        </is>
      </c>
      <c r="D5185" t="n">
        <v>1417663</v>
      </c>
      <c r="E5185" t="inlineStr">
        <is>
          <t>SEC</t>
        </is>
      </c>
    </row>
    <row r="5186">
      <c r="A5186" s="5">
        <f>HYPERLINK("https://finance.yahoo.com/quote/ELTK","ELTK")</f>
        <v/>
      </c>
      <c r="B5186" t="inlineStr">
        <is>
          <t>ELTEK LTD</t>
        </is>
      </c>
      <c r="C5186" t="inlineStr">
        <is>
          <t>Nasdaq</t>
        </is>
      </c>
      <c r="D5186" t="n">
        <v>1024672</v>
      </c>
      <c r="E5186" t="inlineStr">
        <is>
          <t>SEC</t>
        </is>
      </c>
    </row>
    <row r="5187">
      <c r="A5187" s="5">
        <f>HYPERLINK("https://finance.yahoo.com/quote/GRSD","GRSD")</f>
        <v/>
      </c>
      <c r="B5187" t="inlineStr">
        <is>
          <t>GRANDSTAND Ltd</t>
        </is>
      </c>
      <c r="C5187" t="inlineStr">
        <is>
          <t>Nasdaq</t>
        </is>
      </c>
      <c r="D5187" t="n">
        <v>1839799</v>
      </c>
      <c r="E5187" t="inlineStr">
        <is>
          <t>SEC</t>
        </is>
      </c>
    </row>
    <row r="5188">
      <c r="A5188" s="5">
        <f>HYPERLINK("https://finance.yahoo.com/quote/ATHE","ATHE")</f>
        <v/>
      </c>
      <c r="B5188" t="inlineStr">
        <is>
          <t>ALTERITY THERAPEUTICS LTD</t>
        </is>
      </c>
      <c r="C5188" t="inlineStr">
        <is>
          <t>Nasdaq</t>
        </is>
      </c>
      <c r="D5188" t="n">
        <v>1131343</v>
      </c>
      <c r="E5188" t="inlineStr">
        <is>
          <t>SEC</t>
        </is>
      </c>
    </row>
    <row r="5189">
      <c r="A5189" s="5">
        <f>HYPERLINK("https://finance.yahoo.com/quote/MREO","MREO")</f>
        <v/>
      </c>
      <c r="B5189" t="inlineStr">
        <is>
          <t>Mereo BioPharma Group plc</t>
        </is>
      </c>
      <c r="C5189" t="inlineStr">
        <is>
          <t>Nasdaq</t>
        </is>
      </c>
      <c r="D5189" t="n">
        <v>1719714</v>
      </c>
      <c r="E5189" t="inlineStr">
        <is>
          <t>SEC</t>
        </is>
      </c>
    </row>
    <row r="5190">
      <c r="A5190" s="5">
        <f>HYPERLINK("https://finance.yahoo.com/quote/BMEA","BMEA")</f>
        <v/>
      </c>
      <c r="B5190" t="inlineStr">
        <is>
          <t>Biomea Fusion, Inc.</t>
        </is>
      </c>
      <c r="C5190" t="inlineStr">
        <is>
          <t>Nasdaq</t>
        </is>
      </c>
      <c r="D5190" t="n">
        <v>1840439</v>
      </c>
      <c r="E5190" t="inlineStr">
        <is>
          <t>SEC</t>
        </is>
      </c>
    </row>
    <row r="5191">
      <c r="A5191" s="5">
        <f>HYPERLINK("https://finance.yahoo.com/quote/MYPS","MYPS")</f>
        <v/>
      </c>
      <c r="B5191" t="inlineStr">
        <is>
          <t>PLAYSTUDIOS, Inc.</t>
        </is>
      </c>
      <c r="C5191" t="inlineStr">
        <is>
          <t>Nasdaq</t>
        </is>
      </c>
      <c r="D5191" t="n">
        <v>1823878</v>
      </c>
      <c r="E5191" t="inlineStr">
        <is>
          <t>SEC</t>
        </is>
      </c>
    </row>
    <row r="5192">
      <c r="A5192" s="5">
        <f>HYPERLINK("https://finance.yahoo.com/quote/SER","SER")</f>
        <v/>
      </c>
      <c r="B5192" t="inlineStr">
        <is>
          <t>Serina Therapeutics, Inc.</t>
        </is>
      </c>
      <c r="C5192" t="inlineStr">
        <is>
          <t>NYSE</t>
        </is>
      </c>
      <c r="D5192" t="n">
        <v>1708599</v>
      </c>
      <c r="E5192" t="inlineStr">
        <is>
          <t>SEC</t>
        </is>
      </c>
    </row>
    <row r="5193">
      <c r="A5193" s="5">
        <f>HYPERLINK("https://finance.yahoo.com/quote/JG","JG")</f>
        <v/>
      </c>
      <c r="B5193" t="inlineStr">
        <is>
          <t>Aurora Mobile Ltd</t>
        </is>
      </c>
      <c r="C5193" t="inlineStr">
        <is>
          <t>Nasdaq</t>
        </is>
      </c>
      <c r="D5193" t="n">
        <v>1737339</v>
      </c>
      <c r="E5193" t="inlineStr">
        <is>
          <t>SEC</t>
        </is>
      </c>
    </row>
    <row r="5194">
      <c r="A5194" s="5">
        <f>HYPERLINK("https://finance.yahoo.com/quote/BYAH","BYAH")</f>
        <v/>
      </c>
      <c r="B5194" t="inlineStr">
        <is>
          <t>Park Ha Biological Technology Co., Ltd.</t>
        </is>
      </c>
      <c r="C5194" t="inlineStr">
        <is>
          <t>Nasdaq</t>
        </is>
      </c>
      <c r="D5194" t="n">
        <v>1986247</v>
      </c>
      <c r="E5194" t="inlineStr">
        <is>
          <t>SEC</t>
        </is>
      </c>
    </row>
    <row r="5195">
      <c r="A5195" s="5">
        <f>HYPERLINK("https://finance.yahoo.com/quote/FRMM","FRMM")</f>
        <v/>
      </c>
      <c r="B5195" t="inlineStr">
        <is>
          <t>FORUM MARKETS Inc</t>
        </is>
      </c>
      <c r="C5195" t="inlineStr">
        <is>
          <t>Nasdaq</t>
        </is>
      </c>
      <c r="D5195" t="n">
        <v>1690080</v>
      </c>
      <c r="E5195" t="inlineStr">
        <is>
          <t>SEC</t>
        </is>
      </c>
    </row>
    <row r="5196">
      <c r="A5196" s="5">
        <f>HYPERLINK("https://finance.yahoo.com/quote/ESGH","ESGH")</f>
        <v/>
      </c>
      <c r="B5196" t="inlineStr">
        <is>
          <t>ESG Inc.</t>
        </is>
      </c>
      <c r="C5196" t="inlineStr">
        <is>
          <t>OTC</t>
        </is>
      </c>
      <c r="D5196" t="n">
        <v>1883835</v>
      </c>
      <c r="E5196" t="inlineStr">
        <is>
          <t>SEC</t>
        </is>
      </c>
    </row>
    <row r="5197">
      <c r="A5197" s="5">
        <f>HYPERLINK("https://finance.yahoo.com/quote/MBBC","MBBC")</f>
        <v/>
      </c>
      <c r="B5197" t="inlineStr">
        <is>
          <t>Marathon Bancorp, Inc. /MD/</t>
        </is>
      </c>
      <c r="C5197" t="inlineStr">
        <is>
          <t>Nasdaq</t>
        </is>
      </c>
      <c r="D5197" t="n">
        <v>1835385</v>
      </c>
      <c r="E5197" t="inlineStr">
        <is>
          <t>SEC</t>
        </is>
      </c>
    </row>
    <row r="5198">
      <c r="A5198" s="5">
        <f>HYPERLINK("https://finance.yahoo.com/quote/ODYS","ODYS")</f>
        <v/>
      </c>
      <c r="B5198" t="inlineStr">
        <is>
          <t>Odysight.ai Inc.</t>
        </is>
      </c>
      <c r="C5198" t="inlineStr">
        <is>
          <t>Nasdaq</t>
        </is>
      </c>
      <c r="D5198" t="n">
        <v>1577445</v>
      </c>
      <c r="E5198" t="inlineStr">
        <is>
          <t>SEC</t>
        </is>
      </c>
    </row>
    <row r="5199">
      <c r="A5199" s="5">
        <f>HYPERLINK("https://finance.yahoo.com/quote/HGBL","HGBL")</f>
        <v/>
      </c>
      <c r="B5199" t="inlineStr">
        <is>
          <t>Heritage Global Inc.</t>
        </is>
      </c>
      <c r="C5199" t="inlineStr">
        <is>
          <t>Nasdaq</t>
        </is>
      </c>
      <c r="D5199" t="n">
        <v>849145</v>
      </c>
      <c r="E5199" t="inlineStr">
        <is>
          <t>SEC</t>
        </is>
      </c>
    </row>
    <row r="5200">
      <c r="A5200" s="5">
        <f>HYPERLINK("https://finance.yahoo.com/quote/ACFN","ACFN")</f>
        <v/>
      </c>
      <c r="B5200" t="inlineStr">
        <is>
          <t>ACORN ENERGY, INC.</t>
        </is>
      </c>
      <c r="C5200" t="inlineStr">
        <is>
          <t>Nasdaq</t>
        </is>
      </c>
      <c r="D5200" t="n">
        <v>880984</v>
      </c>
      <c r="E5200" t="inlineStr">
        <is>
          <t>SEC</t>
        </is>
      </c>
    </row>
    <row r="5201">
      <c r="A5201" s="5">
        <f>HYPERLINK("https://finance.yahoo.com/quote/RMXI","RMXI")</f>
        <v/>
      </c>
      <c r="B5201" t="inlineStr">
        <is>
          <t>RMX INDUSTRIES, INC.</t>
        </is>
      </c>
      <c r="C5201" t="inlineStr">
        <is>
          <t>OTC</t>
        </is>
      </c>
      <c r="D5201" t="n">
        <v>1970743</v>
      </c>
      <c r="E5201" t="inlineStr">
        <is>
          <t>SEC</t>
        </is>
      </c>
    </row>
    <row r="5202">
      <c r="A5202" s="5">
        <f>HYPERLINK("https://finance.yahoo.com/quote/PROP","PROP")</f>
        <v/>
      </c>
      <c r="B5202" t="inlineStr">
        <is>
          <t>Prairie Operating Co.</t>
        </is>
      </c>
      <c r="C5202" t="inlineStr">
        <is>
          <t>Nasdaq</t>
        </is>
      </c>
      <c r="D5202" t="n">
        <v>1162896</v>
      </c>
      <c r="E5202" t="inlineStr">
        <is>
          <t>SEC</t>
        </is>
      </c>
    </row>
    <row r="5203">
      <c r="A5203" s="5">
        <f>HYPERLINK("https://finance.yahoo.com/quote/GUER","GUER")</f>
        <v/>
      </c>
      <c r="B5203" t="inlineStr">
        <is>
          <t>Guerrilla RF, Inc.</t>
        </is>
      </c>
      <c r="C5203" t="inlineStr">
        <is>
          <t>OTC</t>
        </is>
      </c>
      <c r="D5203" t="n">
        <v>1832487</v>
      </c>
      <c r="E5203" t="inlineStr">
        <is>
          <t>SEC</t>
        </is>
      </c>
    </row>
    <row r="5204">
      <c r="A5204" s="5">
        <f>HYPERLINK("https://finance.yahoo.com/quote/QETA","QETA")</f>
        <v/>
      </c>
      <c r="B5204" t="inlineStr">
        <is>
          <t>Quetta Acquisition Corp</t>
        </is>
      </c>
      <c r="C5204" t="inlineStr">
        <is>
          <t>OTC</t>
        </is>
      </c>
      <c r="D5204" t="n">
        <v>1978528</v>
      </c>
      <c r="E5204" t="inlineStr">
        <is>
          <t>SEC</t>
        </is>
      </c>
    </row>
    <row r="5205">
      <c r="A5205" s="5">
        <f>HYPERLINK("https://finance.yahoo.com/quote/NXB","NXB")</f>
        <v/>
      </c>
      <c r="B5205" t="inlineStr">
        <is>
          <t>NextBoat Inc.</t>
        </is>
      </c>
      <c r="C5205" t="inlineStr">
        <is>
          <t>NYSE</t>
        </is>
      </c>
      <c r="D5205" t="n">
        <v>2067767</v>
      </c>
      <c r="E5205" t="inlineStr">
        <is>
          <t>SEC</t>
        </is>
      </c>
    </row>
    <row r="5206">
      <c r="A5206" s="5">
        <f>HYPERLINK("https://finance.yahoo.com/quote/HYPD","HYPD")</f>
        <v/>
      </c>
      <c r="B5206" t="inlineStr">
        <is>
          <t>HYPERION DEFI, INC.</t>
        </is>
      </c>
      <c r="C5206" t="inlineStr">
        <is>
          <t>Nasdaq</t>
        </is>
      </c>
      <c r="D5206" t="n">
        <v>1682639</v>
      </c>
      <c r="E5206" t="inlineStr">
        <is>
          <t>SEC</t>
        </is>
      </c>
    </row>
    <row r="5207">
      <c r="A5207" s="5">
        <f>HYPERLINK("https://finance.yahoo.com/quote/LOMLF","LOMLF")</f>
        <v/>
      </c>
      <c r="B5207" t="inlineStr">
        <is>
          <t>Lion One Metals Ltd.</t>
        </is>
      </c>
      <c r="C5207" t="inlineStr">
        <is>
          <t>OTC</t>
        </is>
      </c>
      <c r="D5207" t="n">
        <v>1509397</v>
      </c>
      <c r="E5207" t="inlineStr">
        <is>
          <t>SEC</t>
        </is>
      </c>
    </row>
    <row r="5208">
      <c r="A5208" s="5">
        <f>HYPERLINK("https://finance.yahoo.com/quote/MCAG","MCAG")</f>
        <v/>
      </c>
      <c r="B5208" t="inlineStr">
        <is>
          <t>Mountain Crest Acquisition Corp. V</t>
        </is>
      </c>
      <c r="C5208" t="inlineStr">
        <is>
          <t>OTC</t>
        </is>
      </c>
      <c r="D5208" t="n">
        <v>1859035</v>
      </c>
      <c r="E5208" t="inlineStr">
        <is>
          <t>SEC</t>
        </is>
      </c>
    </row>
    <row r="5209">
      <c r="A5209" s="5">
        <f>HYPERLINK("https://finance.yahoo.com/quote/REKR","REKR")</f>
        <v/>
      </c>
      <c r="B5209" t="inlineStr">
        <is>
          <t>Rekor Systems, Inc.</t>
        </is>
      </c>
      <c r="C5209" t="inlineStr">
        <is>
          <t>Nasdaq</t>
        </is>
      </c>
      <c r="D5209" t="n">
        <v>1697851</v>
      </c>
      <c r="E5209" t="inlineStr">
        <is>
          <t>SEC</t>
        </is>
      </c>
    </row>
    <row r="5210">
      <c r="A5210" s="5">
        <f>HYPERLINK("https://finance.yahoo.com/quote/OP","OP")</f>
        <v/>
      </c>
      <c r="B5210" t="inlineStr">
        <is>
          <t>OpenPayd Global Holdings Ltd</t>
        </is>
      </c>
      <c r="C5210" t="inlineStr"/>
      <c r="D5210" t="n">
        <v>2119416</v>
      </c>
      <c r="E5210" t="inlineStr">
        <is>
          <t>SEC</t>
        </is>
      </c>
    </row>
    <row r="5211">
      <c r="A5211" s="5">
        <f>HYPERLINK("https://finance.yahoo.com/quote/PFAI","PFAI")</f>
        <v/>
      </c>
      <c r="B5211" t="inlineStr">
        <is>
          <t>Pinnacle Food Group Ltd</t>
        </is>
      </c>
      <c r="C5211" t="inlineStr">
        <is>
          <t>Nasdaq</t>
        </is>
      </c>
      <c r="D5211" t="n">
        <v>2032755</v>
      </c>
      <c r="E5211" t="inlineStr">
        <is>
          <t>SEC</t>
        </is>
      </c>
    </row>
    <row r="5212">
      <c r="A5212" s="5">
        <f>HYPERLINK("https://finance.yahoo.com/quote/ZDGE","ZDGE")</f>
        <v/>
      </c>
      <c r="B5212" t="inlineStr">
        <is>
          <t>Zedge, Inc.</t>
        </is>
      </c>
      <c r="C5212" t="inlineStr">
        <is>
          <t>NYSE</t>
        </is>
      </c>
      <c r="D5212" t="n">
        <v>1667313</v>
      </c>
      <c r="E5212" t="inlineStr">
        <is>
          <t>SEC</t>
        </is>
      </c>
    </row>
    <row r="5213">
      <c r="A5213" s="5">
        <f>HYPERLINK("https://finance.yahoo.com/quote/SCWO","SCWO")</f>
        <v/>
      </c>
      <c r="B5213" t="inlineStr">
        <is>
          <t>374Water Inc.</t>
        </is>
      </c>
      <c r="C5213" t="inlineStr">
        <is>
          <t>Nasdaq</t>
        </is>
      </c>
      <c r="D5213" t="n">
        <v>933972</v>
      </c>
      <c r="E5213" t="inlineStr">
        <is>
          <t>SEC</t>
        </is>
      </c>
    </row>
    <row r="5214">
      <c r="A5214" s="5">
        <f>HYPERLINK("https://finance.yahoo.com/quote/EUBG","EUBG")</f>
        <v/>
      </c>
      <c r="B5214" t="inlineStr">
        <is>
          <t>ENTREPRENEUR UNIVERSE BRIGHT GROUP</t>
        </is>
      </c>
      <c r="C5214" t="inlineStr">
        <is>
          <t>OTC</t>
        </is>
      </c>
      <c r="D5214" t="n">
        <v>1171326</v>
      </c>
      <c r="E5214" t="inlineStr">
        <is>
          <t>SEC</t>
        </is>
      </c>
    </row>
    <row r="5215">
      <c r="A5215" s="5">
        <f>HYPERLINK("https://finance.yahoo.com/quote/YSXT","YSXT")</f>
        <v/>
      </c>
      <c r="B5215" t="inlineStr">
        <is>
          <t>YSX Tech Co., Ltd</t>
        </is>
      </c>
      <c r="C5215" t="inlineStr">
        <is>
          <t>Nasdaq</t>
        </is>
      </c>
      <c r="D5215" t="n">
        <v>1993463</v>
      </c>
      <c r="E5215" t="inlineStr">
        <is>
          <t>SEC</t>
        </is>
      </c>
    </row>
    <row r="5216">
      <c r="A5216" s="5">
        <f>HYPERLINK("https://finance.yahoo.com/quote/FJET","FJET")</f>
        <v/>
      </c>
      <c r="B5216" t="inlineStr">
        <is>
          <t>Starfighters Space, Inc.</t>
        </is>
      </c>
      <c r="C5216" t="inlineStr">
        <is>
          <t>NYSE</t>
        </is>
      </c>
      <c r="D5216" t="n">
        <v>1947016</v>
      </c>
      <c r="E5216" t="inlineStr">
        <is>
          <t>SEC</t>
        </is>
      </c>
    </row>
    <row r="5217">
      <c r="A5217" s="5">
        <f>HYPERLINK("https://finance.yahoo.com/quote/FTEK","FTEK")</f>
        <v/>
      </c>
      <c r="B5217" t="inlineStr">
        <is>
          <t>FUEL TECH, INC.</t>
        </is>
      </c>
      <c r="C5217" t="inlineStr">
        <is>
          <t>Nasdaq</t>
        </is>
      </c>
      <c r="D5217" t="n">
        <v>846913</v>
      </c>
      <c r="E5217" t="inlineStr">
        <is>
          <t>SEC</t>
        </is>
      </c>
    </row>
    <row r="5218">
      <c r="A5218" s="5">
        <f>HYPERLINK("https://finance.yahoo.com/quote/FBDT","FBDT")</f>
        <v/>
      </c>
      <c r="B5218" t="inlineStr">
        <is>
          <t>First Breach, Inc.</t>
        </is>
      </c>
      <c r="C5218" t="inlineStr">
        <is>
          <t>Nasdaq</t>
        </is>
      </c>
      <c r="D5218" t="n">
        <v>1892704</v>
      </c>
      <c r="E5218" t="inlineStr">
        <is>
          <t>SEC</t>
        </is>
      </c>
    </row>
    <row r="5219">
      <c r="A5219" s="5">
        <f>HYPERLINK("https://finance.yahoo.com/quote/DTSQ","DTSQ")</f>
        <v/>
      </c>
      <c r="B5219" t="inlineStr">
        <is>
          <t>DT Cloud Star Acquisition Corp</t>
        </is>
      </c>
      <c r="C5219" t="inlineStr">
        <is>
          <t>Nasdaq</t>
        </is>
      </c>
      <c r="D5219" t="n">
        <v>2017950</v>
      </c>
      <c r="E5219" t="inlineStr">
        <is>
          <t>SEC</t>
        </is>
      </c>
    </row>
    <row r="5220">
      <c r="A5220" s="5">
        <f>HYPERLINK("https://finance.yahoo.com/quote/OCCI","OCCI")</f>
        <v/>
      </c>
      <c r="B5220" t="inlineStr">
        <is>
          <t>OFS Credit Company, Inc.</t>
        </is>
      </c>
      <c r="C5220" t="inlineStr">
        <is>
          <t>Nasdaq</t>
        </is>
      </c>
      <c r="D5220" t="n">
        <v>1716951</v>
      </c>
      <c r="E5220" t="inlineStr">
        <is>
          <t>SEC</t>
        </is>
      </c>
    </row>
    <row r="5221">
      <c r="A5221" s="5">
        <f>HYPERLINK("https://finance.yahoo.com/quote/KFFB","KFFB")</f>
        <v/>
      </c>
      <c r="B5221" t="inlineStr">
        <is>
          <t>Kentucky First Federal Bancorp</t>
        </is>
      </c>
      <c r="C5221" t="inlineStr">
        <is>
          <t>Nasdaq</t>
        </is>
      </c>
      <c r="D5221" t="n">
        <v>1297341</v>
      </c>
      <c r="E5221" t="inlineStr">
        <is>
          <t>SEC</t>
        </is>
      </c>
    </row>
    <row r="5222">
      <c r="A5222" s="5">
        <f>HYPERLINK("https://finance.yahoo.com/quote/DOMH","DOMH")</f>
        <v/>
      </c>
      <c r="B5222" t="inlineStr">
        <is>
          <t>Dominari Holdings Inc.</t>
        </is>
      </c>
      <c r="C5222" t="inlineStr">
        <is>
          <t>Nasdaq</t>
        </is>
      </c>
      <c r="D5222" t="n">
        <v>12239</v>
      </c>
      <c r="E5222" t="inlineStr">
        <is>
          <t>SEC</t>
        </is>
      </c>
    </row>
    <row r="5223">
      <c r="A5223" s="5">
        <f>HYPERLINK("https://finance.yahoo.com/quote/ANVS","ANVS")</f>
        <v/>
      </c>
      <c r="B5223" t="inlineStr">
        <is>
          <t>Annovis Bio, Inc.</t>
        </is>
      </c>
      <c r="C5223" t="inlineStr">
        <is>
          <t>NYSE</t>
        </is>
      </c>
      <c r="D5223" t="n">
        <v>1477845</v>
      </c>
      <c r="E5223" t="inlineStr">
        <is>
          <t>SEC</t>
        </is>
      </c>
    </row>
    <row r="5224">
      <c r="A5224" s="5">
        <f>HYPERLINK("https://finance.yahoo.com/quote/VHC","VHC")</f>
        <v/>
      </c>
      <c r="B5224" t="inlineStr">
        <is>
          <t>VirnetX Holding Corp</t>
        </is>
      </c>
      <c r="C5224" t="inlineStr">
        <is>
          <t>Nasdaq</t>
        </is>
      </c>
      <c r="D5224" t="n">
        <v>1082324</v>
      </c>
      <c r="E5224" t="inlineStr">
        <is>
          <t>SEC</t>
        </is>
      </c>
    </row>
    <row r="5225">
      <c r="A5225" s="5">
        <f>HYPERLINK("https://finance.yahoo.com/quote/CENN","CENN")</f>
        <v/>
      </c>
      <c r="B5225" t="inlineStr">
        <is>
          <t>Cenntro Inc.</t>
        </is>
      </c>
      <c r="C5225" t="inlineStr">
        <is>
          <t>Nasdaq</t>
        </is>
      </c>
      <c r="D5225" t="n">
        <v>1707919</v>
      </c>
      <c r="E5225" t="inlineStr">
        <is>
          <t>SEC</t>
        </is>
      </c>
    </row>
    <row r="5226">
      <c r="A5226" s="5">
        <f>HYPERLINK("https://finance.yahoo.com/quote/AAPI","AAPI")</f>
        <v/>
      </c>
      <c r="B5226" t="inlineStr">
        <is>
          <t>Apple iSports Group, Inc.</t>
        </is>
      </c>
      <c r="C5226" t="inlineStr"/>
      <c r="D5226" t="n">
        <v>1134982</v>
      </c>
      <c r="E5226" t="inlineStr">
        <is>
          <t>SEC</t>
        </is>
      </c>
    </row>
    <row r="5227">
      <c r="A5227" s="5">
        <f>HYPERLINK("https://finance.yahoo.com/quote/SPWH","SPWH")</f>
        <v/>
      </c>
      <c r="B5227" t="inlineStr">
        <is>
          <t>SPORTSMAN'S WAREHOUSE HOLDINGS, INC.</t>
        </is>
      </c>
      <c r="C5227" t="inlineStr">
        <is>
          <t>Nasdaq</t>
        </is>
      </c>
      <c r="D5227" t="n">
        <v>1132105</v>
      </c>
      <c r="E5227" t="inlineStr">
        <is>
          <t>SEC</t>
        </is>
      </c>
    </row>
    <row r="5228">
      <c r="A5228" s="5">
        <f>HYPERLINK("https://finance.yahoo.com/quote/INDO","INDO")</f>
        <v/>
      </c>
      <c r="B5228" t="inlineStr">
        <is>
          <t>Indonesia Energy Corp Ltd</t>
        </is>
      </c>
      <c r="C5228" t="inlineStr">
        <is>
          <t>NYSE</t>
        </is>
      </c>
      <c r="D5228" t="n">
        <v>1757840</v>
      </c>
      <c r="E5228" t="inlineStr">
        <is>
          <t>SEC</t>
        </is>
      </c>
    </row>
    <row r="5229">
      <c r="A5229" s="5">
        <f>HYPERLINK("https://finance.yahoo.com/quote/XBP","XBP")</f>
        <v/>
      </c>
      <c r="B5229" t="inlineStr">
        <is>
          <t>XBP Global Holdings, Inc.</t>
        </is>
      </c>
      <c r="C5229" t="inlineStr">
        <is>
          <t>Nasdaq</t>
        </is>
      </c>
      <c r="D5229" t="n">
        <v>1839530</v>
      </c>
      <c r="E5229" t="inlineStr">
        <is>
          <t>SEC</t>
        </is>
      </c>
    </row>
    <row r="5230">
      <c r="A5230" s="5">
        <f>HYPERLINK("https://finance.yahoo.com/quote/EUDA","EUDA")</f>
        <v/>
      </c>
      <c r="B5230" t="inlineStr">
        <is>
          <t>EUDA Health Holdings Ltd</t>
        </is>
      </c>
      <c r="C5230" t="inlineStr">
        <is>
          <t>Nasdaq</t>
        </is>
      </c>
      <c r="D5230" t="n">
        <v>1847846</v>
      </c>
      <c r="E5230" t="inlineStr">
        <is>
          <t>SEC</t>
        </is>
      </c>
    </row>
    <row r="5231">
      <c r="A5231" s="5">
        <f>HYPERLINK("https://finance.yahoo.com/quote/MOB","MOB")</f>
        <v/>
      </c>
      <c r="B5231" t="inlineStr">
        <is>
          <t>Mobilicom Ltd</t>
        </is>
      </c>
      <c r="C5231" t="inlineStr">
        <is>
          <t>Nasdaq</t>
        </is>
      </c>
      <c r="D5231" t="n">
        <v>1898643</v>
      </c>
      <c r="E5231" t="inlineStr">
        <is>
          <t>SEC</t>
        </is>
      </c>
    </row>
    <row r="5232">
      <c r="A5232" s="5">
        <f>HYPERLINK("https://finance.yahoo.com/quote/ESLA","ESLA")</f>
        <v/>
      </c>
      <c r="B5232" t="inlineStr">
        <is>
          <t>Estrella Immunopharma, Inc.</t>
        </is>
      </c>
      <c r="C5232" t="inlineStr">
        <is>
          <t>Nasdaq</t>
        </is>
      </c>
      <c r="D5232" t="n">
        <v>1844417</v>
      </c>
      <c r="E5232" t="inlineStr">
        <is>
          <t>SEC</t>
        </is>
      </c>
    </row>
    <row r="5233">
      <c r="A5233" s="5">
        <f>HYPERLINK("https://finance.yahoo.com/quote/LASE","LASE")</f>
        <v/>
      </c>
      <c r="B5233" t="inlineStr">
        <is>
          <t>Laser Photonics Corp</t>
        </is>
      </c>
      <c r="C5233" t="inlineStr">
        <is>
          <t>Nasdaq</t>
        </is>
      </c>
      <c r="D5233" t="n">
        <v>1807887</v>
      </c>
      <c r="E5233" t="inlineStr">
        <is>
          <t>SEC</t>
        </is>
      </c>
    </row>
    <row r="5234">
      <c r="A5234" s="5">
        <f>HYPERLINK("https://finance.yahoo.com/quote/XTIA","XTIA")</f>
        <v/>
      </c>
      <c r="B5234" t="inlineStr">
        <is>
          <t>XTI Aerospace, Inc.</t>
        </is>
      </c>
      <c r="C5234" t="inlineStr">
        <is>
          <t>Nasdaq</t>
        </is>
      </c>
      <c r="D5234" t="n">
        <v>1529113</v>
      </c>
      <c r="E5234" t="inlineStr">
        <is>
          <t>SEC</t>
        </is>
      </c>
    </row>
    <row r="5235">
      <c r="A5235" s="5">
        <f>HYPERLINK("https://finance.yahoo.com/quote/SLND","SLND")</f>
        <v/>
      </c>
      <c r="B5235" t="inlineStr">
        <is>
          <t>Southland Holdings, Inc.</t>
        </is>
      </c>
      <c r="C5235" t="inlineStr">
        <is>
          <t>NYSE</t>
        </is>
      </c>
      <c r="D5235" t="n">
        <v>1883814</v>
      </c>
      <c r="E5235" t="inlineStr">
        <is>
          <t>SEC</t>
        </is>
      </c>
    </row>
    <row r="5236">
      <c r="A5236" s="5">
        <f>HYPERLINK("https://finance.yahoo.com/quote/GRCE","GRCE")</f>
        <v/>
      </c>
      <c r="B5236" t="inlineStr">
        <is>
          <t>Grace Therapeutics, Inc.</t>
        </is>
      </c>
      <c r="C5236" t="inlineStr">
        <is>
          <t>Nasdaq</t>
        </is>
      </c>
      <c r="D5236" t="n">
        <v>1444192</v>
      </c>
      <c r="E5236" t="inlineStr">
        <is>
          <t>SEC</t>
        </is>
      </c>
    </row>
    <row r="5237">
      <c r="A5237" s="5">
        <f>HYPERLINK("https://finance.yahoo.com/quote/INMB","INMB")</f>
        <v/>
      </c>
      <c r="B5237" t="inlineStr">
        <is>
          <t>Inmune Bio, Inc.</t>
        </is>
      </c>
      <c r="C5237" t="inlineStr">
        <is>
          <t>Nasdaq</t>
        </is>
      </c>
      <c r="D5237" t="n">
        <v>1711754</v>
      </c>
      <c r="E5237" t="inlineStr">
        <is>
          <t>SEC</t>
        </is>
      </c>
    </row>
    <row r="5238">
      <c r="A5238" s="5">
        <f>HYPERLINK("https://finance.yahoo.com/quote/AVX","AVX")</f>
        <v/>
      </c>
      <c r="B5238" t="inlineStr">
        <is>
          <t>AVAX ONE TECHNOLOGY LTD.</t>
        </is>
      </c>
      <c r="C5238" t="inlineStr">
        <is>
          <t>Nasdaq</t>
        </is>
      </c>
      <c r="D5238" t="n">
        <v>1826397</v>
      </c>
      <c r="E5238" t="inlineStr">
        <is>
          <t>SEC</t>
        </is>
      </c>
    </row>
    <row r="5239">
      <c r="A5239" s="5">
        <f>HYPERLINK("https://finance.yahoo.com/quote/ITMSF","ITMSF")</f>
        <v/>
      </c>
      <c r="B5239" t="inlineStr">
        <is>
          <t>INTERMAP TECHNOLOGIES CORP</t>
        </is>
      </c>
      <c r="C5239" t="inlineStr">
        <is>
          <t>OTC</t>
        </is>
      </c>
      <c r="D5239" t="n">
        <v>1285170</v>
      </c>
      <c r="E5239" t="inlineStr">
        <is>
          <t>SEC</t>
        </is>
      </c>
    </row>
    <row r="5240">
      <c r="A5240" s="5">
        <f>HYPERLINK("https://finance.yahoo.com/quote/VRM","VRM")</f>
        <v/>
      </c>
      <c r="B5240" t="inlineStr">
        <is>
          <t>Vroom, Inc.</t>
        </is>
      </c>
      <c r="C5240" t="inlineStr">
        <is>
          <t>Nasdaq</t>
        </is>
      </c>
      <c r="D5240" t="n">
        <v>1580864</v>
      </c>
      <c r="E5240" t="inlineStr">
        <is>
          <t>SEC</t>
        </is>
      </c>
    </row>
    <row r="5241">
      <c r="A5241" s="5">
        <f>HYPERLINK("https://finance.yahoo.com/quote/GLXZ","GLXZ")</f>
        <v/>
      </c>
      <c r="B5241" t="inlineStr">
        <is>
          <t>Galaxy Gaming, Inc.</t>
        </is>
      </c>
      <c r="C5241" t="inlineStr">
        <is>
          <t>OTC</t>
        </is>
      </c>
      <c r="D5241" t="n">
        <v>13156</v>
      </c>
      <c r="E5241" t="inlineStr">
        <is>
          <t>SEC</t>
        </is>
      </c>
    </row>
    <row r="5242">
      <c r="A5242" s="5">
        <f>HYPERLINK("https://finance.yahoo.com/quote/AIFC","AIFC")</f>
        <v/>
      </c>
      <c r="B5242" t="inlineStr">
        <is>
          <t>AI Financial Corp</t>
        </is>
      </c>
      <c r="C5242" t="inlineStr">
        <is>
          <t>Nasdaq</t>
        </is>
      </c>
      <c r="D5242" t="n">
        <v>862861</v>
      </c>
      <c r="E5242" t="inlineStr">
        <is>
          <t>SEC</t>
        </is>
      </c>
    </row>
    <row r="5243">
      <c r="A5243" s="5">
        <f>HYPERLINK("https://finance.yahoo.com/quote/NSRX","NSRX")</f>
        <v/>
      </c>
      <c r="B5243" t="inlineStr">
        <is>
          <t>Nasus Pharma Ltd</t>
        </is>
      </c>
      <c r="C5243" t="inlineStr">
        <is>
          <t>NYSE</t>
        </is>
      </c>
      <c r="D5243" t="n">
        <v>2029039</v>
      </c>
      <c r="E5243" t="inlineStr">
        <is>
          <t>SEC</t>
        </is>
      </c>
    </row>
    <row r="5244">
      <c r="A5244" s="5">
        <f>HYPERLINK("https://finance.yahoo.com/quote/IZEA","IZEA")</f>
        <v/>
      </c>
      <c r="B5244" t="inlineStr">
        <is>
          <t>IZEA Worldwide, Inc.</t>
        </is>
      </c>
      <c r="C5244" t="inlineStr">
        <is>
          <t>Nasdaq</t>
        </is>
      </c>
      <c r="D5244" t="n">
        <v>1495231</v>
      </c>
      <c r="E5244" t="inlineStr">
        <is>
          <t>SEC</t>
        </is>
      </c>
    </row>
    <row r="5245">
      <c r="A5245" s="5">
        <f>HYPERLINK("https://finance.yahoo.com/quote/MI","MI")</f>
        <v/>
      </c>
      <c r="B5245" t="inlineStr">
        <is>
          <t>NFT Ltd</t>
        </is>
      </c>
      <c r="C5245" t="inlineStr">
        <is>
          <t>NYSE</t>
        </is>
      </c>
      <c r="D5245" t="n">
        <v>1958713</v>
      </c>
      <c r="E5245" t="inlineStr">
        <is>
          <t>SEC</t>
        </is>
      </c>
    </row>
    <row r="5246">
      <c r="A5246" s="5">
        <f>HYPERLINK("https://finance.yahoo.com/quote/LCCC","LCCC")</f>
        <v/>
      </c>
      <c r="B5246" t="inlineStr">
        <is>
          <t>Lakeshore Acquisition III Corp.</t>
        </is>
      </c>
      <c r="C5246" t="inlineStr">
        <is>
          <t>Nasdaq</t>
        </is>
      </c>
      <c r="D5246" t="n">
        <v>2049248</v>
      </c>
      <c r="E5246" t="inlineStr">
        <is>
          <t>SEC</t>
        </is>
      </c>
    </row>
    <row r="5247">
      <c r="A5247" s="5">
        <f>HYPERLINK("https://finance.yahoo.com/quote/NA","NA")</f>
        <v/>
      </c>
      <c r="B5247" t="inlineStr">
        <is>
          <t>Nano Labs Ltd</t>
        </is>
      </c>
      <c r="C5247" t="inlineStr">
        <is>
          <t>Nasdaq</t>
        </is>
      </c>
      <c r="D5247" t="n">
        <v>1872302</v>
      </c>
      <c r="E5247" t="inlineStr">
        <is>
          <t>SEC</t>
        </is>
      </c>
    </row>
    <row r="5248">
      <c r="A5248" s="5">
        <f>HYPERLINK("https://finance.yahoo.com/quote/PHUN","PHUN")</f>
        <v/>
      </c>
      <c r="B5248" t="inlineStr">
        <is>
          <t>Phunware, Inc.</t>
        </is>
      </c>
      <c r="C5248" t="inlineStr">
        <is>
          <t>Nasdaq</t>
        </is>
      </c>
      <c r="D5248" t="n">
        <v>1665300</v>
      </c>
      <c r="E5248" t="inlineStr">
        <is>
          <t>SEC</t>
        </is>
      </c>
    </row>
    <row r="5249">
      <c r="A5249" s="5">
        <f>HYPERLINK("https://finance.yahoo.com/quote/RDI","RDI")</f>
        <v/>
      </c>
      <c r="B5249" t="inlineStr">
        <is>
          <t>READING INTERNATIONAL INC</t>
        </is>
      </c>
      <c r="C5249" t="inlineStr">
        <is>
          <t>Nasdaq</t>
        </is>
      </c>
      <c r="D5249" t="n">
        <v>716634</v>
      </c>
      <c r="E5249" t="inlineStr">
        <is>
          <t>SEC</t>
        </is>
      </c>
    </row>
    <row r="5250">
      <c r="A5250" s="5">
        <f>HYPERLINK("https://finance.yahoo.com/quote/HRGN","HRGN")</f>
        <v/>
      </c>
      <c r="B5250" t="inlineStr">
        <is>
          <t>Harvard Apparatus Regenerative Technology, Inc.</t>
        </is>
      </c>
      <c r="C5250" t="inlineStr">
        <is>
          <t>OTC</t>
        </is>
      </c>
      <c r="D5250" t="n">
        <v>1563665</v>
      </c>
      <c r="E5250" t="inlineStr">
        <is>
          <t>SEC</t>
        </is>
      </c>
    </row>
    <row r="5251">
      <c r="A5251" s="5">
        <f>HYPERLINK("https://finance.yahoo.com/quote/DWTX","DWTX")</f>
        <v/>
      </c>
      <c r="B5251" t="inlineStr">
        <is>
          <t>Dogwood Therapeutics, Inc.</t>
        </is>
      </c>
      <c r="C5251" t="inlineStr">
        <is>
          <t>Nasdaq</t>
        </is>
      </c>
      <c r="D5251" t="n">
        <v>1818844</v>
      </c>
      <c r="E5251" t="inlineStr">
        <is>
          <t>SEC</t>
        </is>
      </c>
    </row>
    <row r="5252">
      <c r="A5252" s="5">
        <f>HYPERLINK("https://finance.yahoo.com/quote/RKHNF","RKHNF")</f>
        <v/>
      </c>
      <c r="B5252" t="inlineStr">
        <is>
          <t>ROCKHAVEN RESOURCES LTD</t>
        </is>
      </c>
      <c r="C5252" t="inlineStr">
        <is>
          <t>OTC</t>
        </is>
      </c>
      <c r="D5252" t="n">
        <v>1422532</v>
      </c>
      <c r="E5252" t="inlineStr">
        <is>
          <t>SEC</t>
        </is>
      </c>
    </row>
    <row r="5253">
      <c r="A5253" s="5">
        <f>HYPERLINK("https://finance.yahoo.com/quote/XTNT","XTNT")</f>
        <v/>
      </c>
      <c r="B5253" t="inlineStr">
        <is>
          <t>Xtant Medical Holdings, Inc.</t>
        </is>
      </c>
      <c r="C5253" t="inlineStr">
        <is>
          <t>NYSE</t>
        </is>
      </c>
      <c r="D5253" t="n">
        <v>1453593</v>
      </c>
      <c r="E5253" t="inlineStr">
        <is>
          <t>SEC</t>
        </is>
      </c>
    </row>
    <row r="5254">
      <c r="A5254" s="5">
        <f>HYPERLINK("https://finance.yahoo.com/quote/TIGCF","TIGCF")</f>
        <v/>
      </c>
      <c r="B5254" t="inlineStr">
        <is>
          <t>Triumph Gold Corp.</t>
        </is>
      </c>
      <c r="C5254" t="inlineStr">
        <is>
          <t>OTC</t>
        </is>
      </c>
      <c r="D5254" t="n">
        <v>1387473</v>
      </c>
      <c r="E5254" t="inlineStr">
        <is>
          <t>SEC</t>
        </is>
      </c>
    </row>
    <row r="5255">
      <c r="A5255" s="5">
        <f>HYPERLINK("https://finance.yahoo.com/quote/MEGR","MEGR")</f>
        <v/>
      </c>
      <c r="B5255" t="inlineStr">
        <is>
          <t>First America Resources Corp</t>
        </is>
      </c>
      <c r="C5255" t="inlineStr">
        <is>
          <t>OTC</t>
        </is>
      </c>
      <c r="D5255" t="n">
        <v>1525306</v>
      </c>
      <c r="E5255" t="inlineStr">
        <is>
          <t>SEC</t>
        </is>
      </c>
    </row>
    <row r="5256">
      <c r="A5256" s="5">
        <f>HYPERLINK("https://finance.yahoo.com/quote/GRF","GRF")</f>
        <v/>
      </c>
      <c r="B5256" t="inlineStr">
        <is>
          <t>EAGLE CAPITAL GROWTH FUND, INC.</t>
        </is>
      </c>
      <c r="C5256" t="inlineStr">
        <is>
          <t>NYSE</t>
        </is>
      </c>
      <c r="D5256" t="n">
        <v>850027</v>
      </c>
      <c r="E5256" t="inlineStr">
        <is>
          <t>SEC</t>
        </is>
      </c>
    </row>
    <row r="5257">
      <c r="A5257" s="5">
        <f>HYPERLINK("https://finance.yahoo.com/quote/NOEM","NOEM")</f>
        <v/>
      </c>
      <c r="B5257" t="inlineStr">
        <is>
          <t>CO2 Energy Transition Corp.</t>
        </is>
      </c>
      <c r="C5257" t="inlineStr">
        <is>
          <t>Nasdaq</t>
        </is>
      </c>
      <c r="D5257" t="n">
        <v>1956648</v>
      </c>
      <c r="E5257" t="inlineStr">
        <is>
          <t>SEC</t>
        </is>
      </c>
    </row>
    <row r="5258">
      <c r="A5258" s="5">
        <f>HYPERLINK("https://finance.yahoo.com/quote/NMCPF","NMCPF")</f>
        <v/>
      </c>
      <c r="B5258" t="inlineStr">
        <is>
          <t>Nuvau Minerals Corp</t>
        </is>
      </c>
      <c r="C5258" t="inlineStr">
        <is>
          <t>OTC</t>
        </is>
      </c>
      <c r="D5258" t="n">
        <v>2003813</v>
      </c>
      <c r="E5258" t="inlineStr">
        <is>
          <t>SEC</t>
        </is>
      </c>
    </row>
    <row r="5259">
      <c r="A5259" s="5">
        <f>HYPERLINK("https://finance.yahoo.com/quote/COPR","COPR")</f>
        <v/>
      </c>
      <c r="B5259" t="inlineStr">
        <is>
          <t>Idaho Copper Corp</t>
        </is>
      </c>
      <c r="C5259" t="inlineStr">
        <is>
          <t>NYSE</t>
        </is>
      </c>
      <c r="D5259" t="n">
        <v>1263364</v>
      </c>
      <c r="E5259" t="inlineStr">
        <is>
          <t>SEC</t>
        </is>
      </c>
    </row>
    <row r="5260">
      <c r="A5260" s="5">
        <f>HYPERLINK("https://finance.yahoo.com/quote/GRDX","GRDX")</f>
        <v/>
      </c>
      <c r="B5260" t="inlineStr">
        <is>
          <t>GridAI Technologies Corp.</t>
        </is>
      </c>
      <c r="C5260" t="inlineStr">
        <is>
          <t>Nasdaq</t>
        </is>
      </c>
      <c r="D5260" t="n">
        <v>1604191</v>
      </c>
      <c r="E5260" t="inlineStr">
        <is>
          <t>SEC</t>
        </is>
      </c>
    </row>
    <row r="5261">
      <c r="A5261" s="5">
        <f>HYPERLINK("https://finance.yahoo.com/quote/CHUC","CHUC")</f>
        <v/>
      </c>
      <c r="B5261" t="inlineStr">
        <is>
          <t>Charlie's Holdings, Inc.</t>
        </is>
      </c>
      <c r="C5261" t="inlineStr">
        <is>
          <t>OTC</t>
        </is>
      </c>
      <c r="D5261" t="n">
        <v>1134765</v>
      </c>
      <c r="E5261" t="inlineStr">
        <is>
          <t>SEC</t>
        </is>
      </c>
    </row>
    <row r="5262">
      <c r="A5262" s="5">
        <f>HYPERLINK("https://finance.yahoo.com/quote/LOAN","LOAN")</f>
        <v/>
      </c>
      <c r="B5262" t="inlineStr">
        <is>
          <t>MANHATTAN BRIDGE CAPITAL, INC</t>
        </is>
      </c>
      <c r="C5262" t="inlineStr">
        <is>
          <t>Nasdaq</t>
        </is>
      </c>
      <c r="D5262" t="n">
        <v>1080340</v>
      </c>
      <c r="E5262" t="inlineStr">
        <is>
          <t>SEC</t>
        </is>
      </c>
    </row>
    <row r="5263">
      <c r="A5263" s="5">
        <f>HYPERLINK("https://finance.yahoo.com/quote/MAMO","MAMO")</f>
        <v/>
      </c>
      <c r="B5263" t="inlineStr">
        <is>
          <t>Massimo Group</t>
        </is>
      </c>
      <c r="C5263" t="inlineStr">
        <is>
          <t>Nasdaq</t>
        </is>
      </c>
      <c r="D5263" t="n">
        <v>1952853</v>
      </c>
      <c r="E5263" t="inlineStr">
        <is>
          <t>SEC</t>
        </is>
      </c>
    </row>
    <row r="5264">
      <c r="A5264" s="5">
        <f>HYPERLINK("https://finance.yahoo.com/quote/RPID","RPID")</f>
        <v/>
      </c>
      <c r="B5264" t="inlineStr">
        <is>
          <t>RAPID MICRO BIOSYSTEMS, INC.</t>
        </is>
      </c>
      <c r="C5264" t="inlineStr">
        <is>
          <t>Nasdaq</t>
        </is>
      </c>
      <c r="D5264" t="n">
        <v>1380106</v>
      </c>
      <c r="E5264" t="inlineStr">
        <is>
          <t>SEC</t>
        </is>
      </c>
    </row>
    <row r="5265">
      <c r="A5265" s="5">
        <f>HYPERLINK("https://finance.yahoo.com/quote/XOS","XOS")</f>
        <v/>
      </c>
      <c r="B5265" t="inlineStr">
        <is>
          <t>Xos, Inc.</t>
        </is>
      </c>
      <c r="C5265" t="inlineStr">
        <is>
          <t>Nasdaq</t>
        </is>
      </c>
      <c r="D5265" t="n">
        <v>1819493</v>
      </c>
      <c r="E5265" t="inlineStr">
        <is>
          <t>SEC</t>
        </is>
      </c>
    </row>
    <row r="5266">
      <c r="A5266" s="5">
        <f>HYPERLINK("https://finance.yahoo.com/quote/QNTO","QNTO")</f>
        <v/>
      </c>
      <c r="B5266" t="inlineStr">
        <is>
          <t>QUAINT OAK BANCORP, INC.</t>
        </is>
      </c>
      <c r="C5266" t="inlineStr">
        <is>
          <t>OTC</t>
        </is>
      </c>
      <c r="D5266" t="n">
        <v>1391933</v>
      </c>
      <c r="E5266" t="inlineStr">
        <is>
          <t>SEC</t>
        </is>
      </c>
    </row>
    <row r="5267">
      <c r="A5267" s="5">
        <f>HYPERLINK("https://finance.yahoo.com/quote/SACH","SACH")</f>
        <v/>
      </c>
      <c r="B5267" t="inlineStr">
        <is>
          <t>Sachem Capital Corp.</t>
        </is>
      </c>
      <c r="C5267" t="inlineStr">
        <is>
          <t>NYSE</t>
        </is>
      </c>
      <c r="D5267" t="n">
        <v>1682220</v>
      </c>
      <c r="E5267" t="inlineStr">
        <is>
          <t>SEC</t>
        </is>
      </c>
    </row>
    <row r="5268">
      <c r="A5268" s="5">
        <f>HYPERLINK("https://finance.yahoo.com/quote/GDSRF","GDSRF")</f>
        <v/>
      </c>
      <c r="B5268" t="inlineStr">
        <is>
          <t>Gold Strike Resources Corp.</t>
        </is>
      </c>
      <c r="C5268" t="inlineStr">
        <is>
          <t>OTC</t>
        </is>
      </c>
      <c r="D5268" t="n">
        <v>1427901</v>
      </c>
      <c r="E5268" t="inlineStr">
        <is>
          <t>SEC</t>
        </is>
      </c>
    </row>
    <row r="5269">
      <c r="A5269" s="5">
        <f>HYPERLINK("https://finance.yahoo.com/quote/AXIL","AXIL")</f>
        <v/>
      </c>
      <c r="B5269" t="inlineStr">
        <is>
          <t>Axil Brands, Inc.</t>
        </is>
      </c>
      <c r="C5269" t="inlineStr">
        <is>
          <t>NYSE</t>
        </is>
      </c>
      <c r="D5269" t="n">
        <v>1718500</v>
      </c>
      <c r="E5269" t="inlineStr">
        <is>
          <t>SEC</t>
        </is>
      </c>
    </row>
    <row r="5270">
      <c r="A5270" s="5">
        <f>HYPERLINK("https://finance.yahoo.com/quote/CCIF","CCIF")</f>
        <v/>
      </c>
      <c r="B5270" t="inlineStr">
        <is>
          <t>Carlyle Credit Income Fund</t>
        </is>
      </c>
      <c r="C5270" t="inlineStr">
        <is>
          <t>NYSE</t>
        </is>
      </c>
      <c r="D5270" t="n">
        <v>1517767</v>
      </c>
      <c r="E5270" t="inlineStr">
        <is>
          <t>SEC</t>
        </is>
      </c>
    </row>
    <row r="5271">
      <c r="A5271" s="5">
        <f>HYPERLINK("https://finance.yahoo.com/quote/JETMF","JETMF")</f>
        <v/>
      </c>
      <c r="B5271" t="inlineStr">
        <is>
          <t>Global Crossing Airlines Group Inc.</t>
        </is>
      </c>
      <c r="C5271" t="inlineStr">
        <is>
          <t>OTC</t>
        </is>
      </c>
      <c r="D5271" t="n">
        <v>1846084</v>
      </c>
      <c r="E5271" t="inlineStr">
        <is>
          <t>SEC</t>
        </is>
      </c>
    </row>
    <row r="5272">
      <c r="A5272" s="5">
        <f>HYPERLINK("https://finance.yahoo.com/quote/CVVUF","CVVUF")</f>
        <v/>
      </c>
      <c r="B5272" t="inlineStr">
        <is>
          <t>CANALASKA URANIUM LTD</t>
        </is>
      </c>
      <c r="C5272" t="inlineStr">
        <is>
          <t>OTC</t>
        </is>
      </c>
      <c r="D5272" t="n">
        <v>1023109</v>
      </c>
      <c r="E5272" t="inlineStr">
        <is>
          <t>SEC</t>
        </is>
      </c>
    </row>
    <row r="5273">
      <c r="A5273" s="5">
        <f>HYPERLINK("https://finance.yahoo.com/quote/TIL","TIL")</f>
        <v/>
      </c>
      <c r="B5273" t="inlineStr">
        <is>
          <t>Instil Bio, Inc.</t>
        </is>
      </c>
      <c r="C5273" t="inlineStr">
        <is>
          <t>Nasdaq</t>
        </is>
      </c>
      <c r="D5273" t="n">
        <v>1789769</v>
      </c>
      <c r="E5273" t="inlineStr">
        <is>
          <t>SEC</t>
        </is>
      </c>
    </row>
    <row r="5274">
      <c r="A5274" s="5">
        <f>HYPERLINK("https://finance.yahoo.com/quote/ZEPP","ZEPP")</f>
        <v/>
      </c>
      <c r="B5274" t="inlineStr">
        <is>
          <t>Zepp Health Corp</t>
        </is>
      </c>
      <c r="C5274" t="inlineStr">
        <is>
          <t>NYSE</t>
        </is>
      </c>
      <c r="D5274" t="n">
        <v>1720446</v>
      </c>
      <c r="E5274" t="inlineStr">
        <is>
          <t>SEC</t>
        </is>
      </c>
    </row>
    <row r="5275">
      <c r="A5275" s="5">
        <f>HYPERLINK("https://finance.yahoo.com/quote/QSEP","QSEP")</f>
        <v/>
      </c>
      <c r="B5275" t="inlineStr">
        <is>
          <t>QS Energy, Inc.</t>
        </is>
      </c>
      <c r="C5275" t="inlineStr">
        <is>
          <t>OTC</t>
        </is>
      </c>
      <c r="D5275" t="n">
        <v>1103795</v>
      </c>
      <c r="E5275" t="inlineStr">
        <is>
          <t>SEC</t>
        </is>
      </c>
    </row>
    <row r="5276">
      <c r="A5276" s="5">
        <f>HYPERLINK("https://finance.yahoo.com/quote/CRGO","CRGO")</f>
        <v/>
      </c>
      <c r="B5276" t="inlineStr">
        <is>
          <t>Freightos Ltd</t>
        </is>
      </c>
      <c r="C5276" t="inlineStr">
        <is>
          <t>Nasdaq</t>
        </is>
      </c>
      <c r="D5276" t="n">
        <v>1927719</v>
      </c>
      <c r="E5276" t="inlineStr">
        <is>
          <t>SEC</t>
        </is>
      </c>
    </row>
    <row r="5277">
      <c r="A5277" s="5">
        <f>HYPERLINK("https://finance.yahoo.com/quote/UAVS","UAVS")</f>
        <v/>
      </c>
      <c r="B5277" t="inlineStr">
        <is>
          <t>AgEagle Aerial Systems Inc.</t>
        </is>
      </c>
      <c r="C5277" t="inlineStr">
        <is>
          <t>NYSE</t>
        </is>
      </c>
      <c r="D5277" t="n">
        <v>8504</v>
      </c>
      <c r="E5277" t="inlineStr">
        <is>
          <t>SEC</t>
        </is>
      </c>
    </row>
    <row r="5278">
      <c r="A5278" s="5">
        <f>HYPERLINK("https://finance.yahoo.com/quote/KG","KG")</f>
        <v/>
      </c>
      <c r="B5278" t="inlineStr">
        <is>
          <t>Kestrel Group Ltd</t>
        </is>
      </c>
      <c r="C5278" t="inlineStr">
        <is>
          <t>Nasdaq</t>
        </is>
      </c>
      <c r="D5278" t="n">
        <v>2055116</v>
      </c>
      <c r="E5278" t="inlineStr">
        <is>
          <t>SEC</t>
        </is>
      </c>
    </row>
    <row r="5279">
      <c r="A5279" s="5">
        <f>HYPERLINK("https://finance.yahoo.com/quote/NEPH","NEPH")</f>
        <v/>
      </c>
      <c r="B5279" t="inlineStr">
        <is>
          <t>NEPHROS INC</t>
        </is>
      </c>
      <c r="C5279" t="inlineStr">
        <is>
          <t>Nasdaq</t>
        </is>
      </c>
      <c r="D5279" t="n">
        <v>1196298</v>
      </c>
      <c r="E5279" t="inlineStr">
        <is>
          <t>SEC</t>
        </is>
      </c>
    </row>
    <row r="5280">
      <c r="A5280" s="5">
        <f>HYPERLINK("https://finance.yahoo.com/quote/SYPR","SYPR")</f>
        <v/>
      </c>
      <c r="B5280" t="inlineStr">
        <is>
          <t>SYPRIS SOLUTIONS INC</t>
        </is>
      </c>
      <c r="C5280" t="inlineStr">
        <is>
          <t>Nasdaq</t>
        </is>
      </c>
      <c r="D5280" t="n">
        <v>864240</v>
      </c>
      <c r="E5280" t="inlineStr">
        <is>
          <t>SEC</t>
        </is>
      </c>
    </row>
    <row r="5281">
      <c r="A5281" s="5">
        <f>HYPERLINK("https://finance.yahoo.com/quote/AFJK","AFJK")</f>
        <v/>
      </c>
      <c r="B5281" t="inlineStr">
        <is>
          <t>Aimei Health Technology Co., Ltd.</t>
        </is>
      </c>
      <c r="C5281" t="inlineStr">
        <is>
          <t>Nasdaq</t>
        </is>
      </c>
      <c r="D5281" t="n">
        <v>1979005</v>
      </c>
      <c r="E5281" t="inlineStr">
        <is>
          <t>SEC</t>
        </is>
      </c>
    </row>
    <row r="5282">
      <c r="A5282" s="5">
        <f>HYPERLINK("https://finance.yahoo.com/quote/VERU","VERU")</f>
        <v/>
      </c>
      <c r="B5282" t="inlineStr">
        <is>
          <t>VERU INC.</t>
        </is>
      </c>
      <c r="C5282" t="inlineStr">
        <is>
          <t>Nasdaq</t>
        </is>
      </c>
      <c r="D5282" t="n">
        <v>863894</v>
      </c>
      <c r="E5282" t="inlineStr">
        <is>
          <t>SEC</t>
        </is>
      </c>
    </row>
    <row r="5283">
      <c r="A5283" s="5">
        <f>HYPERLINK("https://finance.yahoo.com/quote/FRFAF","FRFAF")</f>
        <v/>
      </c>
      <c r="B5283" t="inlineStr">
        <is>
          <t>Fresh Factory B.C. Ltd.</t>
        </is>
      </c>
      <c r="C5283" t="inlineStr">
        <is>
          <t>OTC</t>
        </is>
      </c>
      <c r="D5283" t="n">
        <v>1894942</v>
      </c>
      <c r="E5283" t="inlineStr">
        <is>
          <t>SEC</t>
        </is>
      </c>
    </row>
    <row r="5284">
      <c r="A5284" s="5">
        <f>HYPERLINK("https://finance.yahoo.com/quote/STI","STI")</f>
        <v/>
      </c>
      <c r="B5284" t="inlineStr">
        <is>
          <t>Solidion Technology Inc.</t>
        </is>
      </c>
      <c r="C5284" t="inlineStr">
        <is>
          <t>Nasdaq</t>
        </is>
      </c>
      <c r="D5284" t="n">
        <v>1881551</v>
      </c>
      <c r="E5284" t="inlineStr">
        <is>
          <t>SEC</t>
        </is>
      </c>
    </row>
    <row r="5285">
      <c r="A5285" s="5">
        <f>HYPERLINK("https://finance.yahoo.com/quote/ACET","ACET")</f>
        <v/>
      </c>
      <c r="B5285" t="inlineStr">
        <is>
          <t>Adicet Bio, Inc.</t>
        </is>
      </c>
      <c r="C5285" t="inlineStr">
        <is>
          <t>Nasdaq</t>
        </is>
      </c>
      <c r="D5285" t="n">
        <v>1720580</v>
      </c>
      <c r="E5285" t="inlineStr">
        <is>
          <t>SEC</t>
        </is>
      </c>
    </row>
    <row r="5286">
      <c r="A5286" s="5">
        <f>HYPERLINK("https://finance.yahoo.com/quote/SCYX","SCYX")</f>
        <v/>
      </c>
      <c r="B5286" t="inlineStr">
        <is>
          <t>SCYNEXIS INC</t>
        </is>
      </c>
      <c r="C5286" t="inlineStr">
        <is>
          <t>Nasdaq</t>
        </is>
      </c>
      <c r="D5286" t="n">
        <v>1178253</v>
      </c>
      <c r="E5286" t="inlineStr">
        <is>
          <t>SEC</t>
        </is>
      </c>
    </row>
    <row r="5287">
      <c r="A5287" s="5">
        <f>HYPERLINK("https://finance.yahoo.com/quote/HIT","HIT")</f>
        <v/>
      </c>
      <c r="B5287" t="inlineStr">
        <is>
          <t>Health In Tech, Inc.</t>
        </is>
      </c>
      <c r="C5287" t="inlineStr">
        <is>
          <t>Nasdaq</t>
        </is>
      </c>
      <c r="D5287" t="n">
        <v>2019505</v>
      </c>
      <c r="E5287" t="inlineStr">
        <is>
          <t>SEC</t>
        </is>
      </c>
    </row>
    <row r="5288">
      <c r="A5288" s="5">
        <f>HYPERLINK("https://finance.yahoo.com/quote/CMTL","CMTL")</f>
        <v/>
      </c>
      <c r="B5288" t="inlineStr">
        <is>
          <t>COMTECH TELECOMMUNICATIONS CORP /DE/</t>
        </is>
      </c>
      <c r="C5288" t="inlineStr">
        <is>
          <t>Nasdaq</t>
        </is>
      </c>
      <c r="D5288" t="n">
        <v>23197</v>
      </c>
      <c r="E5288" t="inlineStr">
        <is>
          <t>SEC</t>
        </is>
      </c>
    </row>
    <row r="5289">
      <c r="A5289" s="5">
        <f>HYPERLINK("https://finance.yahoo.com/quote/ELUT","ELUT")</f>
        <v/>
      </c>
      <c r="B5289" t="inlineStr">
        <is>
          <t>ELUTIA INC.</t>
        </is>
      </c>
      <c r="C5289" t="inlineStr">
        <is>
          <t>Nasdaq</t>
        </is>
      </c>
      <c r="D5289" t="n">
        <v>1708527</v>
      </c>
      <c r="E5289" t="inlineStr">
        <is>
          <t>SEC</t>
        </is>
      </c>
    </row>
    <row r="5290">
      <c r="A5290" s="5">
        <f>HYPERLINK("https://finance.yahoo.com/quote/BHST","BHST")</f>
        <v/>
      </c>
      <c r="B5290" t="inlineStr">
        <is>
          <t>BIOHARVEST SCIENCES INC.</t>
        </is>
      </c>
      <c r="C5290" t="inlineStr">
        <is>
          <t>Nasdaq</t>
        </is>
      </c>
      <c r="D5290" t="n">
        <v>1723464</v>
      </c>
      <c r="E5290" t="inlineStr">
        <is>
          <t>SEC</t>
        </is>
      </c>
    </row>
    <row r="5291">
      <c r="A5291" s="5">
        <f>HYPERLINK("https://finance.yahoo.com/quote/HBIO","HBIO")</f>
        <v/>
      </c>
      <c r="B5291" t="inlineStr">
        <is>
          <t>HARVARD BIOSCIENCE INC</t>
        </is>
      </c>
      <c r="C5291" t="inlineStr">
        <is>
          <t>Nasdaq</t>
        </is>
      </c>
      <c r="D5291" t="n">
        <v>1123494</v>
      </c>
      <c r="E5291" t="inlineStr">
        <is>
          <t>SEC</t>
        </is>
      </c>
    </row>
    <row r="5292">
      <c r="A5292" s="5">
        <f>HYPERLINK("https://finance.yahoo.com/quote/ALDX","ALDX")</f>
        <v/>
      </c>
      <c r="B5292" t="inlineStr">
        <is>
          <t>Aldeyra Therapeutics, Inc.</t>
        </is>
      </c>
      <c r="C5292" t="inlineStr">
        <is>
          <t>Nasdaq</t>
        </is>
      </c>
      <c r="D5292" t="n">
        <v>1341235</v>
      </c>
      <c r="E5292" t="inlineStr">
        <is>
          <t>SEC</t>
        </is>
      </c>
    </row>
    <row r="5293">
      <c r="A5293" s="5">
        <f>HYPERLINK("https://finance.yahoo.com/quote/CVRX","CVRX")</f>
        <v/>
      </c>
      <c r="B5293" t="inlineStr">
        <is>
          <t>CVRx, Inc.</t>
        </is>
      </c>
      <c r="C5293" t="inlineStr">
        <is>
          <t>Nasdaq</t>
        </is>
      </c>
      <c r="D5293" t="n">
        <v>1235912</v>
      </c>
      <c r="E5293" t="inlineStr">
        <is>
          <t>SEC</t>
        </is>
      </c>
    </row>
    <row r="5294">
      <c r="A5294" s="5">
        <f>HYPERLINK("https://finance.yahoo.com/quote/SOWG","SOWG")</f>
        <v/>
      </c>
      <c r="B5294" t="inlineStr">
        <is>
          <t>Sow Good Inc.</t>
        </is>
      </c>
      <c r="C5294" t="inlineStr">
        <is>
          <t>Nasdaq</t>
        </is>
      </c>
      <c r="D5294" t="n">
        <v>1490161</v>
      </c>
      <c r="E5294" t="inlineStr">
        <is>
          <t>SEC</t>
        </is>
      </c>
    </row>
    <row r="5295">
      <c r="A5295" s="5">
        <f>HYPERLINK("https://finance.yahoo.com/quote/LVO","LVO")</f>
        <v/>
      </c>
      <c r="B5295" t="inlineStr">
        <is>
          <t>LiveOne, Inc.</t>
        </is>
      </c>
      <c r="C5295" t="inlineStr">
        <is>
          <t>Nasdaq</t>
        </is>
      </c>
      <c r="D5295" t="n">
        <v>1491419</v>
      </c>
      <c r="E5295" t="inlineStr">
        <is>
          <t>SEC</t>
        </is>
      </c>
    </row>
    <row r="5296">
      <c r="A5296" s="5">
        <f>HYPERLINK("https://finance.yahoo.com/quote/SQNS","SQNS")</f>
        <v/>
      </c>
      <c r="B5296" t="inlineStr">
        <is>
          <t>SEQUANS COMMUNICATIONS</t>
        </is>
      </c>
      <c r="C5296" t="inlineStr">
        <is>
          <t>NYSE</t>
        </is>
      </c>
      <c r="D5296" t="n">
        <v>1383395</v>
      </c>
      <c r="E5296" t="inlineStr">
        <is>
          <t>SEC</t>
        </is>
      </c>
    </row>
    <row r="5297">
      <c r="A5297" s="5">
        <f>HYPERLINK("https://finance.yahoo.com/quote/MIND","MIND")</f>
        <v/>
      </c>
      <c r="B5297" t="inlineStr">
        <is>
          <t>MIND TECHNOLOGY, INC</t>
        </is>
      </c>
      <c r="C5297" t="inlineStr">
        <is>
          <t>Nasdaq</t>
        </is>
      </c>
      <c r="D5297" t="n">
        <v>926423</v>
      </c>
      <c r="E5297" t="inlineStr">
        <is>
          <t>SEC</t>
        </is>
      </c>
    </row>
    <row r="5298">
      <c r="A5298" s="5">
        <f>HYPERLINK("https://finance.yahoo.com/quote/ACCL","ACCL")</f>
        <v/>
      </c>
      <c r="B5298" t="inlineStr">
        <is>
          <t>Acco Group Holdings Ltd</t>
        </is>
      </c>
      <c r="C5298" t="inlineStr">
        <is>
          <t>Nasdaq</t>
        </is>
      </c>
      <c r="D5298" t="n">
        <v>2038378</v>
      </c>
      <c r="E5298" t="inlineStr">
        <is>
          <t>SEC</t>
        </is>
      </c>
    </row>
    <row r="5299">
      <c r="A5299" s="5">
        <f>HYPERLINK("https://finance.yahoo.com/quote/MVIS","MVIS")</f>
        <v/>
      </c>
      <c r="B5299" t="inlineStr">
        <is>
          <t>MICROVISION, INC.</t>
        </is>
      </c>
      <c r="C5299" t="inlineStr">
        <is>
          <t>Nasdaq</t>
        </is>
      </c>
      <c r="D5299" t="n">
        <v>65770</v>
      </c>
      <c r="E5299" t="inlineStr">
        <is>
          <t>SEC</t>
        </is>
      </c>
    </row>
    <row r="5300">
      <c r="A5300" s="5">
        <f>HYPERLINK("https://finance.yahoo.com/quote/PRPO","PRPO")</f>
        <v/>
      </c>
      <c r="B5300" t="inlineStr">
        <is>
          <t>Precipio, Inc.</t>
        </is>
      </c>
      <c r="C5300" t="inlineStr">
        <is>
          <t>Nasdaq</t>
        </is>
      </c>
      <c r="D5300" t="n">
        <v>1043961</v>
      </c>
      <c r="E5300" t="inlineStr">
        <is>
          <t>SEC</t>
        </is>
      </c>
    </row>
    <row r="5301">
      <c r="A5301" s="5">
        <f>HYPERLINK("https://finance.yahoo.com/quote/NNVC","NNVC")</f>
        <v/>
      </c>
      <c r="B5301" t="inlineStr">
        <is>
          <t>NANOVIRICIDES, INC.</t>
        </is>
      </c>
      <c r="C5301" t="inlineStr">
        <is>
          <t>NYSE</t>
        </is>
      </c>
      <c r="D5301" t="n">
        <v>1379006</v>
      </c>
      <c r="E5301" t="inlineStr">
        <is>
          <t>SEC</t>
        </is>
      </c>
    </row>
    <row r="5302">
      <c r="A5302" s="5">
        <f>HYPERLINK("https://finance.yahoo.com/quote/SNSC","SNSC")</f>
        <v/>
      </c>
      <c r="B5302" t="inlineStr">
        <is>
          <t>SunScout Holding Ltd</t>
        </is>
      </c>
      <c r="C5302" t="inlineStr">
        <is>
          <t>NYSE</t>
        </is>
      </c>
      <c r="D5302" t="n">
        <v>2101240</v>
      </c>
      <c r="E5302" t="inlineStr">
        <is>
          <t>SEC</t>
        </is>
      </c>
    </row>
    <row r="5303">
      <c r="A5303" s="5">
        <f>HYPERLINK("https://finance.yahoo.com/quote/PAAI","PAAI")</f>
        <v/>
      </c>
      <c r="B5303" t="inlineStr">
        <is>
          <t>Paradium.AI, Inc.</t>
        </is>
      </c>
      <c r="C5303" t="inlineStr">
        <is>
          <t>NYSE</t>
        </is>
      </c>
      <c r="D5303" t="n">
        <v>894871</v>
      </c>
      <c r="E5303" t="inlineStr">
        <is>
          <t>SEC</t>
        </is>
      </c>
    </row>
    <row r="5304">
      <c r="A5304" s="5">
        <f>HYPERLINK("https://finance.yahoo.com/quote/BNAI","BNAI")</f>
        <v/>
      </c>
      <c r="B5304" t="inlineStr">
        <is>
          <t>Brand Engagement Network Inc.</t>
        </is>
      </c>
      <c r="C5304" t="inlineStr">
        <is>
          <t>Nasdaq</t>
        </is>
      </c>
      <c r="D5304" t="n">
        <v>1838163</v>
      </c>
      <c r="E5304" t="inlineStr">
        <is>
          <t>SEC</t>
        </is>
      </c>
    </row>
    <row r="5305">
      <c r="A5305" s="5">
        <f>HYPERLINK("https://finance.yahoo.com/quote/BTMD","BTMD")</f>
        <v/>
      </c>
      <c r="B5305" t="inlineStr">
        <is>
          <t>biote Corp.</t>
        </is>
      </c>
      <c r="C5305" t="inlineStr">
        <is>
          <t>Nasdaq</t>
        </is>
      </c>
      <c r="D5305" t="n">
        <v>1819253</v>
      </c>
      <c r="E5305" t="inlineStr">
        <is>
          <t>SEC</t>
        </is>
      </c>
    </row>
    <row r="5306">
      <c r="A5306" s="5">
        <f>HYPERLINK("https://finance.yahoo.com/quote/SFRX","SFRX")</f>
        <v/>
      </c>
      <c r="B5306" t="inlineStr">
        <is>
          <t>SEAFARER EXPLORATION CORP</t>
        </is>
      </c>
      <c r="C5306" t="inlineStr">
        <is>
          <t>OTC</t>
        </is>
      </c>
      <c r="D5306" t="n">
        <v>1106213</v>
      </c>
      <c r="E5306" t="inlineStr">
        <is>
          <t>SEC</t>
        </is>
      </c>
    </row>
    <row r="5307">
      <c r="A5307" s="5">
        <f>HYPERLINK("https://finance.yahoo.com/quote/EXOZ","EXOZ")</f>
        <v/>
      </c>
      <c r="B5307" t="inlineStr">
        <is>
          <t>EXOZYMES INC.</t>
        </is>
      </c>
      <c r="C5307" t="inlineStr">
        <is>
          <t>Nasdaq</t>
        </is>
      </c>
      <c r="D5307" t="n">
        <v>2010788</v>
      </c>
      <c r="E5307" t="inlineStr">
        <is>
          <t>SEC</t>
        </is>
      </c>
    </row>
    <row r="5308">
      <c r="A5308" s="5">
        <f>HYPERLINK("https://finance.yahoo.com/quote/GAIA","GAIA")</f>
        <v/>
      </c>
      <c r="B5308" t="inlineStr">
        <is>
          <t>GAIA, INC</t>
        </is>
      </c>
      <c r="C5308" t="inlineStr">
        <is>
          <t>Nasdaq</t>
        </is>
      </c>
      <c r="D5308" t="n">
        <v>1089872</v>
      </c>
      <c r="E5308" t="inlineStr">
        <is>
          <t>SEC</t>
        </is>
      </c>
    </row>
    <row r="5309">
      <c r="A5309" s="5">
        <f>HYPERLINK("https://finance.yahoo.com/quote/EDSA","EDSA")</f>
        <v/>
      </c>
      <c r="B5309" t="inlineStr">
        <is>
          <t>Edesa Biotech, Inc.</t>
        </is>
      </c>
      <c r="C5309" t="inlineStr">
        <is>
          <t>Nasdaq</t>
        </is>
      </c>
      <c r="D5309" t="n">
        <v>1540159</v>
      </c>
      <c r="E5309" t="inlineStr">
        <is>
          <t>SEC</t>
        </is>
      </c>
    </row>
    <row r="5310">
      <c r="A5310" s="5">
        <f>HYPERLINK("https://finance.yahoo.com/quote/CNVS","CNVS")</f>
        <v/>
      </c>
      <c r="B5310" t="inlineStr">
        <is>
          <t>Cineverse Corp.</t>
        </is>
      </c>
      <c r="C5310" t="inlineStr">
        <is>
          <t>Nasdaq</t>
        </is>
      </c>
      <c r="D5310" t="n">
        <v>1173204</v>
      </c>
      <c r="E5310" t="inlineStr">
        <is>
          <t>SEC</t>
        </is>
      </c>
    </row>
    <row r="5311">
      <c r="A5311" s="5">
        <f>HYPERLINK("https://finance.yahoo.com/quote/TKRFF","TKRFF")</f>
        <v/>
      </c>
      <c r="B5311" t="inlineStr">
        <is>
          <t>TINKA RESOURCES Ltd</t>
        </is>
      </c>
      <c r="C5311" t="inlineStr">
        <is>
          <t>OTC</t>
        </is>
      </c>
      <c r="D5311" t="n">
        <v>1368845</v>
      </c>
      <c r="E5311" t="inlineStr">
        <is>
          <t>SEC</t>
        </is>
      </c>
    </row>
    <row r="5312">
      <c r="A5312" s="5">
        <f>HYPERLINK("https://finance.yahoo.com/quote/SJ","SJ")</f>
        <v/>
      </c>
      <c r="B5312" t="inlineStr">
        <is>
          <t>Scienjoy Holding Corp</t>
        </is>
      </c>
      <c r="C5312" t="inlineStr">
        <is>
          <t>Nasdaq</t>
        </is>
      </c>
      <c r="D5312" t="n">
        <v>1753673</v>
      </c>
      <c r="E5312" t="inlineStr">
        <is>
          <t>SEC</t>
        </is>
      </c>
    </row>
    <row r="5313">
      <c r="A5313" s="5">
        <f>HYPERLINK("https://finance.yahoo.com/quote/ESAUF","ESAUF")</f>
        <v/>
      </c>
      <c r="B5313" t="inlineStr">
        <is>
          <t>ESGold Corp.</t>
        </is>
      </c>
      <c r="C5313" t="inlineStr">
        <is>
          <t>OTC</t>
        </is>
      </c>
      <c r="D5313" t="n">
        <v>1657800</v>
      </c>
      <c r="E5313" t="inlineStr">
        <is>
          <t>SEC</t>
        </is>
      </c>
    </row>
    <row r="5314">
      <c r="A5314" s="5">
        <f>HYPERLINK("https://finance.yahoo.com/quote/AUXXF","AUXXF")</f>
        <v/>
      </c>
      <c r="B5314" t="inlineStr">
        <is>
          <t>A2 Gold Corp.</t>
        </is>
      </c>
      <c r="C5314" t="inlineStr">
        <is>
          <t>OTC</t>
        </is>
      </c>
      <c r="D5314" t="n">
        <v>1725603</v>
      </c>
      <c r="E5314" t="inlineStr">
        <is>
          <t>SEC</t>
        </is>
      </c>
    </row>
    <row r="5315">
      <c r="A5315" s="5">
        <f>HYPERLINK("https://finance.yahoo.com/quote/CCEL","CCEL")</f>
        <v/>
      </c>
      <c r="B5315" t="inlineStr">
        <is>
          <t>CRYO CELL INTERNATIONAL INC</t>
        </is>
      </c>
      <c r="C5315" t="inlineStr">
        <is>
          <t>NYSE</t>
        </is>
      </c>
      <c r="D5315" t="n">
        <v>862692</v>
      </c>
      <c r="E5315" t="inlineStr">
        <is>
          <t>SEC</t>
        </is>
      </c>
    </row>
    <row r="5316">
      <c r="A5316" s="5">
        <f>HYPERLINK("https://finance.yahoo.com/quote/LITS","LITS")</f>
        <v/>
      </c>
      <c r="B5316" t="inlineStr">
        <is>
          <t>Lite Strategy, Inc.</t>
        </is>
      </c>
      <c r="C5316" t="inlineStr">
        <is>
          <t>Nasdaq</t>
        </is>
      </c>
      <c r="D5316" t="n">
        <v>1262104</v>
      </c>
      <c r="E5316" t="inlineStr">
        <is>
          <t>SEC</t>
        </is>
      </c>
    </row>
    <row r="5317">
      <c r="A5317" s="5">
        <f>HYPERLINK("https://finance.yahoo.com/quote/AURE","AURE")</f>
        <v/>
      </c>
      <c r="B5317" t="inlineStr">
        <is>
          <t>Aurelion Inc.</t>
        </is>
      </c>
      <c r="C5317" t="inlineStr">
        <is>
          <t>Nasdaq</t>
        </is>
      </c>
      <c r="D5317" t="n">
        <v>1765850</v>
      </c>
      <c r="E5317" t="inlineStr">
        <is>
          <t>SEC</t>
        </is>
      </c>
    </row>
    <row r="5318">
      <c r="A5318" s="5">
        <f>HYPERLINK("https://finance.yahoo.com/quote/MLCI","MLCI")</f>
        <v/>
      </c>
      <c r="B5318" t="inlineStr">
        <is>
          <t>Mount Logan Capital Inc.</t>
        </is>
      </c>
      <c r="C5318" t="inlineStr">
        <is>
          <t>Nasdaq</t>
        </is>
      </c>
      <c r="D5318" t="n">
        <v>2051820</v>
      </c>
      <c r="E5318" t="inlineStr">
        <is>
          <t>SEC</t>
        </is>
      </c>
    </row>
    <row r="5319">
      <c r="A5319" s="5">
        <f>HYPERLINK("https://finance.yahoo.com/quote/STRR","STRR")</f>
        <v/>
      </c>
      <c r="B5319" t="inlineStr">
        <is>
          <t>Star Equity Holdings, Inc.</t>
        </is>
      </c>
      <c r="C5319" t="inlineStr">
        <is>
          <t>Nasdaq</t>
        </is>
      </c>
      <c r="D5319" t="n">
        <v>1210708</v>
      </c>
      <c r="E5319" t="inlineStr">
        <is>
          <t>SEC</t>
        </is>
      </c>
    </row>
    <row r="5320">
      <c r="A5320" s="5">
        <f>HYPERLINK("https://finance.yahoo.com/quote/BRIA","BRIA")</f>
        <v/>
      </c>
      <c r="B5320" t="inlineStr">
        <is>
          <t>BrilliA Inc</t>
        </is>
      </c>
      <c r="C5320" t="inlineStr">
        <is>
          <t>NYSE</t>
        </is>
      </c>
      <c r="D5320" t="n">
        <v>2000230</v>
      </c>
      <c r="E5320" t="inlineStr">
        <is>
          <t>SEC</t>
        </is>
      </c>
    </row>
    <row r="5321">
      <c r="A5321" s="5">
        <f>HYPERLINK("https://finance.yahoo.com/quote/JDZG","JDZG")</f>
        <v/>
      </c>
      <c r="B5321" t="inlineStr">
        <is>
          <t>JIADE Ltd</t>
        </is>
      </c>
      <c r="C5321" t="inlineStr">
        <is>
          <t>Nasdaq</t>
        </is>
      </c>
      <c r="D5321" t="n">
        <v>1976908</v>
      </c>
      <c r="E5321" t="inlineStr">
        <is>
          <t>SEC</t>
        </is>
      </c>
    </row>
    <row r="5322">
      <c r="A5322" s="5">
        <f>HYPERLINK("https://finance.yahoo.com/quote/HWAUF","HWAUF")</f>
        <v/>
      </c>
      <c r="B5322" t="inlineStr">
        <is>
          <t>Headwater Gold Inc.</t>
        </is>
      </c>
      <c r="C5322" t="inlineStr">
        <is>
          <t>OTC</t>
        </is>
      </c>
      <c r="D5322" t="n">
        <v>1817161</v>
      </c>
      <c r="E5322" t="inlineStr">
        <is>
          <t>SEC</t>
        </is>
      </c>
    </row>
    <row r="5323">
      <c r="A5323" s="5">
        <f>HYPERLINK("https://finance.yahoo.com/quote/ELWT","ELWT")</f>
        <v/>
      </c>
      <c r="B5323" t="inlineStr">
        <is>
          <t>Elauwit Connection, Inc.</t>
        </is>
      </c>
      <c r="C5323" t="inlineStr">
        <is>
          <t>Nasdaq</t>
        </is>
      </c>
      <c r="D5323" t="n">
        <v>2063863</v>
      </c>
      <c r="E5323" t="inlineStr">
        <is>
          <t>SEC</t>
        </is>
      </c>
    </row>
    <row r="5324">
      <c r="A5324" s="5">
        <f>HYPERLINK("https://finance.yahoo.com/quote/VNOV","VNOV")</f>
        <v/>
      </c>
      <c r="B5324" t="inlineStr">
        <is>
          <t>VitaNova Life Sciences Corp</t>
        </is>
      </c>
      <c r="C5324" t="inlineStr">
        <is>
          <t>OTC</t>
        </is>
      </c>
      <c r="D5324" t="n">
        <v>1699709</v>
      </c>
      <c r="E5324" t="inlineStr">
        <is>
          <t>SEC</t>
        </is>
      </c>
    </row>
    <row r="5325">
      <c r="A5325" s="5">
        <f>HYPERLINK("https://finance.yahoo.com/quote/NTIP","NTIP")</f>
        <v/>
      </c>
      <c r="B5325" t="inlineStr">
        <is>
          <t>NETWORK-1 TECHNOLOGIES, INC.</t>
        </is>
      </c>
      <c r="C5325" t="inlineStr">
        <is>
          <t>NYSE</t>
        </is>
      </c>
      <c r="D5325" t="n">
        <v>1065078</v>
      </c>
      <c r="E5325" t="inlineStr">
        <is>
          <t>SEC</t>
        </is>
      </c>
    </row>
    <row r="5326">
      <c r="A5326" s="5">
        <f>HYPERLINK("https://finance.yahoo.com/quote/RSRV","RSRV")</f>
        <v/>
      </c>
      <c r="B5326" t="inlineStr">
        <is>
          <t>RESERVE PETROLEUM CO</t>
        </is>
      </c>
      <c r="C5326" t="inlineStr">
        <is>
          <t>OTC</t>
        </is>
      </c>
      <c r="D5326" t="n">
        <v>83350</v>
      </c>
      <c r="E5326" t="inlineStr">
        <is>
          <t>SEC</t>
        </is>
      </c>
    </row>
    <row r="5327">
      <c r="A5327" s="5">
        <f>HYPERLINK("https://finance.yahoo.com/quote/VRHI","VRHI")</f>
        <v/>
      </c>
      <c r="B5327" t="inlineStr">
        <is>
          <t>Veri MedTech Holdings, Inc.</t>
        </is>
      </c>
      <c r="C5327" t="inlineStr">
        <is>
          <t>OTC</t>
        </is>
      </c>
      <c r="D5327" t="n">
        <v>2078149</v>
      </c>
      <c r="E5327" t="inlineStr">
        <is>
          <t>SEC</t>
        </is>
      </c>
    </row>
    <row r="5328">
      <c r="A5328" s="5">
        <f>HYPERLINK("https://finance.yahoo.com/quote/SAGGF","SAGGF")</f>
        <v/>
      </c>
      <c r="B5328" t="inlineStr">
        <is>
          <t>Sterling Metals Corp.</t>
        </is>
      </c>
      <c r="C5328" t="inlineStr">
        <is>
          <t>OTC</t>
        </is>
      </c>
      <c r="D5328" t="n">
        <v>1727370</v>
      </c>
      <c r="E5328" t="inlineStr">
        <is>
          <t>SEC</t>
        </is>
      </c>
    </row>
    <row r="5329">
      <c r="A5329" s="5">
        <f>HYPERLINK("https://finance.yahoo.com/quote/SLMT","SLMT")</f>
        <v/>
      </c>
      <c r="B5329" t="inlineStr">
        <is>
          <t>Brera Holdings PLC</t>
        </is>
      </c>
      <c r="C5329" t="inlineStr">
        <is>
          <t>Nasdaq</t>
        </is>
      </c>
      <c r="D5329" t="n">
        <v>1939965</v>
      </c>
      <c r="E5329" t="inlineStr">
        <is>
          <t>SEC</t>
        </is>
      </c>
    </row>
    <row r="5330">
      <c r="A5330" s="5">
        <f>HYPERLINK("https://finance.yahoo.com/quote/ATVK","ATVK")</f>
        <v/>
      </c>
      <c r="B5330" t="inlineStr">
        <is>
          <t>Globaltek Ventures, Inc.</t>
        </is>
      </c>
      <c r="C5330" t="inlineStr">
        <is>
          <t>OTC</t>
        </is>
      </c>
      <c r="D5330" t="n">
        <v>1530185</v>
      </c>
      <c r="E5330" t="inlineStr">
        <is>
          <t>SEC</t>
        </is>
      </c>
    </row>
    <row r="5331">
      <c r="A5331" s="5">
        <f>HYPERLINK("https://finance.yahoo.com/quote/STKS","STKS")</f>
        <v/>
      </c>
      <c r="B5331" t="inlineStr">
        <is>
          <t>ONE Group Hospitality, Inc.</t>
        </is>
      </c>
      <c r="C5331" t="inlineStr">
        <is>
          <t>Nasdaq</t>
        </is>
      </c>
      <c r="D5331" t="n">
        <v>1399520</v>
      </c>
      <c r="E5331" t="inlineStr">
        <is>
          <t>SEC</t>
        </is>
      </c>
    </row>
    <row r="5332">
      <c r="A5332" s="5">
        <f>HYPERLINK("https://finance.yahoo.com/quote/CRVO","CRVO")</f>
        <v/>
      </c>
      <c r="B5332" t="inlineStr">
        <is>
          <t>CervoMed Inc.</t>
        </is>
      </c>
      <c r="C5332" t="inlineStr">
        <is>
          <t>Nasdaq</t>
        </is>
      </c>
      <c r="D5332" t="n">
        <v>1053691</v>
      </c>
      <c r="E5332" t="inlineStr">
        <is>
          <t>SEC</t>
        </is>
      </c>
    </row>
    <row r="5333">
      <c r="A5333" s="5">
        <f>HYPERLINK("https://finance.yahoo.com/quote/KLNG","KLNG")</f>
        <v/>
      </c>
      <c r="B5333" t="inlineStr">
        <is>
          <t>Koil Energy Solutions, Inc.</t>
        </is>
      </c>
      <c r="C5333" t="inlineStr">
        <is>
          <t>OTC</t>
        </is>
      </c>
      <c r="D5333" t="n">
        <v>1110607</v>
      </c>
      <c r="E5333" t="inlineStr">
        <is>
          <t>SEC</t>
        </is>
      </c>
    </row>
    <row r="5334">
      <c r="A5334" s="5">
        <f>HYPERLINK("https://finance.yahoo.com/quote/EYPT","EYPT")</f>
        <v/>
      </c>
      <c r="B5334" t="inlineStr">
        <is>
          <t>EyePoint, Inc.</t>
        </is>
      </c>
      <c r="C5334" t="inlineStr">
        <is>
          <t>Nasdaq</t>
        </is>
      </c>
      <c r="D5334" t="n">
        <v>1314102</v>
      </c>
      <c r="E5334" t="inlineStr">
        <is>
          <t>SEC</t>
        </is>
      </c>
    </row>
    <row r="5335">
      <c r="A5335" s="5">
        <f>HYPERLINK("https://finance.yahoo.com/quote/RYM","RYM")</f>
        <v/>
      </c>
      <c r="B5335" t="inlineStr">
        <is>
          <t>RYTHM, Inc.</t>
        </is>
      </c>
      <c r="C5335" t="inlineStr">
        <is>
          <t>Nasdaq</t>
        </is>
      </c>
      <c r="D5335" t="n">
        <v>1800637</v>
      </c>
      <c r="E5335" t="inlineStr">
        <is>
          <t>SEC</t>
        </is>
      </c>
    </row>
    <row r="5336">
      <c r="A5336" s="5">
        <f>HYPERLINK("https://finance.yahoo.com/quote/DRIO","DRIO")</f>
        <v/>
      </c>
      <c r="B5336" t="inlineStr">
        <is>
          <t>DarioHealth Corp.</t>
        </is>
      </c>
      <c r="C5336" t="inlineStr">
        <is>
          <t>Nasdaq</t>
        </is>
      </c>
      <c r="D5336" t="n">
        <v>1533998</v>
      </c>
      <c r="E5336" t="inlineStr">
        <is>
          <t>SEC</t>
        </is>
      </c>
    </row>
    <row r="5337">
      <c r="A5337" s="5">
        <f>HYPERLINK("https://finance.yahoo.com/quote/PYRGF","PYRGF")</f>
        <v/>
      </c>
      <c r="B5337" t="inlineStr">
        <is>
          <t>PyroGenesis Canada Inc.</t>
        </is>
      </c>
      <c r="C5337" t="inlineStr">
        <is>
          <t>OTC</t>
        </is>
      </c>
      <c r="D5337" t="n">
        <v>1743344</v>
      </c>
      <c r="E5337" t="inlineStr">
        <is>
          <t>SEC</t>
        </is>
      </c>
    </row>
    <row r="5338">
      <c r="A5338" s="5">
        <f>HYPERLINK("https://finance.yahoo.com/quote/PFSB","PFSB")</f>
        <v/>
      </c>
      <c r="B5338" t="inlineStr">
        <is>
          <t>PFS Bancorp, Inc.</t>
        </is>
      </c>
      <c r="C5338" t="inlineStr">
        <is>
          <t>OTC</t>
        </is>
      </c>
      <c r="D5338" t="n">
        <v>1967656</v>
      </c>
      <c r="E5338" t="inlineStr">
        <is>
          <t>SEC</t>
        </is>
      </c>
    </row>
    <row r="5339">
      <c r="A5339" s="5">
        <f>HYPERLINK("https://finance.yahoo.com/quote/SPND","SPND")</f>
        <v/>
      </c>
      <c r="B5339" t="inlineStr">
        <is>
          <t>SPINDLETOP OIL &amp; GAS CO</t>
        </is>
      </c>
      <c r="C5339" t="inlineStr">
        <is>
          <t>OTC</t>
        </is>
      </c>
      <c r="D5339" t="n">
        <v>867038</v>
      </c>
      <c r="E5339" t="inlineStr">
        <is>
          <t>SEC</t>
        </is>
      </c>
    </row>
    <row r="5340">
      <c r="A5340" s="5">
        <f>HYPERLINK("https://finance.yahoo.com/quote/BZAI","BZAI")</f>
        <v/>
      </c>
      <c r="B5340" t="inlineStr">
        <is>
          <t>Blaize Holdings, Inc.</t>
        </is>
      </c>
      <c r="C5340" t="inlineStr">
        <is>
          <t>Nasdaq</t>
        </is>
      </c>
      <c r="D5340" t="n">
        <v>1871638</v>
      </c>
      <c r="E5340" t="inlineStr">
        <is>
          <t>SEC</t>
        </is>
      </c>
    </row>
    <row r="5341">
      <c r="A5341" s="5">
        <f>HYPERLINK("https://finance.yahoo.com/quote/KNDI","KNDI")</f>
        <v/>
      </c>
      <c r="B5341" t="inlineStr">
        <is>
          <t>Kandi Technologies Group, Inc.</t>
        </is>
      </c>
      <c r="C5341" t="inlineStr">
        <is>
          <t>Nasdaq</t>
        </is>
      </c>
      <c r="D5341" t="n">
        <v>1720250</v>
      </c>
      <c r="E5341" t="inlineStr">
        <is>
          <t>SEC</t>
        </is>
      </c>
    </row>
    <row r="5342">
      <c r="A5342" s="5">
        <f>HYPERLINK("https://finance.yahoo.com/quote/SFWL","SFWL")</f>
        <v/>
      </c>
      <c r="B5342" t="inlineStr">
        <is>
          <t>SHENGFENG DEVELOPMENT Ltd</t>
        </is>
      </c>
      <c r="C5342" t="inlineStr">
        <is>
          <t>Nasdaq</t>
        </is>
      </c>
      <c r="D5342" t="n">
        <v>1863218</v>
      </c>
      <c r="E5342" t="inlineStr">
        <is>
          <t>SEC</t>
        </is>
      </c>
    </row>
    <row r="5343">
      <c r="A5343" s="5">
        <f>HYPERLINK("https://finance.yahoo.com/quote/HUHU","HUHU")</f>
        <v/>
      </c>
      <c r="B5343" t="inlineStr">
        <is>
          <t>HUHUTECH International Group Inc.</t>
        </is>
      </c>
      <c r="C5343" t="inlineStr">
        <is>
          <t>Nasdaq</t>
        </is>
      </c>
      <c r="D5343" t="n">
        <v>1945415</v>
      </c>
      <c r="E5343" t="inlineStr">
        <is>
          <t>SEC</t>
        </is>
      </c>
    </row>
    <row r="5344">
      <c r="A5344" s="5">
        <f>HYPERLINK("https://finance.yahoo.com/quote/TEAD","TEAD")</f>
        <v/>
      </c>
      <c r="B5344" t="inlineStr">
        <is>
          <t>Teads Holding Co.</t>
        </is>
      </c>
      <c r="C5344" t="inlineStr">
        <is>
          <t>Nasdaq</t>
        </is>
      </c>
      <c r="D5344" t="n">
        <v>1454938</v>
      </c>
      <c r="E5344" t="inlineStr">
        <is>
          <t>SEC</t>
        </is>
      </c>
    </row>
    <row r="5345">
      <c r="A5345" s="5">
        <f>HYPERLINK("https://finance.yahoo.com/quote/RMCO","RMCO")</f>
        <v/>
      </c>
      <c r="B5345" t="inlineStr">
        <is>
          <t>Royalty Management Holding Corp</t>
        </is>
      </c>
      <c r="C5345" t="inlineStr">
        <is>
          <t>Nasdaq</t>
        </is>
      </c>
      <c r="D5345" t="n">
        <v>1843656</v>
      </c>
      <c r="E5345" t="inlineStr">
        <is>
          <t>SEC</t>
        </is>
      </c>
    </row>
    <row r="5346">
      <c r="A5346" s="5">
        <f>HYPERLINK("https://finance.yahoo.com/quote/SPMEF","SPMEF")</f>
        <v/>
      </c>
      <c r="B5346" t="inlineStr">
        <is>
          <t>South Pacific Metals Corp.</t>
        </is>
      </c>
      <c r="C5346" t="inlineStr">
        <is>
          <t>OTC</t>
        </is>
      </c>
      <c r="D5346" t="n">
        <v>2056030</v>
      </c>
      <c r="E5346" t="inlineStr">
        <is>
          <t>SEC</t>
        </is>
      </c>
    </row>
    <row r="5347">
      <c r="A5347" s="5">
        <f>HYPERLINK("https://finance.yahoo.com/quote/EHLD","EHLD")</f>
        <v/>
      </c>
      <c r="B5347" t="inlineStr">
        <is>
          <t>Euroholdings Ltd.</t>
        </is>
      </c>
      <c r="C5347" t="inlineStr">
        <is>
          <t>Nasdaq</t>
        </is>
      </c>
      <c r="D5347" t="n">
        <v>2032779</v>
      </c>
      <c r="E5347" t="inlineStr">
        <is>
          <t>SEC</t>
        </is>
      </c>
    </row>
    <row r="5348">
      <c r="A5348" s="5">
        <f>HYPERLINK("https://finance.yahoo.com/quote/EVAX","EVAX")</f>
        <v/>
      </c>
      <c r="B5348" t="inlineStr">
        <is>
          <t>Evaxion A/S</t>
        </is>
      </c>
      <c r="C5348" t="inlineStr">
        <is>
          <t>Nasdaq</t>
        </is>
      </c>
      <c r="D5348" t="n">
        <v>1828253</v>
      </c>
      <c r="E5348" t="inlineStr">
        <is>
          <t>SEC</t>
        </is>
      </c>
    </row>
    <row r="5349">
      <c r="A5349" s="5">
        <f>HYPERLINK("https://finance.yahoo.com/quote/PN","PN")</f>
        <v/>
      </c>
      <c r="B5349" t="inlineStr">
        <is>
          <t>PN Smart Energy Ltd</t>
        </is>
      </c>
      <c r="C5349" t="inlineStr">
        <is>
          <t>Nasdaq</t>
        </is>
      </c>
      <c r="D5349" t="n">
        <v>2001288</v>
      </c>
      <c r="E5349" t="inlineStr">
        <is>
          <t>SEC</t>
        </is>
      </c>
    </row>
    <row r="5350">
      <c r="A5350" s="5">
        <f>HYPERLINK("https://finance.yahoo.com/quote/MCUJF","MCUJF")</f>
        <v/>
      </c>
      <c r="B5350" t="inlineStr">
        <is>
          <t>MEDICURE INC</t>
        </is>
      </c>
      <c r="C5350" t="inlineStr">
        <is>
          <t>OTC</t>
        </is>
      </c>
      <c r="D5350" t="n">
        <v>1133519</v>
      </c>
      <c r="E5350" t="inlineStr">
        <is>
          <t>SEC</t>
        </is>
      </c>
    </row>
    <row r="5351">
      <c r="A5351" s="5">
        <f>HYPERLINK("https://finance.yahoo.com/quote/STAK","STAK")</f>
        <v/>
      </c>
      <c r="B5351" t="inlineStr">
        <is>
          <t>STAK Inc.</t>
        </is>
      </c>
      <c r="C5351" t="inlineStr">
        <is>
          <t>Nasdaq</t>
        </is>
      </c>
      <c r="D5351" t="n">
        <v>2002453</v>
      </c>
      <c r="E5351" t="inlineStr">
        <is>
          <t>SEC</t>
        </is>
      </c>
    </row>
    <row r="5352">
      <c r="A5352" s="5">
        <f>HYPERLINK("https://finance.yahoo.com/quote/EDHL","EDHL")</f>
        <v/>
      </c>
      <c r="B5352" t="inlineStr">
        <is>
          <t>Everbright Digital Holding Ltd.</t>
        </is>
      </c>
      <c r="C5352" t="inlineStr">
        <is>
          <t>Nasdaq</t>
        </is>
      </c>
      <c r="D5352" t="n">
        <v>2024876</v>
      </c>
      <c r="E5352" t="inlineStr">
        <is>
          <t>SEC</t>
        </is>
      </c>
    </row>
    <row r="5353">
      <c r="A5353" s="5">
        <f>HYPERLINK("https://finance.yahoo.com/quote/BRAG","BRAG")</f>
        <v/>
      </c>
      <c r="B5353" t="inlineStr">
        <is>
          <t>Bragg Gaming Group Inc.</t>
        </is>
      </c>
      <c r="C5353" t="inlineStr">
        <is>
          <t>Nasdaq</t>
        </is>
      </c>
      <c r="D5353" t="n">
        <v>1867834</v>
      </c>
      <c r="E5353" t="inlineStr">
        <is>
          <t>SEC</t>
        </is>
      </c>
    </row>
    <row r="5354">
      <c r="A5354" s="5">
        <f>HYPERLINK("https://finance.yahoo.com/quote/GMHS","GMHS")</f>
        <v/>
      </c>
      <c r="B5354" t="inlineStr">
        <is>
          <t>Gamehaus Holdings Inc.</t>
        </is>
      </c>
      <c r="C5354" t="inlineStr">
        <is>
          <t>Nasdaq</t>
        </is>
      </c>
      <c r="D5354" t="n">
        <v>2000530</v>
      </c>
      <c r="E5354" t="inlineStr">
        <is>
          <t>SEC</t>
        </is>
      </c>
    </row>
    <row r="5355">
      <c r="A5355" s="5">
        <f>HYPERLINK("https://finance.yahoo.com/quote/LVLU","LVLU")</f>
        <v/>
      </c>
      <c r="B5355" t="inlineStr">
        <is>
          <t>Lulu's Fashion Lounge Holdings, Inc.</t>
        </is>
      </c>
      <c r="C5355" t="inlineStr">
        <is>
          <t>Nasdaq</t>
        </is>
      </c>
      <c r="D5355" t="n">
        <v>1780201</v>
      </c>
      <c r="E5355" t="inlineStr">
        <is>
          <t>SEC</t>
        </is>
      </c>
    </row>
    <row r="5356">
      <c r="A5356" s="5">
        <f>HYPERLINK("https://finance.yahoo.com/quote/ITHUF","ITHUF")</f>
        <v/>
      </c>
      <c r="B5356" t="inlineStr">
        <is>
          <t>iANTHUS CAPITAL HOLDINGS, INC.</t>
        </is>
      </c>
      <c r="C5356" t="inlineStr">
        <is>
          <t>OTC</t>
        </is>
      </c>
      <c r="D5356" t="n">
        <v>1643154</v>
      </c>
      <c r="E5356" t="inlineStr">
        <is>
          <t>SEC</t>
        </is>
      </c>
    </row>
    <row r="5357">
      <c r="A5357" s="5">
        <f>HYPERLINK("https://finance.yahoo.com/quote/KOSS","KOSS")</f>
        <v/>
      </c>
      <c r="B5357" t="inlineStr">
        <is>
          <t>KOSS CORP</t>
        </is>
      </c>
      <c r="C5357" t="inlineStr">
        <is>
          <t>Nasdaq</t>
        </is>
      </c>
      <c r="D5357" t="n">
        <v>56701</v>
      </c>
      <c r="E5357" t="inlineStr">
        <is>
          <t>SEC</t>
        </is>
      </c>
    </row>
    <row r="5358">
      <c r="A5358" s="5">
        <f>HYPERLINK("https://finance.yahoo.com/quote/AMTD","AMTD")</f>
        <v/>
      </c>
      <c r="B5358" t="inlineStr">
        <is>
          <t>AMTD IDEA GROUP</t>
        </is>
      </c>
      <c r="C5358" t="inlineStr">
        <is>
          <t>NYSE</t>
        </is>
      </c>
      <c r="D5358" t="n">
        <v>1769731</v>
      </c>
      <c r="E5358" t="inlineStr">
        <is>
          <t>SEC</t>
        </is>
      </c>
    </row>
    <row r="5359">
      <c r="A5359" s="5">
        <f>HYPERLINK("https://finance.yahoo.com/quote/DGNOF","DGNOF")</f>
        <v/>
      </c>
      <c r="B5359" t="inlineStr">
        <is>
          <t>Diagnos Inc.</t>
        </is>
      </c>
      <c r="C5359" t="inlineStr">
        <is>
          <t>OTC</t>
        </is>
      </c>
      <c r="D5359" t="n">
        <v>1790693</v>
      </c>
      <c r="E5359" t="inlineStr">
        <is>
          <t>SEC</t>
        </is>
      </c>
    </row>
    <row r="5360">
      <c r="A5360" s="5">
        <f>HYPERLINK("https://finance.yahoo.com/quote/VGES","VGES")</f>
        <v/>
      </c>
      <c r="B5360" t="inlineStr">
        <is>
          <t>Vanguard Green Investment Ltd</t>
        </is>
      </c>
      <c r="C5360" t="inlineStr">
        <is>
          <t>OTC</t>
        </is>
      </c>
      <c r="D5360" t="n">
        <v>1746119</v>
      </c>
      <c r="E5360" t="inlineStr">
        <is>
          <t>SEC</t>
        </is>
      </c>
    </row>
    <row r="5361">
      <c r="A5361" s="5">
        <f>HYPERLINK("https://finance.yahoo.com/quote/AARD","AARD")</f>
        <v/>
      </c>
      <c r="B5361" t="inlineStr">
        <is>
          <t>Aardvark Therapeutics, Inc.</t>
        </is>
      </c>
      <c r="C5361" t="inlineStr">
        <is>
          <t>Nasdaq</t>
        </is>
      </c>
      <c r="D5361" t="n">
        <v>1774857</v>
      </c>
      <c r="E5361" t="inlineStr">
        <is>
          <t>SEC</t>
        </is>
      </c>
    </row>
    <row r="5362">
      <c r="A5362" s="5">
        <f>HYPERLINK("https://finance.yahoo.com/quote/QTI","QTI")</f>
        <v/>
      </c>
      <c r="B5362" t="inlineStr">
        <is>
          <t>QT IMAGING HOLDINGS, INC.</t>
        </is>
      </c>
      <c r="C5362" t="inlineStr">
        <is>
          <t>Nasdaq</t>
        </is>
      </c>
      <c r="D5362" t="n">
        <v>1844505</v>
      </c>
      <c r="E5362" t="inlineStr">
        <is>
          <t>SEC</t>
        </is>
      </c>
    </row>
    <row r="5363">
      <c r="A5363" s="5">
        <f>HYPERLINK("https://finance.yahoo.com/quote/IXHL","IXHL")</f>
        <v/>
      </c>
      <c r="B5363" t="inlineStr">
        <is>
          <t>Incannex Healthcare Inc.</t>
        </is>
      </c>
      <c r="C5363" t="inlineStr">
        <is>
          <t>Nasdaq</t>
        </is>
      </c>
      <c r="D5363" t="n">
        <v>1873875</v>
      </c>
      <c r="E5363" t="inlineStr">
        <is>
          <t>SEC</t>
        </is>
      </c>
    </row>
    <row r="5364">
      <c r="A5364" s="5">
        <f>HYPERLINK("https://finance.yahoo.com/quote/TGE","TGE")</f>
        <v/>
      </c>
      <c r="B5364" t="inlineStr">
        <is>
          <t>Generation Essentials Group</t>
        </is>
      </c>
      <c r="C5364" t="inlineStr">
        <is>
          <t>NYSE</t>
        </is>
      </c>
      <c r="D5364" t="n">
        <v>2053456</v>
      </c>
      <c r="E5364" t="inlineStr">
        <is>
          <t>SEC</t>
        </is>
      </c>
    </row>
    <row r="5365">
      <c r="A5365" s="5">
        <f>HYPERLINK("https://finance.yahoo.com/quote/SNT","SNT")</f>
        <v/>
      </c>
      <c r="B5365" t="inlineStr">
        <is>
          <t>Senstar Technologies Corp</t>
        </is>
      </c>
      <c r="C5365" t="inlineStr">
        <is>
          <t>Nasdaq</t>
        </is>
      </c>
      <c r="D5365" t="n">
        <v>1993727</v>
      </c>
      <c r="E5365" t="inlineStr">
        <is>
          <t>SEC</t>
        </is>
      </c>
    </row>
    <row r="5366">
      <c r="A5366" s="5">
        <f>HYPERLINK("https://finance.yahoo.com/quote/AHMA","AHMA")</f>
        <v/>
      </c>
      <c r="B5366" t="inlineStr">
        <is>
          <t>AMBITIONS ENTERPRISE MANAGEMENT CO. L.L.C</t>
        </is>
      </c>
      <c r="C5366" t="inlineStr">
        <is>
          <t>Nasdaq</t>
        </is>
      </c>
      <c r="D5366" t="n">
        <v>2010959</v>
      </c>
      <c r="E5366" t="inlineStr">
        <is>
          <t>SEC</t>
        </is>
      </c>
    </row>
    <row r="5367">
      <c r="A5367" s="5">
        <f>HYPERLINK("https://finance.yahoo.com/quote/BOF","BOF")</f>
        <v/>
      </c>
      <c r="B5367" t="inlineStr">
        <is>
          <t>BranchOut Food Inc.</t>
        </is>
      </c>
      <c r="C5367" t="inlineStr">
        <is>
          <t>Nasdaq</t>
        </is>
      </c>
      <c r="D5367" t="n">
        <v>1962481</v>
      </c>
      <c r="E5367" t="inlineStr">
        <is>
          <t>SEC</t>
        </is>
      </c>
    </row>
    <row r="5368">
      <c r="A5368" s="5">
        <f>HYPERLINK("https://finance.yahoo.com/quote/STG","STG")</f>
        <v/>
      </c>
      <c r="B5368" t="inlineStr">
        <is>
          <t>Sunlands Technology Group</t>
        </is>
      </c>
      <c r="C5368" t="inlineStr">
        <is>
          <t>NYSE</t>
        </is>
      </c>
      <c r="D5368" t="n">
        <v>1723935</v>
      </c>
      <c r="E5368" t="inlineStr">
        <is>
          <t>SEC</t>
        </is>
      </c>
    </row>
    <row r="5369">
      <c r="A5369" s="5">
        <f>HYPERLINK("https://finance.yahoo.com/quote/OMEX","OMEX")</f>
        <v/>
      </c>
      <c r="B5369" t="inlineStr">
        <is>
          <t>ODYSSEY MARINE EXPLORATION INC</t>
        </is>
      </c>
      <c r="C5369" t="inlineStr">
        <is>
          <t>Nasdaq</t>
        </is>
      </c>
      <c r="D5369" t="n">
        <v>798528</v>
      </c>
      <c r="E5369" t="inlineStr">
        <is>
          <t>SEC</t>
        </is>
      </c>
    </row>
    <row r="5370">
      <c r="A5370" s="5">
        <f>HYPERLINK("https://finance.yahoo.com/quote/AIOS","AIOS")</f>
        <v/>
      </c>
      <c r="B5370" t="inlineStr">
        <is>
          <t>AIOS Tech Inc.</t>
        </is>
      </c>
      <c r="C5370" t="inlineStr">
        <is>
          <t>Nasdaq</t>
        </is>
      </c>
      <c r="D5370" t="n">
        <v>1603993</v>
      </c>
      <c r="E5370" t="inlineStr">
        <is>
          <t>SEC</t>
        </is>
      </c>
    </row>
    <row r="5371">
      <c r="A5371" s="5">
        <f>HYPERLINK("https://finance.yahoo.com/quote/BZDLF","BZDLF")</f>
        <v/>
      </c>
      <c r="B5371" t="inlineStr">
        <is>
          <t>KINCORA COPPER LTD</t>
        </is>
      </c>
      <c r="C5371" t="inlineStr">
        <is>
          <t>OTC</t>
        </is>
      </c>
      <c r="D5371" t="n">
        <v>1527038</v>
      </c>
      <c r="E5371" t="inlineStr">
        <is>
          <t>SEC</t>
        </is>
      </c>
    </row>
    <row r="5372">
      <c r="A5372" s="5">
        <f>HYPERLINK("https://finance.yahoo.com/quote/NPT","NPT")</f>
        <v/>
      </c>
      <c r="B5372" t="inlineStr">
        <is>
          <t>Texxon Holding Ltd</t>
        </is>
      </c>
      <c r="C5372" t="inlineStr">
        <is>
          <t>Nasdaq</t>
        </is>
      </c>
      <c r="D5372" t="n">
        <v>2014337</v>
      </c>
      <c r="E5372" t="inlineStr">
        <is>
          <t>SEC</t>
        </is>
      </c>
    </row>
    <row r="5373">
      <c r="A5373" s="5">
        <f>HYPERLINK("https://finance.yahoo.com/quote/EAIQ","EAIQ")</f>
        <v/>
      </c>
      <c r="B5373" t="inlineStr">
        <is>
          <t>Eyeonix AIQ, Inc.</t>
        </is>
      </c>
      <c r="C5373" t="inlineStr">
        <is>
          <t>OTC</t>
        </is>
      </c>
      <c r="D5373" t="n">
        <v>1807689</v>
      </c>
      <c r="E5373" t="inlineStr">
        <is>
          <t>SEC</t>
        </is>
      </c>
    </row>
    <row r="5374">
      <c r="A5374" s="5">
        <f>HYPERLINK("https://finance.yahoo.com/quote/AERT","AERT")</f>
        <v/>
      </c>
      <c r="B5374" t="inlineStr">
        <is>
          <t>Aeries Technology, Inc.</t>
        </is>
      </c>
      <c r="C5374" t="inlineStr">
        <is>
          <t>Nasdaq</t>
        </is>
      </c>
      <c r="D5374" t="n">
        <v>1853044</v>
      </c>
      <c r="E5374" t="inlineStr">
        <is>
          <t>SEC</t>
        </is>
      </c>
    </row>
    <row r="5375">
      <c r="A5375" s="5">
        <f>HYPERLINK("https://finance.yahoo.com/quote/NSFDF","NSFDF")</f>
        <v/>
      </c>
      <c r="B5375" t="inlineStr">
        <is>
          <t>NXT Energy Solutions Inc.</t>
        </is>
      </c>
      <c r="C5375" t="inlineStr">
        <is>
          <t>OTC</t>
        </is>
      </c>
      <c r="D5375" t="n">
        <v>1009922</v>
      </c>
      <c r="E5375" t="inlineStr">
        <is>
          <t>SEC</t>
        </is>
      </c>
    </row>
    <row r="5376">
      <c r="A5376" s="5">
        <f>HYPERLINK("https://finance.yahoo.com/quote/IRLA","IRLA")</f>
        <v/>
      </c>
      <c r="B5376" t="inlineStr">
        <is>
          <t>IRulya Therapeutics Inc.</t>
        </is>
      </c>
      <c r="C5376" t="inlineStr">
        <is>
          <t>Nasdaq</t>
        </is>
      </c>
      <c r="D5376" t="n">
        <v>1662774</v>
      </c>
      <c r="E5376" t="inlineStr">
        <is>
          <t>SEC</t>
        </is>
      </c>
    </row>
    <row r="5377">
      <c r="A5377" s="5">
        <f>HYPERLINK("https://finance.yahoo.com/quote/TC","TC")</f>
        <v/>
      </c>
      <c r="B5377" t="inlineStr">
        <is>
          <t>Token Cat Ltd</t>
        </is>
      </c>
      <c r="C5377" t="inlineStr">
        <is>
          <t>Nasdaq</t>
        </is>
      </c>
      <c r="D5377" t="n">
        <v>1743340</v>
      </c>
      <c r="E5377" t="inlineStr">
        <is>
          <t>SEC</t>
        </is>
      </c>
    </row>
    <row r="5378">
      <c r="A5378" s="5">
        <f>HYPERLINK("https://finance.yahoo.com/quote/VAI","VAI")</f>
        <v/>
      </c>
      <c r="B5378" t="inlineStr">
        <is>
          <t>Valor Energy Inc</t>
        </is>
      </c>
      <c r="C5378" t="inlineStr">
        <is>
          <t>Nasdaq</t>
        </is>
      </c>
      <c r="D5378" t="n">
        <v>1711012</v>
      </c>
      <c r="E5378" t="inlineStr">
        <is>
          <t>SEC</t>
        </is>
      </c>
    </row>
    <row r="5379">
      <c r="A5379" s="5">
        <f>HYPERLINK("https://finance.yahoo.com/quote/BIOF","BIOF")</f>
        <v/>
      </c>
      <c r="B5379" t="inlineStr">
        <is>
          <t>BLUE BIOFUELS, INC.</t>
        </is>
      </c>
      <c r="C5379" t="inlineStr">
        <is>
          <t>OTC</t>
        </is>
      </c>
      <c r="D5379" t="n">
        <v>1549145</v>
      </c>
      <c r="E5379" t="inlineStr">
        <is>
          <t>SEC</t>
        </is>
      </c>
    </row>
    <row r="5380">
      <c r="A5380" s="5">
        <f>HYPERLINK("https://finance.yahoo.com/quote/GROW","GROW")</f>
        <v/>
      </c>
      <c r="B5380" t="inlineStr">
        <is>
          <t>U S GLOBAL INVESTORS INC</t>
        </is>
      </c>
      <c r="C5380" t="inlineStr">
        <is>
          <t>Nasdaq</t>
        </is>
      </c>
      <c r="D5380" t="n">
        <v>754811</v>
      </c>
      <c r="E5380" t="inlineStr">
        <is>
          <t>SEC</t>
        </is>
      </c>
    </row>
    <row r="5381">
      <c r="A5381" s="5">
        <f>HYPERLINK("https://finance.yahoo.com/quote/CELU","CELU")</f>
        <v/>
      </c>
      <c r="B5381" t="inlineStr">
        <is>
          <t>Celularity Inc</t>
        </is>
      </c>
      <c r="C5381" t="inlineStr">
        <is>
          <t>Nasdaq</t>
        </is>
      </c>
      <c r="D5381" t="n">
        <v>1752828</v>
      </c>
      <c r="E5381" t="inlineStr">
        <is>
          <t>SEC</t>
        </is>
      </c>
    </row>
    <row r="5382">
      <c r="A5382" s="5">
        <f>HYPERLINK("https://finance.yahoo.com/quote/PXLW","PXLW")</f>
        <v/>
      </c>
      <c r="B5382" t="inlineStr">
        <is>
          <t>PIXELWORKS, INC</t>
        </is>
      </c>
      <c r="C5382" t="inlineStr">
        <is>
          <t>Nasdaq</t>
        </is>
      </c>
      <c r="D5382" t="n">
        <v>1040161</v>
      </c>
      <c r="E5382" t="inlineStr">
        <is>
          <t>SEC</t>
        </is>
      </c>
    </row>
    <row r="5383">
      <c r="A5383" s="5">
        <f>HYPERLINK("https://finance.yahoo.com/quote/VIRMF","VIRMF")</f>
        <v/>
      </c>
      <c r="B5383" t="inlineStr">
        <is>
          <t>Viridian Metals Inc.</t>
        </is>
      </c>
      <c r="C5383" t="inlineStr">
        <is>
          <t>OTC</t>
        </is>
      </c>
      <c r="D5383" t="n">
        <v>2074745</v>
      </c>
      <c r="E5383" t="inlineStr">
        <is>
          <t>SEC</t>
        </is>
      </c>
    </row>
    <row r="5384">
      <c r="A5384" s="5">
        <f>HYPERLINK("https://finance.yahoo.com/quote/TOON","TOON")</f>
        <v/>
      </c>
      <c r="B5384" t="inlineStr">
        <is>
          <t>Kartoon Studios, Inc.</t>
        </is>
      </c>
      <c r="C5384" t="inlineStr">
        <is>
          <t>NYSE</t>
        </is>
      </c>
      <c r="D5384" t="n">
        <v>1355848</v>
      </c>
      <c r="E5384" t="inlineStr">
        <is>
          <t>SEC</t>
        </is>
      </c>
    </row>
    <row r="5385">
      <c r="A5385" s="5">
        <f>HYPERLINK("https://finance.yahoo.com/quote/PHNMF","PHNMF")</f>
        <v/>
      </c>
      <c r="B5385" t="inlineStr">
        <is>
          <t>Phenom Resources Corp.</t>
        </is>
      </c>
      <c r="C5385" t="inlineStr">
        <is>
          <t>OTC</t>
        </is>
      </c>
      <c r="D5385" t="n">
        <v>1720553</v>
      </c>
      <c r="E5385" t="inlineStr">
        <is>
          <t>SEC</t>
        </is>
      </c>
    </row>
    <row r="5386">
      <c r="A5386" s="5">
        <f>HYPERLINK("https://finance.yahoo.com/quote/ANGH","ANGH")</f>
        <v/>
      </c>
      <c r="B5386" t="inlineStr">
        <is>
          <t>Anghami Inc</t>
        </is>
      </c>
      <c r="C5386" t="inlineStr">
        <is>
          <t>Nasdaq</t>
        </is>
      </c>
      <c r="D5386" t="n">
        <v>1871983</v>
      </c>
      <c r="E5386" t="inlineStr">
        <is>
          <t>SEC</t>
        </is>
      </c>
    </row>
    <row r="5387">
      <c r="A5387" s="5">
        <f>HYPERLINK("https://finance.yahoo.com/quote/KDKGF","KDKGF")</f>
        <v/>
      </c>
      <c r="B5387" t="inlineStr">
        <is>
          <t>KLONDIKE GOLD CORP /FI</t>
        </is>
      </c>
      <c r="C5387" t="inlineStr">
        <is>
          <t>OTC</t>
        </is>
      </c>
      <c r="D5387" t="n">
        <v>872699</v>
      </c>
      <c r="E5387" t="inlineStr">
        <is>
          <t>SEC</t>
        </is>
      </c>
    </row>
    <row r="5388">
      <c r="A5388" s="5">
        <f>HYPERLINK("https://finance.yahoo.com/quote/THCH","THCH")</f>
        <v/>
      </c>
      <c r="B5388" t="inlineStr">
        <is>
          <t>TH International Ltd</t>
        </is>
      </c>
      <c r="C5388" t="inlineStr">
        <is>
          <t>Nasdaq</t>
        </is>
      </c>
      <c r="D5388" t="n">
        <v>1877333</v>
      </c>
      <c r="E5388" t="inlineStr">
        <is>
          <t>SEC</t>
        </is>
      </c>
    </row>
    <row r="5389">
      <c r="A5389" s="5">
        <f>HYPERLINK("https://finance.yahoo.com/quote/MBAI","MBAI")</f>
        <v/>
      </c>
      <c r="B5389" t="inlineStr">
        <is>
          <t>MBody AI Ltd.</t>
        </is>
      </c>
      <c r="C5389" t="inlineStr">
        <is>
          <t>Nasdaq</t>
        </is>
      </c>
      <c r="D5389" t="n">
        <v>1610590</v>
      </c>
      <c r="E5389" t="inlineStr">
        <is>
          <t>SEC</t>
        </is>
      </c>
    </row>
    <row r="5390">
      <c r="A5390" s="5">
        <f>HYPERLINK("https://finance.yahoo.com/quote/SKKY","SKKY")</f>
        <v/>
      </c>
      <c r="B5390" t="inlineStr">
        <is>
          <t>Skkynet Cloud Systems, Inc.</t>
        </is>
      </c>
      <c r="C5390" t="inlineStr">
        <is>
          <t>OTC</t>
        </is>
      </c>
      <c r="D5390" t="n">
        <v>1546853</v>
      </c>
      <c r="E5390" t="inlineStr">
        <is>
          <t>SEC</t>
        </is>
      </c>
    </row>
    <row r="5391">
      <c r="A5391" s="5">
        <f>HYPERLINK("https://finance.yahoo.com/quote/IDXG","IDXG")</f>
        <v/>
      </c>
      <c r="B5391" t="inlineStr">
        <is>
          <t>INTERPACE BIOSCIENCES, INC.</t>
        </is>
      </c>
      <c r="C5391" t="inlineStr">
        <is>
          <t>OTC</t>
        </is>
      </c>
      <c r="D5391" t="n">
        <v>1054102</v>
      </c>
      <c r="E5391" t="inlineStr">
        <is>
          <t>SEC</t>
        </is>
      </c>
    </row>
    <row r="5392">
      <c r="A5392" s="5">
        <f>HYPERLINK("https://finance.yahoo.com/quote/PLNH","PLNH")</f>
        <v/>
      </c>
      <c r="B5392" t="inlineStr">
        <is>
          <t>Planet 13 Holdings Inc.</t>
        </is>
      </c>
      <c r="C5392" t="inlineStr">
        <is>
          <t>OTC</t>
        </is>
      </c>
      <c r="D5392" t="n">
        <v>1813452</v>
      </c>
      <c r="E5392" t="inlineStr">
        <is>
          <t>SEC</t>
        </is>
      </c>
    </row>
    <row r="5393">
      <c r="A5393" s="5">
        <f>HYPERLINK("https://finance.yahoo.com/quote/VHUB","VHUB")</f>
        <v/>
      </c>
      <c r="B5393" t="inlineStr">
        <is>
          <t>VenHub Global, Inc.</t>
        </is>
      </c>
      <c r="C5393" t="inlineStr">
        <is>
          <t>Nasdaq</t>
        </is>
      </c>
      <c r="D5393" t="n">
        <v>1972234</v>
      </c>
      <c r="E5393" t="inlineStr">
        <is>
          <t>SEC</t>
        </is>
      </c>
    </row>
    <row r="5394">
      <c r="A5394" s="5">
        <f>HYPERLINK("https://finance.yahoo.com/quote/JGLDF","JGLDF")</f>
        <v/>
      </c>
      <c r="B5394" t="inlineStr">
        <is>
          <t>Japan Gold Corp.</t>
        </is>
      </c>
      <c r="C5394" t="inlineStr">
        <is>
          <t>OTC</t>
        </is>
      </c>
      <c r="D5394" t="n">
        <v>1686000</v>
      </c>
      <c r="E5394" t="inlineStr">
        <is>
          <t>SEC</t>
        </is>
      </c>
    </row>
    <row r="5395">
      <c r="A5395" s="5">
        <f>HYPERLINK("https://finance.yahoo.com/quote/RAVE","RAVE")</f>
        <v/>
      </c>
      <c r="B5395" t="inlineStr">
        <is>
          <t>RAVE RESTAURANT GROUP, INC.</t>
        </is>
      </c>
      <c r="C5395" t="inlineStr">
        <is>
          <t>Nasdaq</t>
        </is>
      </c>
      <c r="D5395" t="n">
        <v>718332</v>
      </c>
      <c r="E5395" t="inlineStr">
        <is>
          <t>SEC</t>
        </is>
      </c>
    </row>
    <row r="5396">
      <c r="A5396" s="5">
        <f>HYPERLINK("https://finance.yahoo.com/quote/WAMFF","WAMFF")</f>
        <v/>
      </c>
      <c r="B5396" t="inlineStr">
        <is>
          <t>Alaska Silver Corp.</t>
        </is>
      </c>
      <c r="C5396" t="inlineStr">
        <is>
          <t>OTC</t>
        </is>
      </c>
      <c r="D5396" t="n">
        <v>1893899</v>
      </c>
      <c r="E5396" t="inlineStr">
        <is>
          <t>SEC</t>
        </is>
      </c>
    </row>
    <row r="5397">
      <c r="A5397" s="5">
        <f>HYPERLINK("https://finance.yahoo.com/quote/WAVE","WAVE")</f>
        <v/>
      </c>
      <c r="B5397" t="inlineStr">
        <is>
          <t>Eco Wave Power Global AB (publ)</t>
        </is>
      </c>
      <c r="C5397" t="inlineStr">
        <is>
          <t>Nasdaq</t>
        </is>
      </c>
      <c r="D5397" t="n">
        <v>1846715</v>
      </c>
      <c r="E5397" t="inlineStr">
        <is>
          <t>SEC</t>
        </is>
      </c>
    </row>
    <row r="5398">
      <c r="A5398" s="5">
        <f>HYPERLINK("https://finance.yahoo.com/quote/LSF","LSF")</f>
        <v/>
      </c>
      <c r="B5398" t="inlineStr">
        <is>
          <t>Laird Superfood, Inc.</t>
        </is>
      </c>
      <c r="C5398" t="inlineStr">
        <is>
          <t>NYSE</t>
        </is>
      </c>
      <c r="D5398" t="n">
        <v>1650696</v>
      </c>
      <c r="E5398" t="inlineStr">
        <is>
          <t>SEC</t>
        </is>
      </c>
    </row>
    <row r="5399">
      <c r="A5399" s="5">
        <f>HYPERLINK("https://finance.yahoo.com/quote/GAME","GAME")</f>
        <v/>
      </c>
      <c r="B5399" t="inlineStr">
        <is>
          <t>GameSquare Holdings, Inc.</t>
        </is>
      </c>
      <c r="C5399" t="inlineStr">
        <is>
          <t>Nasdaq</t>
        </is>
      </c>
      <c r="D5399" t="n">
        <v>1714562</v>
      </c>
      <c r="E5399" t="inlineStr">
        <is>
          <t>SEC</t>
        </is>
      </c>
    </row>
    <row r="5400">
      <c r="A5400" s="5">
        <f>HYPERLINK("https://finance.yahoo.com/quote/FLNA","FLNA")</f>
        <v/>
      </c>
      <c r="B5400" t="inlineStr">
        <is>
          <t>FILANA THERAPEUTICS, INC.</t>
        </is>
      </c>
      <c r="C5400" t="inlineStr">
        <is>
          <t>Nasdaq</t>
        </is>
      </c>
      <c r="D5400" t="n">
        <v>1069530</v>
      </c>
      <c r="E5400" t="inlineStr">
        <is>
          <t>SEC</t>
        </is>
      </c>
    </row>
    <row r="5401">
      <c r="A5401" s="5">
        <f>HYPERLINK("https://finance.yahoo.com/quote/IBO","IBO")</f>
        <v/>
      </c>
      <c r="B5401" t="inlineStr">
        <is>
          <t>IMPACT BIOMEDICAL INC.</t>
        </is>
      </c>
      <c r="C5401" t="inlineStr">
        <is>
          <t>NYSE</t>
        </is>
      </c>
      <c r="D5401" t="n">
        <v>1834105</v>
      </c>
      <c r="E5401" t="inlineStr">
        <is>
          <t>SEC</t>
        </is>
      </c>
    </row>
    <row r="5402">
      <c r="A5402" s="5">
        <f>HYPERLINK("https://finance.yahoo.com/quote/CIRC","CIRC")</f>
        <v/>
      </c>
      <c r="B5402" t="inlineStr">
        <is>
          <t>CIRCLE8 GROUP INC</t>
        </is>
      </c>
      <c r="C5402" t="inlineStr">
        <is>
          <t>Nasdaq</t>
        </is>
      </c>
      <c r="D5402" t="n">
        <v>1605888</v>
      </c>
      <c r="E5402" t="inlineStr">
        <is>
          <t>SEC</t>
        </is>
      </c>
    </row>
    <row r="5403">
      <c r="A5403" s="5">
        <f>HYPERLINK("https://finance.yahoo.com/quote/SDA","SDA")</f>
        <v/>
      </c>
      <c r="B5403" t="inlineStr">
        <is>
          <t>SunCar Technology Group Inc.</t>
        </is>
      </c>
      <c r="C5403" t="inlineStr">
        <is>
          <t>Nasdaq</t>
        </is>
      </c>
      <c r="D5403" t="n">
        <v>1936804</v>
      </c>
      <c r="E5403" t="inlineStr">
        <is>
          <t>SEC</t>
        </is>
      </c>
    </row>
    <row r="5404">
      <c r="A5404" s="5">
        <f>HYPERLINK("https://finance.yahoo.com/quote/BSEM","BSEM")</f>
        <v/>
      </c>
      <c r="B5404" t="inlineStr">
        <is>
          <t>BioStem Technologies, Inc.</t>
        </is>
      </c>
      <c r="C5404" t="inlineStr">
        <is>
          <t>Nasdaq</t>
        </is>
      </c>
      <c r="D5404" t="n">
        <v>1658678</v>
      </c>
      <c r="E5404" t="inlineStr">
        <is>
          <t>SEC</t>
        </is>
      </c>
    </row>
    <row r="5405">
      <c r="A5405" s="5">
        <f>HYPERLINK("https://finance.yahoo.com/quote/BODI","BODI")</f>
        <v/>
      </c>
      <c r="B5405" t="inlineStr">
        <is>
          <t>Beachbody Company, Inc.</t>
        </is>
      </c>
      <c r="C5405" t="inlineStr">
        <is>
          <t>Nasdaq</t>
        </is>
      </c>
      <c r="D5405" t="n">
        <v>1826889</v>
      </c>
      <c r="E5405" t="inlineStr">
        <is>
          <t>SEC</t>
        </is>
      </c>
    </row>
    <row r="5406">
      <c r="A5406" s="5">
        <f>HYPERLINK("https://finance.yahoo.com/quote/MGX","MGX")</f>
        <v/>
      </c>
      <c r="B5406" t="inlineStr">
        <is>
          <t>Metagenomi Therapeutics, Inc.</t>
        </is>
      </c>
      <c r="C5406" t="inlineStr">
        <is>
          <t>Nasdaq</t>
        </is>
      </c>
      <c r="D5406" t="n">
        <v>1785279</v>
      </c>
      <c r="E5406" t="inlineStr">
        <is>
          <t>SEC</t>
        </is>
      </c>
    </row>
    <row r="5407">
      <c r="A5407" s="5">
        <f>HYPERLINK("https://finance.yahoo.com/quote/WSHP","WSHP")</f>
        <v/>
      </c>
      <c r="B5407" t="inlineStr">
        <is>
          <t>WeShop Holdings Ltd</t>
        </is>
      </c>
      <c r="C5407" t="inlineStr">
        <is>
          <t>Nasdaq</t>
        </is>
      </c>
      <c r="D5407" t="n">
        <v>2048271</v>
      </c>
      <c r="E5407" t="inlineStr">
        <is>
          <t>SEC</t>
        </is>
      </c>
    </row>
    <row r="5408">
      <c r="A5408" s="5">
        <f>HYPERLINK("https://finance.yahoo.com/quote/ATHR","ATHR")</f>
        <v/>
      </c>
      <c r="B5408" t="inlineStr">
        <is>
          <t>Aether Holdings, Inc.</t>
        </is>
      </c>
      <c r="C5408" t="inlineStr">
        <is>
          <t>Nasdaq</t>
        </is>
      </c>
      <c r="D5408" t="n">
        <v>2026353</v>
      </c>
      <c r="E5408" t="inlineStr">
        <is>
          <t>SEC</t>
        </is>
      </c>
    </row>
    <row r="5409">
      <c r="A5409" s="5">
        <f>HYPERLINK("https://finance.yahoo.com/quote/YQ","YQ")</f>
        <v/>
      </c>
      <c r="B5409" t="inlineStr">
        <is>
          <t>17 Education &amp; Technology Group Inc.</t>
        </is>
      </c>
      <c r="C5409" t="inlineStr">
        <is>
          <t>Nasdaq</t>
        </is>
      </c>
      <c r="D5409" t="n">
        <v>1821468</v>
      </c>
      <c r="E5409" t="inlineStr">
        <is>
          <t>SEC</t>
        </is>
      </c>
    </row>
    <row r="5410">
      <c r="A5410" s="5">
        <f>HYPERLINK("https://finance.yahoo.com/quote/SEAT","SEAT")</f>
        <v/>
      </c>
      <c r="B5410" t="inlineStr">
        <is>
          <t>Vivid Seats Inc.</t>
        </is>
      </c>
      <c r="C5410" t="inlineStr">
        <is>
          <t>Nasdaq</t>
        </is>
      </c>
      <c r="D5410" t="n">
        <v>1856031</v>
      </c>
      <c r="E5410" t="inlineStr">
        <is>
          <t>SEC</t>
        </is>
      </c>
    </row>
    <row r="5411">
      <c r="A5411" s="5">
        <f>HYPERLINK("https://finance.yahoo.com/quote/MHUBF","MHUBF")</f>
        <v/>
      </c>
      <c r="B5411" t="inlineStr">
        <is>
          <t>MineHub Technologies Inc.</t>
        </is>
      </c>
      <c r="C5411" t="inlineStr">
        <is>
          <t>OTC</t>
        </is>
      </c>
      <c r="D5411" t="n">
        <v>1869137</v>
      </c>
      <c r="E5411" t="inlineStr">
        <is>
          <t>SEC</t>
        </is>
      </c>
    </row>
    <row r="5412">
      <c r="A5412" s="5">
        <f>HYPERLINK("https://finance.yahoo.com/quote/SRGZ","SRGZ")</f>
        <v/>
      </c>
      <c r="B5412" t="inlineStr">
        <is>
          <t>Star Gold Corp.</t>
        </is>
      </c>
      <c r="C5412" t="inlineStr">
        <is>
          <t>OTC</t>
        </is>
      </c>
      <c r="D5412" t="n">
        <v>1401835</v>
      </c>
      <c r="E5412" t="inlineStr">
        <is>
          <t>SEC</t>
        </is>
      </c>
    </row>
    <row r="5413">
      <c r="A5413" s="5">
        <f>HYPERLINK("https://finance.yahoo.com/quote/FLL","FLL")</f>
        <v/>
      </c>
      <c r="B5413" t="inlineStr">
        <is>
          <t>FULL HOUSE RESORTS INC</t>
        </is>
      </c>
      <c r="C5413" t="inlineStr">
        <is>
          <t>Nasdaq</t>
        </is>
      </c>
      <c r="D5413" t="n">
        <v>891482</v>
      </c>
      <c r="E5413" t="inlineStr">
        <is>
          <t>SEC</t>
        </is>
      </c>
    </row>
    <row r="5414">
      <c r="A5414" s="5">
        <f>HYPERLINK("https://finance.yahoo.com/quote/BCHT","BCHT")</f>
        <v/>
      </c>
      <c r="B5414" t="inlineStr">
        <is>
          <t>Birchtech Corp.</t>
        </is>
      </c>
      <c r="C5414" t="inlineStr">
        <is>
          <t>NYSE</t>
        </is>
      </c>
      <c r="D5414" t="n">
        <v>728385</v>
      </c>
      <c r="E5414" t="inlineStr">
        <is>
          <t>SEC</t>
        </is>
      </c>
    </row>
    <row r="5415">
      <c r="A5415" s="5">
        <f>HYPERLINK("https://finance.yahoo.com/quote/UG","UG")</f>
        <v/>
      </c>
      <c r="B5415" t="inlineStr">
        <is>
          <t>UNITED GUARDIAN INC</t>
        </is>
      </c>
      <c r="C5415" t="inlineStr">
        <is>
          <t>Nasdaq</t>
        </is>
      </c>
      <c r="D5415" t="n">
        <v>101295</v>
      </c>
      <c r="E5415" t="inlineStr">
        <is>
          <t>SEC</t>
        </is>
      </c>
    </row>
    <row r="5416">
      <c r="A5416" s="5">
        <f>HYPERLINK("https://finance.yahoo.com/quote/BOSC","BOSC")</f>
        <v/>
      </c>
      <c r="B5416" t="inlineStr">
        <is>
          <t>BOS BETTER ONLINE SOLUTIONS LTD</t>
        </is>
      </c>
      <c r="C5416" t="inlineStr">
        <is>
          <t>Nasdaq</t>
        </is>
      </c>
      <c r="D5416" t="n">
        <v>1005516</v>
      </c>
      <c r="E5416" t="inlineStr">
        <is>
          <t>SEC</t>
        </is>
      </c>
    </row>
    <row r="5417">
      <c r="A5417" s="5">
        <f>HYPERLINK("https://finance.yahoo.com/quote/INVU","INVU")</f>
        <v/>
      </c>
      <c r="B5417" t="inlineStr">
        <is>
          <t>Investview, Inc.</t>
        </is>
      </c>
      <c r="C5417" t="inlineStr">
        <is>
          <t>OTC</t>
        </is>
      </c>
      <c r="D5417" t="n">
        <v>862651</v>
      </c>
      <c r="E5417" t="inlineStr">
        <is>
          <t>SEC</t>
        </is>
      </c>
    </row>
    <row r="5418">
      <c r="A5418" s="5">
        <f>HYPERLINK("https://finance.yahoo.com/quote/RIBB","RIBB")</f>
        <v/>
      </c>
      <c r="B5418" t="inlineStr">
        <is>
          <t>Ribbon Acquisition Corp.</t>
        </is>
      </c>
      <c r="C5418" t="inlineStr">
        <is>
          <t>Nasdaq</t>
        </is>
      </c>
      <c r="D5418" t="n">
        <v>2035016</v>
      </c>
      <c r="E5418" t="inlineStr">
        <is>
          <t>SEC</t>
        </is>
      </c>
    </row>
    <row r="5419">
      <c r="A5419" s="5">
        <f>HYPERLINK("https://finance.yahoo.com/quote/VTSI","VTSI")</f>
        <v/>
      </c>
      <c r="B5419" t="inlineStr">
        <is>
          <t>VirTra, Inc</t>
        </is>
      </c>
      <c r="C5419" t="inlineStr">
        <is>
          <t>Nasdaq</t>
        </is>
      </c>
      <c r="D5419" t="n">
        <v>1085243</v>
      </c>
      <c r="E5419" t="inlineStr">
        <is>
          <t>SEC</t>
        </is>
      </c>
    </row>
    <row r="5420">
      <c r="A5420" s="5">
        <f>HYPERLINK("https://finance.yahoo.com/quote/GRAN","GRAN")</f>
        <v/>
      </c>
      <c r="B5420" t="inlineStr">
        <is>
          <t>Grande Group Ltd/HK</t>
        </is>
      </c>
      <c r="C5420" t="inlineStr">
        <is>
          <t>Nasdaq</t>
        </is>
      </c>
      <c r="D5420" t="n">
        <v>2027722</v>
      </c>
      <c r="E5420" t="inlineStr">
        <is>
          <t>SEC</t>
        </is>
      </c>
    </row>
    <row r="5421">
      <c r="A5421" s="5">
        <f>HYPERLINK("https://finance.yahoo.com/quote/RAPH","RAPH")</f>
        <v/>
      </c>
      <c r="B5421" t="inlineStr">
        <is>
          <t>Raphael Pharmaceutical Inc.</t>
        </is>
      </c>
      <c r="C5421" t="inlineStr">
        <is>
          <t>OTC</t>
        </is>
      </c>
      <c r="D5421" t="n">
        <v>1415397</v>
      </c>
      <c r="E5421" t="inlineStr">
        <is>
          <t>SEC</t>
        </is>
      </c>
    </row>
    <row r="5422">
      <c r="A5422" s="5">
        <f>HYPERLINK("https://finance.yahoo.com/quote/GNTA","GNTA")</f>
        <v/>
      </c>
      <c r="B5422" t="inlineStr">
        <is>
          <t>Genenta Science S.p.A.</t>
        </is>
      </c>
      <c r="C5422" t="inlineStr">
        <is>
          <t>Nasdaq</t>
        </is>
      </c>
      <c r="D5422" t="n">
        <v>1838716</v>
      </c>
      <c r="E5422" t="inlineStr">
        <is>
          <t>SEC</t>
        </is>
      </c>
    </row>
    <row r="5423">
      <c r="A5423" s="5">
        <f>HYPERLINK("https://finance.yahoo.com/quote/AVD","AVD")</f>
        <v/>
      </c>
      <c r="B5423" t="inlineStr">
        <is>
          <t>AMERICAN VANGUARD CORP</t>
        </is>
      </c>
      <c r="C5423" t="inlineStr">
        <is>
          <t>NYSE</t>
        </is>
      </c>
      <c r="D5423" t="n">
        <v>5981</v>
      </c>
      <c r="E5423" t="inlineStr">
        <is>
          <t>SEC</t>
        </is>
      </c>
    </row>
    <row r="5424">
      <c r="A5424" s="5">
        <f>HYPERLINK("https://finance.yahoo.com/quote/LTAFF","LTAFF")</f>
        <v/>
      </c>
      <c r="B5424" t="inlineStr">
        <is>
          <t>Lithium Africa Corp.</t>
        </is>
      </c>
      <c r="C5424" t="inlineStr">
        <is>
          <t>OTC</t>
        </is>
      </c>
      <c r="D5424" t="n">
        <v>2115899</v>
      </c>
      <c r="E5424" t="inlineStr">
        <is>
          <t>SEC</t>
        </is>
      </c>
    </row>
    <row r="5425">
      <c r="A5425" s="5">
        <f>HYPERLINK("https://finance.yahoo.com/quote/ALGS","ALGS")</f>
        <v/>
      </c>
      <c r="B5425" t="inlineStr">
        <is>
          <t>Aligos Therapeutics, Inc.</t>
        </is>
      </c>
      <c r="C5425" t="inlineStr">
        <is>
          <t>Nasdaq</t>
        </is>
      </c>
      <c r="D5425" t="n">
        <v>1799448</v>
      </c>
      <c r="E5425" t="inlineStr">
        <is>
          <t>SEC</t>
        </is>
      </c>
    </row>
    <row r="5426">
      <c r="A5426" s="5">
        <f>HYPERLINK("https://finance.yahoo.com/quote/RGCCF","RGCCF")</f>
        <v/>
      </c>
      <c r="B5426" t="inlineStr">
        <is>
          <t>Relevant Gold Corp.</t>
        </is>
      </c>
      <c r="C5426" t="inlineStr">
        <is>
          <t>OTC</t>
        </is>
      </c>
      <c r="D5426" t="n">
        <v>1918151</v>
      </c>
      <c r="E5426" t="inlineStr">
        <is>
          <t>SEC</t>
        </is>
      </c>
    </row>
    <row r="5427">
      <c r="A5427" s="5">
        <f>HYPERLINK("https://finance.yahoo.com/quote/ECLP","ECLP")</f>
        <v/>
      </c>
      <c r="B5427" t="inlineStr">
        <is>
          <t>Eclipse Bancorp, Inc.</t>
        </is>
      </c>
      <c r="C5427" t="inlineStr">
        <is>
          <t>OTC</t>
        </is>
      </c>
      <c r="D5427" t="n">
        <v>1946412</v>
      </c>
      <c r="E5427" t="inlineStr">
        <is>
          <t>SEC</t>
        </is>
      </c>
    </row>
    <row r="5428">
      <c r="A5428" s="5">
        <f>HYPERLINK("https://finance.yahoo.com/quote/AUSI","AUSI")</f>
        <v/>
      </c>
      <c r="B5428" t="inlineStr">
        <is>
          <t>AURA SYSTEMS INC</t>
        </is>
      </c>
      <c r="C5428" t="inlineStr">
        <is>
          <t>OTC</t>
        </is>
      </c>
      <c r="D5428" t="n">
        <v>826253</v>
      </c>
      <c r="E5428" t="inlineStr">
        <is>
          <t>SEC</t>
        </is>
      </c>
    </row>
    <row r="5429">
      <c r="A5429" s="5">
        <f>HYPERLINK("https://finance.yahoo.com/quote/KAZR","KAZR")</f>
        <v/>
      </c>
      <c r="B5429" t="inlineStr">
        <is>
          <t>Skyline Builders Group Holding Ltd</t>
        </is>
      </c>
      <c r="C5429" t="inlineStr">
        <is>
          <t>Nasdaq</t>
        </is>
      </c>
      <c r="D5429" t="n">
        <v>2031009</v>
      </c>
      <c r="E5429" t="inlineStr">
        <is>
          <t>SEC</t>
        </is>
      </c>
    </row>
    <row r="5430">
      <c r="A5430" s="5">
        <f>HYPERLINK("https://finance.yahoo.com/quote/CREX","CREX")</f>
        <v/>
      </c>
      <c r="B5430" t="inlineStr">
        <is>
          <t>CREATIVE REALITIES, INC.</t>
        </is>
      </c>
      <c r="C5430" t="inlineStr">
        <is>
          <t>Nasdaq</t>
        </is>
      </c>
      <c r="D5430" t="n">
        <v>1356093</v>
      </c>
      <c r="E5430" t="inlineStr">
        <is>
          <t>SEC</t>
        </is>
      </c>
    </row>
    <row r="5431">
      <c r="A5431" s="5">
        <f>HYPERLINK("https://finance.yahoo.com/quote/HERZ","HERZ")</f>
        <v/>
      </c>
      <c r="B5431" t="inlineStr">
        <is>
          <t>Herzfeld Credit Income Fund, Inc</t>
        </is>
      </c>
      <c r="C5431" t="inlineStr">
        <is>
          <t>Nasdaq</t>
        </is>
      </c>
      <c r="D5431" t="n">
        <v>880406</v>
      </c>
      <c r="E5431" t="inlineStr">
        <is>
          <t>SEC</t>
        </is>
      </c>
    </row>
    <row r="5432">
      <c r="A5432" s="5">
        <f>HYPERLINK("https://finance.yahoo.com/quote/RNAZ","RNAZ")</f>
        <v/>
      </c>
      <c r="B5432" t="inlineStr">
        <is>
          <t>Transcode Therapeutics, Inc.</t>
        </is>
      </c>
      <c r="C5432" t="inlineStr">
        <is>
          <t>Nasdaq</t>
        </is>
      </c>
      <c r="D5432" t="n">
        <v>1829635</v>
      </c>
      <c r="E5432" t="inlineStr">
        <is>
          <t>SEC</t>
        </is>
      </c>
    </row>
    <row r="5433">
      <c r="A5433" s="5">
        <f>HYPERLINK("https://finance.yahoo.com/quote/NNOX","NNOX")</f>
        <v/>
      </c>
      <c r="B5433" t="inlineStr">
        <is>
          <t>Nano-X Imaging Ltd.</t>
        </is>
      </c>
      <c r="C5433" t="inlineStr">
        <is>
          <t>Nasdaq</t>
        </is>
      </c>
      <c r="D5433" t="n">
        <v>1795251</v>
      </c>
      <c r="E5433" t="inlineStr">
        <is>
          <t>SEC</t>
        </is>
      </c>
    </row>
    <row r="5434">
      <c r="A5434" s="5">
        <f>HYPERLINK("https://finance.yahoo.com/quote/JFU","JFU")</f>
        <v/>
      </c>
      <c r="B5434" t="inlineStr">
        <is>
          <t>9F Inc.</t>
        </is>
      </c>
      <c r="C5434" t="inlineStr">
        <is>
          <t>Nasdaq</t>
        </is>
      </c>
      <c r="D5434" t="n">
        <v>1619544</v>
      </c>
      <c r="E5434" t="inlineStr">
        <is>
          <t>SEC</t>
        </is>
      </c>
    </row>
    <row r="5435">
      <c r="A5435" s="5">
        <f>HYPERLINK("https://finance.yahoo.com/quote/HAFG","HAFG")</f>
        <v/>
      </c>
      <c r="B5435" t="inlineStr">
        <is>
          <t>Holistic Asset Finance Group Co., Ltd.</t>
        </is>
      </c>
      <c r="C5435" t="inlineStr">
        <is>
          <t>OTC</t>
        </is>
      </c>
      <c r="D5435" t="n">
        <v>1367993</v>
      </c>
      <c r="E5435" t="inlineStr">
        <is>
          <t>SEC</t>
        </is>
      </c>
    </row>
    <row r="5436">
      <c r="A5436" s="5">
        <f>HYPERLINK("https://finance.yahoo.com/quote/BCTX","BCTX")</f>
        <v/>
      </c>
      <c r="B5436" t="inlineStr">
        <is>
          <t>BriaCell Therapeutics Corp.</t>
        </is>
      </c>
      <c r="C5436" t="inlineStr">
        <is>
          <t>Nasdaq</t>
        </is>
      </c>
      <c r="D5436" t="n">
        <v>1610820</v>
      </c>
      <c r="E5436" t="inlineStr">
        <is>
          <t>SEC</t>
        </is>
      </c>
    </row>
    <row r="5437">
      <c r="A5437" s="5">
        <f>HYPERLINK("https://finance.yahoo.com/quote/AIFA","AIFA")</f>
        <v/>
      </c>
      <c r="B5437" t="inlineStr">
        <is>
          <t>All In FutureTech Alliance, Inc.</t>
        </is>
      </c>
      <c r="C5437" t="inlineStr">
        <is>
          <t>Nasdaq</t>
        </is>
      </c>
      <c r="D5437" t="n">
        <v>1708341</v>
      </c>
      <c r="E5437" t="inlineStr">
        <is>
          <t>SEC</t>
        </is>
      </c>
    </row>
    <row r="5438">
      <c r="A5438" s="5">
        <f>HYPERLINK("https://finance.yahoo.com/quote/CNF","CNF")</f>
        <v/>
      </c>
      <c r="B5438" t="inlineStr">
        <is>
          <t>CNFinance Holdings Ltd.</t>
        </is>
      </c>
      <c r="C5438" t="inlineStr">
        <is>
          <t>NYSE</t>
        </is>
      </c>
      <c r="D5438" t="n">
        <v>1733868</v>
      </c>
      <c r="E5438" t="inlineStr">
        <is>
          <t>SEC</t>
        </is>
      </c>
    </row>
    <row r="5439">
      <c r="A5439" s="5">
        <f>HYPERLINK("https://finance.yahoo.com/quote/COHN","COHN")</f>
        <v/>
      </c>
      <c r="B5439" t="inlineStr">
        <is>
          <t>Cohen &amp; Co Inc.</t>
        </is>
      </c>
      <c r="C5439" t="inlineStr">
        <is>
          <t>NYSE</t>
        </is>
      </c>
      <c r="D5439" t="n">
        <v>1270436</v>
      </c>
      <c r="E5439" t="inlineStr">
        <is>
          <t>SEC</t>
        </is>
      </c>
    </row>
    <row r="5440">
      <c r="A5440" s="5">
        <f>HYPERLINK("https://finance.yahoo.com/quote/NSYS","NSYS")</f>
        <v/>
      </c>
      <c r="B5440" t="inlineStr">
        <is>
          <t>NORTECH SYSTEMS INC</t>
        </is>
      </c>
      <c r="C5440" t="inlineStr">
        <is>
          <t>Nasdaq</t>
        </is>
      </c>
      <c r="D5440" t="n">
        <v>722313</v>
      </c>
      <c r="E5440" t="inlineStr">
        <is>
          <t>SEC</t>
        </is>
      </c>
    </row>
    <row r="5441">
      <c r="A5441" s="5">
        <f>HYPERLINK("https://finance.yahoo.com/quote/PRKA","PRKA")</f>
        <v/>
      </c>
      <c r="B5441" t="inlineStr">
        <is>
          <t>PARKS AMERICA, INC</t>
        </is>
      </c>
      <c r="C5441" t="inlineStr">
        <is>
          <t>OTC</t>
        </is>
      </c>
      <c r="D5441" t="n">
        <v>1297937</v>
      </c>
      <c r="E5441" t="inlineStr">
        <is>
          <t>SEC</t>
        </is>
      </c>
    </row>
    <row r="5442">
      <c r="A5442" s="5">
        <f>HYPERLINK("https://finance.yahoo.com/quote/HHS","HHS")</f>
        <v/>
      </c>
      <c r="B5442" t="inlineStr">
        <is>
          <t>HARTE HANKS INC</t>
        </is>
      </c>
      <c r="C5442" t="inlineStr">
        <is>
          <t>Nasdaq</t>
        </is>
      </c>
      <c r="D5442" t="n">
        <v>45919</v>
      </c>
      <c r="E5442" t="inlineStr">
        <is>
          <t>SEC</t>
        </is>
      </c>
    </row>
    <row r="5443">
      <c r="A5443" s="5">
        <f>HYPERLINK("https://finance.yahoo.com/quote/ZLME","ZLME")</f>
        <v/>
      </c>
      <c r="B5443" t="inlineStr">
        <is>
          <t>Zhanling International Ltd</t>
        </is>
      </c>
      <c r="C5443" t="inlineStr">
        <is>
          <t>OTC</t>
        </is>
      </c>
      <c r="D5443" t="n">
        <v>1489300</v>
      </c>
      <c r="E5443" t="inlineStr">
        <is>
          <t>SEC</t>
        </is>
      </c>
    </row>
    <row r="5444">
      <c r="A5444" s="5">
        <f>HYPERLINK("https://finance.yahoo.com/quote/DRYGF","DRYGF")</f>
        <v/>
      </c>
      <c r="B5444" t="inlineStr">
        <is>
          <t>Dryden Gold Corp.</t>
        </is>
      </c>
      <c r="C5444" t="inlineStr">
        <is>
          <t>OTC</t>
        </is>
      </c>
      <c r="D5444" t="n">
        <v>2006413</v>
      </c>
      <c r="E5444" t="inlineStr">
        <is>
          <t>SEC</t>
        </is>
      </c>
    </row>
    <row r="5445">
      <c r="A5445" s="5">
        <f>HYPERLINK("https://finance.yahoo.com/quote/ITHR","ITHR")</f>
        <v/>
      </c>
      <c r="B5445" t="inlineStr">
        <is>
          <t>Intelithrive, Inc.</t>
        </is>
      </c>
      <c r="C5445" t="inlineStr">
        <is>
          <t>OTC</t>
        </is>
      </c>
      <c r="D5445" t="n">
        <v>1919191</v>
      </c>
      <c r="E5445" t="inlineStr">
        <is>
          <t>SEC</t>
        </is>
      </c>
    </row>
    <row r="5446">
      <c r="A5446" s="5">
        <f>HYPERLINK("https://finance.yahoo.com/quote/HSPOF","HSPOF")</f>
        <v/>
      </c>
      <c r="B5446" t="inlineStr">
        <is>
          <t>Horizon Space Acquisition I Corp.</t>
        </is>
      </c>
      <c r="C5446" t="inlineStr">
        <is>
          <t>OTC</t>
        </is>
      </c>
      <c r="D5446" t="n">
        <v>1946021</v>
      </c>
      <c r="E5446" t="inlineStr">
        <is>
          <t>SEC</t>
        </is>
      </c>
    </row>
    <row r="5447">
      <c r="A5447" s="5">
        <f>HYPERLINK("https://finance.yahoo.com/quote/TTIPF","TTIPF")</f>
        <v/>
      </c>
      <c r="B5447" t="inlineStr">
        <is>
          <t>Thiogenesis Therapeutics, Corp.</t>
        </is>
      </c>
      <c r="C5447" t="inlineStr">
        <is>
          <t>OTC</t>
        </is>
      </c>
      <c r="D5447" t="n">
        <v>1877778</v>
      </c>
      <c r="E5447" t="inlineStr">
        <is>
          <t>SEC</t>
        </is>
      </c>
    </row>
    <row r="5448">
      <c r="A5448" s="5">
        <f>HYPERLINK("https://finance.yahoo.com/quote/STEM","STEM")</f>
        <v/>
      </c>
      <c r="B5448" t="inlineStr">
        <is>
          <t>STEM, INC.</t>
        </is>
      </c>
      <c r="C5448" t="inlineStr">
        <is>
          <t>NYSE</t>
        </is>
      </c>
      <c r="D5448" t="n">
        <v>1758766</v>
      </c>
      <c r="E5448" t="inlineStr">
        <is>
          <t>SEC</t>
        </is>
      </c>
    </row>
    <row r="5449">
      <c r="A5449" s="5">
        <f>HYPERLINK("https://finance.yahoo.com/quote/ATCMF","ATCMF")</f>
        <v/>
      </c>
      <c r="B5449" t="inlineStr">
        <is>
          <t>ATICO MINING Corp</t>
        </is>
      </c>
      <c r="C5449" t="inlineStr">
        <is>
          <t>OTC</t>
        </is>
      </c>
      <c r="D5449" t="n">
        <v>1567663</v>
      </c>
      <c r="E5449" t="inlineStr">
        <is>
          <t>SEC</t>
        </is>
      </c>
    </row>
    <row r="5450">
      <c r="A5450" s="5">
        <f>HYPERLINK("https://finance.yahoo.com/quote/JSDA","JSDA")</f>
        <v/>
      </c>
      <c r="B5450" t="inlineStr">
        <is>
          <t>JONES SODA CO.</t>
        </is>
      </c>
      <c r="C5450" t="inlineStr">
        <is>
          <t>OTC</t>
        </is>
      </c>
      <c r="D5450" t="n">
        <v>1083522</v>
      </c>
      <c r="E5450" t="inlineStr">
        <is>
          <t>SEC</t>
        </is>
      </c>
    </row>
    <row r="5451">
      <c r="A5451" s="5">
        <f>HYPERLINK("https://finance.yahoo.com/quote/RAND","RAND")</f>
        <v/>
      </c>
      <c r="B5451" t="inlineStr">
        <is>
          <t>RAND CAPITAL CORP</t>
        </is>
      </c>
      <c r="C5451" t="inlineStr">
        <is>
          <t>Nasdaq</t>
        </is>
      </c>
      <c r="D5451" t="n">
        <v>81955</v>
      </c>
      <c r="E5451" t="inlineStr">
        <is>
          <t>SEC</t>
        </is>
      </c>
    </row>
    <row r="5452">
      <c r="A5452" s="5">
        <f>HYPERLINK("https://finance.yahoo.com/quote/BAER","BAER")</f>
        <v/>
      </c>
      <c r="B5452" t="inlineStr">
        <is>
          <t>Bridger Aerospace Group Holdings, Inc.</t>
        </is>
      </c>
      <c r="C5452" t="inlineStr">
        <is>
          <t>Nasdaq</t>
        </is>
      </c>
      <c r="D5452" t="n">
        <v>1941536</v>
      </c>
      <c r="E5452" t="inlineStr">
        <is>
          <t>SEC</t>
        </is>
      </c>
    </row>
    <row r="5453">
      <c r="A5453" s="5">
        <f>HYPERLINK("https://finance.yahoo.com/quote/CYDVF","CYDVF")</f>
        <v/>
      </c>
      <c r="B5453" t="inlineStr">
        <is>
          <t>Century Lithium Corp.</t>
        </is>
      </c>
      <c r="C5453" t="inlineStr">
        <is>
          <t>OTC</t>
        </is>
      </c>
      <c r="D5453" t="n">
        <v>1394039</v>
      </c>
      <c r="E5453" t="inlineStr">
        <is>
          <t>SEC</t>
        </is>
      </c>
    </row>
    <row r="5454">
      <c r="A5454" s="5">
        <f>HYPERLINK("https://finance.yahoo.com/quote/CVM","CVM")</f>
        <v/>
      </c>
      <c r="B5454" t="inlineStr">
        <is>
          <t>CEL SCI CORP</t>
        </is>
      </c>
      <c r="C5454" t="inlineStr">
        <is>
          <t>NYSE</t>
        </is>
      </c>
      <c r="D5454" t="n">
        <v>725363</v>
      </c>
      <c r="E5454" t="inlineStr">
        <is>
          <t>SEC</t>
        </is>
      </c>
    </row>
    <row r="5455">
      <c r="A5455" s="5">
        <f>HYPERLINK("https://finance.yahoo.com/quote/FGC","FGC")</f>
        <v/>
      </c>
      <c r="B5455" t="inlineStr">
        <is>
          <t>FG Communities Holdings Inc.</t>
        </is>
      </c>
      <c r="C5455" t="inlineStr">
        <is>
          <t>Nasdaq</t>
        </is>
      </c>
      <c r="D5455" t="n">
        <v>1591890</v>
      </c>
      <c r="E5455" t="inlineStr">
        <is>
          <t>SEC</t>
        </is>
      </c>
    </row>
    <row r="5456">
      <c r="A5456" s="5">
        <f>HYPERLINK("https://finance.yahoo.com/quote/ONMD","ONMD")</f>
        <v/>
      </c>
      <c r="B5456" t="inlineStr">
        <is>
          <t>OneMedNet Corp</t>
        </is>
      </c>
      <c r="C5456" t="inlineStr">
        <is>
          <t>Nasdaq</t>
        </is>
      </c>
      <c r="D5456" t="n">
        <v>1849380</v>
      </c>
      <c r="E5456" t="inlineStr">
        <is>
          <t>SEC</t>
        </is>
      </c>
    </row>
    <row r="5457">
      <c r="A5457" s="5">
        <f>HYPERLINK("https://finance.yahoo.com/quote/RMTI","RMTI")</f>
        <v/>
      </c>
      <c r="B5457" t="inlineStr">
        <is>
          <t>ROCKWELL MEDICAL, INC.</t>
        </is>
      </c>
      <c r="C5457" t="inlineStr">
        <is>
          <t>Nasdaq</t>
        </is>
      </c>
      <c r="D5457" t="n">
        <v>1041024</v>
      </c>
      <c r="E5457" t="inlineStr">
        <is>
          <t>SEC</t>
        </is>
      </c>
    </row>
    <row r="5458">
      <c r="A5458" s="5">
        <f>HYPERLINK("https://finance.yahoo.com/quote/PLUT","PLUT")</f>
        <v/>
      </c>
      <c r="B5458" t="inlineStr">
        <is>
          <t>Plutus Financial Group Ltd</t>
        </is>
      </c>
      <c r="C5458" t="inlineStr">
        <is>
          <t>Nasdaq</t>
        </is>
      </c>
      <c r="D5458" t="n">
        <v>1933021</v>
      </c>
      <c r="E5458" t="inlineStr">
        <is>
          <t>SEC</t>
        </is>
      </c>
    </row>
    <row r="5459">
      <c r="A5459" s="5">
        <f>HYPERLINK("https://finance.yahoo.com/quote/INV","INV")</f>
        <v/>
      </c>
      <c r="B5459" t="inlineStr">
        <is>
          <t>Innventure, Inc.</t>
        </is>
      </c>
      <c r="C5459" t="inlineStr">
        <is>
          <t>Nasdaq</t>
        </is>
      </c>
      <c r="D5459" t="n">
        <v>2001557</v>
      </c>
      <c r="E5459" t="inlineStr">
        <is>
          <t>SEC</t>
        </is>
      </c>
    </row>
    <row r="5460">
      <c r="A5460" s="5">
        <f>HYPERLINK("https://finance.yahoo.com/quote/KMRK","KMRK")</f>
        <v/>
      </c>
      <c r="B5460" t="inlineStr">
        <is>
          <t>K-TECH SOLUTIONS CO LTD</t>
        </is>
      </c>
      <c r="C5460" t="inlineStr">
        <is>
          <t>Nasdaq</t>
        </is>
      </c>
      <c r="D5460" t="n">
        <v>2049187</v>
      </c>
      <c r="E5460" t="inlineStr">
        <is>
          <t>SEC</t>
        </is>
      </c>
    </row>
    <row r="5461">
      <c r="A5461" s="5">
        <f>HYPERLINK("https://finance.yahoo.com/quote/WKHS","WKHS")</f>
        <v/>
      </c>
      <c r="B5461" t="inlineStr">
        <is>
          <t>Workhorse Group Inc.</t>
        </is>
      </c>
      <c r="C5461" t="inlineStr">
        <is>
          <t>Nasdaq</t>
        </is>
      </c>
      <c r="D5461" t="n">
        <v>1425287</v>
      </c>
      <c r="E5461" t="inlineStr">
        <is>
          <t>SEC</t>
        </is>
      </c>
    </row>
    <row r="5462">
      <c r="A5462" s="5">
        <f>HYPERLINK("https://finance.yahoo.com/quote/CABO","CABO")</f>
        <v/>
      </c>
      <c r="B5462" t="inlineStr">
        <is>
          <t>Cable One, Inc.</t>
        </is>
      </c>
      <c r="C5462" t="inlineStr">
        <is>
          <t>NYSE</t>
        </is>
      </c>
      <c r="D5462" t="n">
        <v>1632127</v>
      </c>
      <c r="E5462" t="inlineStr">
        <is>
          <t>SEC</t>
        </is>
      </c>
    </row>
    <row r="5463">
      <c r="A5463" s="5">
        <f>HYPERLINK("https://finance.yahoo.com/quote/CRSF","CRSF")</f>
        <v/>
      </c>
      <c r="B5463" t="inlineStr">
        <is>
          <t>Crisp Momentum Inc.</t>
        </is>
      </c>
      <c r="C5463" t="inlineStr">
        <is>
          <t>OTC</t>
        </is>
      </c>
      <c r="D5463" t="n">
        <v>924396</v>
      </c>
      <c r="E5463" t="inlineStr">
        <is>
          <t>SEC</t>
        </is>
      </c>
    </row>
    <row r="5464">
      <c r="A5464" s="5">
        <f>HYPERLINK("https://finance.yahoo.com/quote/CRTD","CRTD")</f>
        <v/>
      </c>
      <c r="B5464" t="inlineStr">
        <is>
          <t>Creatd, Inc.</t>
        </is>
      </c>
      <c r="C5464" t="inlineStr">
        <is>
          <t>OTC</t>
        </is>
      </c>
      <c r="D5464" t="n">
        <v>1357671</v>
      </c>
      <c r="E5464" t="inlineStr">
        <is>
          <t>SEC</t>
        </is>
      </c>
    </row>
    <row r="5465">
      <c r="A5465" s="5">
        <f>HYPERLINK("https://finance.yahoo.com/quote/MLSS","MLSS")</f>
        <v/>
      </c>
      <c r="B5465" t="inlineStr">
        <is>
          <t>MILESTONE SCIENTIFIC INC.</t>
        </is>
      </c>
      <c r="C5465" t="inlineStr">
        <is>
          <t>NYSE</t>
        </is>
      </c>
      <c r="D5465" t="n">
        <v>855683</v>
      </c>
      <c r="E5465" t="inlineStr">
        <is>
          <t>SEC</t>
        </is>
      </c>
    </row>
    <row r="5466">
      <c r="A5466" s="5">
        <f>HYPERLINK("https://finance.yahoo.com/quote/ABVC","ABVC")</f>
        <v/>
      </c>
      <c r="B5466" t="inlineStr">
        <is>
          <t>ABVC BIOPHARMA, INC.</t>
        </is>
      </c>
      <c r="C5466" t="inlineStr">
        <is>
          <t>Nasdaq</t>
        </is>
      </c>
      <c r="D5466" t="n">
        <v>1173313</v>
      </c>
      <c r="E5466" t="inlineStr">
        <is>
          <t>SEC</t>
        </is>
      </c>
    </row>
    <row r="5467">
      <c r="A5467" s="5">
        <f>HYPERLINK("https://finance.yahoo.com/quote/FLD","FLD")</f>
        <v/>
      </c>
      <c r="B5467" t="inlineStr">
        <is>
          <t>Fold Holdings, Inc.</t>
        </is>
      </c>
      <c r="C5467" t="inlineStr">
        <is>
          <t>Nasdaq</t>
        </is>
      </c>
      <c r="D5467" t="n">
        <v>1889123</v>
      </c>
      <c r="E5467" t="inlineStr">
        <is>
          <t>SEC</t>
        </is>
      </c>
    </row>
    <row r="5468">
      <c r="A5468" s="5">
        <f>HYPERLINK("https://finance.yahoo.com/quote/CPHI","CPHI")</f>
        <v/>
      </c>
      <c r="B5468" t="inlineStr">
        <is>
          <t>CHINA PHARMA HOLDINGS, INC.</t>
        </is>
      </c>
      <c r="C5468" t="inlineStr">
        <is>
          <t>NYSE</t>
        </is>
      </c>
      <c r="D5468" t="n">
        <v>1106644</v>
      </c>
      <c r="E5468" t="inlineStr">
        <is>
          <t>SEC</t>
        </is>
      </c>
    </row>
    <row r="5469">
      <c r="A5469" s="5">
        <f>HYPERLINK("https://finance.yahoo.com/quote/MLGO","MLGO")</f>
        <v/>
      </c>
      <c r="B5469" t="inlineStr">
        <is>
          <t>MicroAlgo Inc.</t>
        </is>
      </c>
      <c r="C5469" t="inlineStr">
        <is>
          <t>Nasdaq</t>
        </is>
      </c>
      <c r="D5469" t="n">
        <v>1800392</v>
      </c>
      <c r="E5469" t="inlineStr">
        <is>
          <t>SEC</t>
        </is>
      </c>
    </row>
    <row r="5470">
      <c r="A5470" s="5">
        <f>HYPERLINK("https://finance.yahoo.com/quote/CLPS","CLPS")</f>
        <v/>
      </c>
      <c r="B5470" t="inlineStr">
        <is>
          <t>CLPS Inc</t>
        </is>
      </c>
      <c r="C5470" t="inlineStr">
        <is>
          <t>Nasdaq</t>
        </is>
      </c>
      <c r="D5470" t="n">
        <v>1724542</v>
      </c>
      <c r="E5470" t="inlineStr">
        <is>
          <t>SEC</t>
        </is>
      </c>
    </row>
    <row r="5471">
      <c r="A5471" s="5">
        <f>HYPERLINK("https://finance.yahoo.com/quote/FOFA","FOFA")</f>
        <v/>
      </c>
      <c r="B5471" t="inlineStr">
        <is>
          <t>FAMILY OFFICE OF AMERICA, INC.</t>
        </is>
      </c>
      <c r="C5471" t="inlineStr">
        <is>
          <t>OTC</t>
        </is>
      </c>
      <c r="D5471" t="n">
        <v>1871181</v>
      </c>
      <c r="E5471" t="inlineStr">
        <is>
          <t>SEC</t>
        </is>
      </c>
    </row>
    <row r="5472">
      <c r="A5472" s="5">
        <f>HYPERLINK("https://finance.yahoo.com/quote/NOMA","NOMA")</f>
        <v/>
      </c>
      <c r="B5472" t="inlineStr">
        <is>
          <t>Nomadar Corp.</t>
        </is>
      </c>
      <c r="C5472" t="inlineStr">
        <is>
          <t>Nasdaq</t>
        </is>
      </c>
      <c r="D5472" t="n">
        <v>1994214</v>
      </c>
      <c r="E5472" t="inlineStr">
        <is>
          <t>SEC</t>
        </is>
      </c>
    </row>
    <row r="5473">
      <c r="A5473" s="5">
        <f>HYPERLINK("https://finance.yahoo.com/quote/GPUS","GPUS")</f>
        <v/>
      </c>
      <c r="B5473" t="inlineStr">
        <is>
          <t>Hyperscale Data, Inc.</t>
        </is>
      </c>
      <c r="C5473" t="inlineStr">
        <is>
          <t>NYSE</t>
        </is>
      </c>
      <c r="D5473" t="n">
        <v>896493</v>
      </c>
      <c r="E5473" t="inlineStr">
        <is>
          <t>SEC</t>
        </is>
      </c>
    </row>
    <row r="5474">
      <c r="A5474" s="5">
        <f>HYPERLINK("https://finance.yahoo.com/quote/HOLO","HOLO")</f>
        <v/>
      </c>
      <c r="B5474" t="inlineStr">
        <is>
          <t>MicroCloud Hologram Inc.</t>
        </is>
      </c>
      <c r="C5474" t="inlineStr">
        <is>
          <t>Nasdaq</t>
        </is>
      </c>
      <c r="D5474" t="n">
        <v>1841209</v>
      </c>
      <c r="E5474" t="inlineStr">
        <is>
          <t>SEC</t>
        </is>
      </c>
    </row>
    <row r="5475">
      <c r="A5475" s="5">
        <f>HYPERLINK("https://finance.yahoo.com/quote/CPIVF","CPIVF")</f>
        <v/>
      </c>
      <c r="B5475" t="inlineStr">
        <is>
          <t>CAPTIVA VERDE WELLNESS CORP.</t>
        </is>
      </c>
      <c r="C5475" t="inlineStr">
        <is>
          <t>OTC</t>
        </is>
      </c>
      <c r="D5475" t="n">
        <v>1712294</v>
      </c>
      <c r="E5475" t="inlineStr">
        <is>
          <t>SEC</t>
        </is>
      </c>
    </row>
    <row r="5476">
      <c r="A5476" s="5">
        <f>HYPERLINK("https://finance.yahoo.com/quote/DXLG","DXLG")</f>
        <v/>
      </c>
      <c r="B5476" t="inlineStr">
        <is>
          <t>DESTINATION XL GROUP, INC.</t>
        </is>
      </c>
      <c r="C5476" t="inlineStr">
        <is>
          <t>Nasdaq</t>
        </is>
      </c>
      <c r="D5476" t="n">
        <v>813298</v>
      </c>
      <c r="E5476" t="inlineStr">
        <is>
          <t>SEC</t>
        </is>
      </c>
    </row>
    <row r="5477">
      <c r="A5477" s="5">
        <f>HYPERLINK("https://finance.yahoo.com/quote/CGDCF","CGDCF")</f>
        <v/>
      </c>
      <c r="B5477" t="inlineStr">
        <is>
          <t>Carlin Gold Corp</t>
        </is>
      </c>
      <c r="C5477" t="inlineStr">
        <is>
          <t>OTC</t>
        </is>
      </c>
      <c r="D5477" t="n">
        <v>1342325</v>
      </c>
      <c r="E5477" t="inlineStr">
        <is>
          <t>SEC</t>
        </is>
      </c>
    </row>
    <row r="5478">
      <c r="A5478" s="5">
        <f>HYPERLINK("https://finance.yahoo.com/quote/VAUCF","VAUCF")</f>
        <v/>
      </c>
      <c r="B5478" t="inlineStr">
        <is>
          <t>Viva Gold Corp.</t>
        </is>
      </c>
      <c r="C5478" t="inlineStr">
        <is>
          <t>OTC</t>
        </is>
      </c>
      <c r="D5478" t="n">
        <v>1723047</v>
      </c>
      <c r="E5478" t="inlineStr">
        <is>
          <t>SEC</t>
        </is>
      </c>
    </row>
    <row r="5479">
      <c r="A5479" s="5">
        <f>HYPERLINK("https://finance.yahoo.com/quote/GNVR","GNVR")</f>
        <v/>
      </c>
      <c r="B5479" t="inlineStr">
        <is>
          <t>Genvor Inc</t>
        </is>
      </c>
      <c r="C5479" t="inlineStr">
        <is>
          <t>OTC</t>
        </is>
      </c>
      <c r="D5479" t="n">
        <v>1792941</v>
      </c>
      <c r="E5479" t="inlineStr">
        <is>
          <t>SEC</t>
        </is>
      </c>
    </row>
    <row r="5480">
      <c r="A5480" s="5">
        <f>HYPERLINK("https://finance.yahoo.com/quote/FIEE","FIEE")</f>
        <v/>
      </c>
      <c r="B5480" t="inlineStr">
        <is>
          <t>FiEE, Inc.</t>
        </is>
      </c>
      <c r="C5480" t="inlineStr">
        <is>
          <t>Nasdaq</t>
        </is>
      </c>
      <c r="D5480" t="n">
        <v>1467761</v>
      </c>
      <c r="E5480" t="inlineStr">
        <is>
          <t>SEC</t>
        </is>
      </c>
    </row>
    <row r="5481">
      <c r="A5481" s="5">
        <f>HYPERLINK("https://finance.yahoo.com/quote/EMCGF","EMCGF")</f>
        <v/>
      </c>
      <c r="B5481" t="inlineStr">
        <is>
          <t>Embrace Change Acquisition Corp.</t>
        </is>
      </c>
      <c r="C5481" t="inlineStr"/>
      <c r="D5481" t="n">
        <v>1869601</v>
      </c>
      <c r="E5481" t="inlineStr">
        <is>
          <t>SEC</t>
        </is>
      </c>
    </row>
    <row r="5482">
      <c r="A5482" s="5">
        <f>HYPERLINK("https://finance.yahoo.com/quote/BMNM","BMNM")</f>
        <v/>
      </c>
      <c r="B5482" t="inlineStr">
        <is>
          <t>BIMINI CAPITAL MANAGEMENT, INC.</t>
        </is>
      </c>
      <c r="C5482" t="inlineStr">
        <is>
          <t>OTC</t>
        </is>
      </c>
      <c r="D5482" t="n">
        <v>1275477</v>
      </c>
      <c r="E5482" t="inlineStr">
        <is>
          <t>SEC</t>
        </is>
      </c>
    </row>
    <row r="5483">
      <c r="A5483" s="5">
        <f>HYPERLINK("https://finance.yahoo.com/quote/PETS","PETS")</f>
        <v/>
      </c>
      <c r="B5483" t="inlineStr">
        <is>
          <t>PETMED EXPRESS INC</t>
        </is>
      </c>
      <c r="C5483" t="inlineStr">
        <is>
          <t>Nasdaq</t>
        </is>
      </c>
      <c r="D5483" t="n">
        <v>1040130</v>
      </c>
      <c r="E5483" t="inlineStr">
        <is>
          <t>SEC</t>
        </is>
      </c>
    </row>
    <row r="5484">
      <c r="A5484" s="5">
        <f>HYPERLINK("https://finance.yahoo.com/quote/TAOX","TAOX")</f>
        <v/>
      </c>
      <c r="B5484" t="inlineStr">
        <is>
          <t>TAO Synergies Inc.</t>
        </is>
      </c>
      <c r="C5484" t="inlineStr">
        <is>
          <t>Nasdaq</t>
        </is>
      </c>
      <c r="D5484" t="n">
        <v>1571934</v>
      </c>
      <c r="E5484" t="inlineStr">
        <is>
          <t>SEC</t>
        </is>
      </c>
    </row>
    <row r="5485">
      <c r="A5485" s="5">
        <f>HYPERLINK("https://finance.yahoo.com/quote/BIRD","BIRD")</f>
        <v/>
      </c>
      <c r="B5485" t="inlineStr">
        <is>
          <t>Smartbird, Inc.</t>
        </is>
      </c>
      <c r="C5485" t="inlineStr">
        <is>
          <t>Nasdaq</t>
        </is>
      </c>
      <c r="D5485" t="n">
        <v>1653909</v>
      </c>
      <c r="E5485" t="inlineStr">
        <is>
          <t>SEC</t>
        </is>
      </c>
    </row>
    <row r="5486">
      <c r="A5486" s="5">
        <f>HYPERLINK("https://finance.yahoo.com/quote/RYOJ","RYOJ")</f>
        <v/>
      </c>
      <c r="B5486" t="inlineStr">
        <is>
          <t>rYojbaba Co., Ltd.</t>
        </is>
      </c>
      <c r="C5486" t="inlineStr">
        <is>
          <t>Nasdaq</t>
        </is>
      </c>
      <c r="D5486" t="n">
        <v>2012600</v>
      </c>
      <c r="E5486" t="inlineStr">
        <is>
          <t>SEC</t>
        </is>
      </c>
    </row>
    <row r="5487">
      <c r="A5487" s="5">
        <f>HYPERLINK("https://finance.yahoo.com/quote/DCGO","DCGO")</f>
        <v/>
      </c>
      <c r="B5487" t="inlineStr">
        <is>
          <t>DocGo Inc.</t>
        </is>
      </c>
      <c r="C5487" t="inlineStr">
        <is>
          <t>Nasdaq</t>
        </is>
      </c>
      <c r="D5487" t="n">
        <v>1822359</v>
      </c>
      <c r="E5487" t="inlineStr">
        <is>
          <t>SEC</t>
        </is>
      </c>
    </row>
    <row r="5488">
      <c r="A5488" s="5">
        <f>HYPERLINK("https://finance.yahoo.com/quote/PETV","PETV")</f>
        <v/>
      </c>
      <c r="B5488" t="inlineStr">
        <is>
          <t>PetVivo Holdings, Inc.</t>
        </is>
      </c>
      <c r="C5488" t="inlineStr">
        <is>
          <t>OTC</t>
        </is>
      </c>
      <c r="D5488" t="n">
        <v>1512922</v>
      </c>
      <c r="E5488" t="inlineStr">
        <is>
          <t>SEC</t>
        </is>
      </c>
    </row>
    <row r="5489">
      <c r="A5489" s="5">
        <f>HYPERLINK("https://finance.yahoo.com/quote/CVV","CVV")</f>
        <v/>
      </c>
      <c r="B5489" t="inlineStr">
        <is>
          <t>CVD EQUIPMENT CORP</t>
        </is>
      </c>
      <c r="C5489" t="inlineStr">
        <is>
          <t>Nasdaq</t>
        </is>
      </c>
      <c r="D5489" t="n">
        <v>766792</v>
      </c>
      <c r="E5489" t="inlineStr">
        <is>
          <t>SEC</t>
        </is>
      </c>
    </row>
    <row r="5490">
      <c r="A5490" s="5">
        <f>HYPERLINK("https://finance.yahoo.com/quote/NVGLF","NVGLF")</f>
        <v/>
      </c>
      <c r="B5490" t="inlineStr">
        <is>
          <t>NV Gold Corp</t>
        </is>
      </c>
      <c r="C5490" t="inlineStr">
        <is>
          <t>OTC</t>
        </is>
      </c>
      <c r="D5490" t="n">
        <v>1607807</v>
      </c>
      <c r="E5490" t="inlineStr">
        <is>
          <t>SEC</t>
        </is>
      </c>
    </row>
    <row r="5491">
      <c r="A5491" s="5">
        <f>HYPERLINK("https://finance.yahoo.com/quote/PPSI","PPSI")</f>
        <v/>
      </c>
      <c r="B5491" t="inlineStr">
        <is>
          <t>PIONEER POWER SOLUTIONS, INC.</t>
        </is>
      </c>
      <c r="C5491" t="inlineStr">
        <is>
          <t>Nasdaq</t>
        </is>
      </c>
      <c r="D5491" t="n">
        <v>1449792</v>
      </c>
      <c r="E5491" t="inlineStr">
        <is>
          <t>SEC</t>
        </is>
      </c>
    </row>
    <row r="5492">
      <c r="A5492" s="5">
        <f>HYPERLINK("https://finance.yahoo.com/quote/CNTM","CNTM")</f>
        <v/>
      </c>
      <c r="B5492" t="inlineStr">
        <is>
          <t>ConnectM Technology Solutions, Inc.</t>
        </is>
      </c>
      <c r="C5492" t="inlineStr">
        <is>
          <t>OTC</t>
        </is>
      </c>
      <c r="D5492" t="n">
        <v>1895249</v>
      </c>
      <c r="E5492" t="inlineStr">
        <is>
          <t>SEC</t>
        </is>
      </c>
    </row>
    <row r="5493">
      <c r="A5493" s="5">
        <f>HYPERLINK("https://finance.yahoo.com/quote/ATOS","ATOS")</f>
        <v/>
      </c>
      <c r="B5493" t="inlineStr">
        <is>
          <t>ATOSSA THERAPEUTICS, INC.</t>
        </is>
      </c>
      <c r="C5493" t="inlineStr">
        <is>
          <t>Nasdaq</t>
        </is>
      </c>
      <c r="D5493" t="n">
        <v>1488039</v>
      </c>
      <c r="E5493" t="inlineStr">
        <is>
          <t>SEC</t>
        </is>
      </c>
    </row>
    <row r="5494">
      <c r="A5494" s="5">
        <f>HYPERLINK("https://finance.yahoo.com/quote/SNFI","SNFI")</f>
        <v/>
      </c>
      <c r="B5494" t="inlineStr">
        <is>
          <t>Stark Novus Financial Inc.</t>
        </is>
      </c>
      <c r="C5494" t="inlineStr">
        <is>
          <t>OTC</t>
        </is>
      </c>
      <c r="D5494" t="n">
        <v>1759546</v>
      </c>
      <c r="E5494" t="inlineStr">
        <is>
          <t>SEC</t>
        </is>
      </c>
    </row>
    <row r="5495">
      <c r="A5495" s="5">
        <f>HYPERLINK("https://finance.yahoo.com/quote/JVA","JVA")</f>
        <v/>
      </c>
      <c r="B5495" t="inlineStr">
        <is>
          <t>COFFEE HOLDING CO INC</t>
        </is>
      </c>
      <c r="C5495" t="inlineStr">
        <is>
          <t>Nasdaq</t>
        </is>
      </c>
      <c r="D5495" t="n">
        <v>1007019</v>
      </c>
      <c r="E5495" t="inlineStr">
        <is>
          <t>SEC</t>
        </is>
      </c>
    </row>
    <row r="5496">
      <c r="A5496" s="5">
        <f>HYPERLINK("https://finance.yahoo.com/quote/CCEYF","CCEYF")</f>
        <v/>
      </c>
      <c r="B5496" t="inlineStr">
        <is>
          <t>CanCambria Energy Corp.</t>
        </is>
      </c>
      <c r="C5496" t="inlineStr">
        <is>
          <t>OTC</t>
        </is>
      </c>
      <c r="D5496" t="n">
        <v>1992604</v>
      </c>
      <c r="E5496" t="inlineStr">
        <is>
          <t>SEC</t>
        </is>
      </c>
    </row>
    <row r="5497">
      <c r="A5497" s="5">
        <f>HYPERLINK("https://finance.yahoo.com/quote/RYET","RYET")</f>
        <v/>
      </c>
      <c r="B5497" t="inlineStr">
        <is>
          <t>Ruanyun Edai Technology Inc.</t>
        </is>
      </c>
      <c r="C5497" t="inlineStr">
        <is>
          <t>Nasdaq</t>
        </is>
      </c>
      <c r="D5497" t="n">
        <v>1873454</v>
      </c>
      <c r="E5497" t="inlineStr">
        <is>
          <t>SEC</t>
        </is>
      </c>
    </row>
    <row r="5498">
      <c r="A5498" s="5">
        <f>HYPERLINK("https://finance.yahoo.com/quote/INIS","INIS")</f>
        <v/>
      </c>
      <c r="B5498" t="inlineStr">
        <is>
          <t>RADNOSTIX INC</t>
        </is>
      </c>
      <c r="C5498" t="inlineStr">
        <is>
          <t>OTC</t>
        </is>
      </c>
      <c r="D5498" t="n">
        <v>1038277</v>
      </c>
      <c r="E5498" t="inlineStr">
        <is>
          <t>SEC</t>
        </is>
      </c>
    </row>
    <row r="5499">
      <c r="A5499" s="5">
        <f>HYPERLINK("https://finance.yahoo.com/quote/CRWS","CRWS")</f>
        <v/>
      </c>
      <c r="B5499" t="inlineStr">
        <is>
          <t>CROWN CRAFTS INC</t>
        </is>
      </c>
      <c r="C5499" t="inlineStr">
        <is>
          <t>Nasdaq</t>
        </is>
      </c>
      <c r="D5499" t="n">
        <v>25895</v>
      </c>
      <c r="E5499" t="inlineStr">
        <is>
          <t>SEC</t>
        </is>
      </c>
    </row>
    <row r="5500">
      <c r="A5500" s="5">
        <f>HYPERLINK("https://finance.yahoo.com/quote/TRXA","TRXA")</f>
        <v/>
      </c>
      <c r="B5500" t="inlineStr">
        <is>
          <t>T-REX Acquisition Corp.</t>
        </is>
      </c>
      <c r="C5500" t="inlineStr">
        <is>
          <t>OTC</t>
        </is>
      </c>
      <c r="D5500" t="n">
        <v>1437750</v>
      </c>
      <c r="E5500" t="inlineStr">
        <is>
          <t>SEC</t>
        </is>
      </c>
    </row>
    <row r="5501">
      <c r="A5501" s="5">
        <f>HYPERLINK("https://finance.yahoo.com/quote/AAME","AAME")</f>
        <v/>
      </c>
      <c r="B5501" t="inlineStr">
        <is>
          <t>ATLANTIC AMERICAN CORP</t>
        </is>
      </c>
      <c r="C5501" t="inlineStr">
        <is>
          <t>Nasdaq</t>
        </is>
      </c>
      <c r="D5501" t="n">
        <v>8177</v>
      </c>
      <c r="E5501" t="inlineStr">
        <is>
          <t>SEC</t>
        </is>
      </c>
    </row>
    <row r="5502">
      <c r="A5502" s="5">
        <f>HYPERLINK("https://finance.yahoo.com/quote/PRHI","PRHI")</f>
        <v/>
      </c>
      <c r="B5502" t="inlineStr">
        <is>
          <t>Presurance Holdings, Inc.</t>
        </is>
      </c>
      <c r="C5502" t="inlineStr">
        <is>
          <t>Nasdaq</t>
        </is>
      </c>
      <c r="D5502" t="n">
        <v>1502292</v>
      </c>
      <c r="E5502" t="inlineStr">
        <is>
          <t>SEC</t>
        </is>
      </c>
    </row>
    <row r="5503">
      <c r="A5503" s="5">
        <f>HYPERLINK("https://finance.yahoo.com/quote/DAIO","DAIO")</f>
        <v/>
      </c>
      <c r="B5503" t="inlineStr">
        <is>
          <t>DATA I/O CORP</t>
        </is>
      </c>
      <c r="C5503" t="inlineStr">
        <is>
          <t>Nasdaq</t>
        </is>
      </c>
      <c r="D5503" t="n">
        <v>351998</v>
      </c>
      <c r="E5503" t="inlineStr">
        <is>
          <t>SEC</t>
        </is>
      </c>
    </row>
    <row r="5504">
      <c r="A5504" s="5">
        <f>HYPERLINK("https://finance.yahoo.com/quote/ETST","ETST")</f>
        <v/>
      </c>
      <c r="B5504" t="inlineStr">
        <is>
          <t>Earth Science Tech, Inc.</t>
        </is>
      </c>
      <c r="C5504" t="inlineStr">
        <is>
          <t>OTC</t>
        </is>
      </c>
      <c r="D5504" t="n">
        <v>1538495</v>
      </c>
      <c r="E5504" t="inlineStr">
        <is>
          <t>SEC</t>
        </is>
      </c>
    </row>
    <row r="5505">
      <c r="A5505" s="5">
        <f>HYPERLINK("https://finance.yahoo.com/quote/IGC","IGC")</f>
        <v/>
      </c>
      <c r="B5505" t="inlineStr">
        <is>
          <t>IGC Pharma, Inc.</t>
        </is>
      </c>
      <c r="C5505" t="inlineStr">
        <is>
          <t>NYSE</t>
        </is>
      </c>
      <c r="D5505" t="n">
        <v>1326205</v>
      </c>
      <c r="E5505" t="inlineStr">
        <is>
          <t>SEC</t>
        </is>
      </c>
    </row>
    <row r="5506">
      <c r="A5506" s="5">
        <f>HYPERLINK("https://finance.yahoo.com/quote/MIRA","MIRA")</f>
        <v/>
      </c>
      <c r="B5506" t="inlineStr">
        <is>
          <t>MIRA PHARMACEUTICALS, INC.</t>
        </is>
      </c>
      <c r="C5506" t="inlineStr">
        <is>
          <t>Nasdaq</t>
        </is>
      </c>
      <c r="D5506" t="n">
        <v>1904286</v>
      </c>
      <c r="E5506" t="inlineStr">
        <is>
          <t>SEC</t>
        </is>
      </c>
    </row>
    <row r="5507">
      <c r="A5507" s="5">
        <f>HYPERLINK("https://finance.yahoo.com/quote/COSM","COSM")</f>
        <v/>
      </c>
      <c r="B5507" t="inlineStr">
        <is>
          <t>Cosmos Health Inc.</t>
        </is>
      </c>
      <c r="C5507" t="inlineStr">
        <is>
          <t>Nasdaq</t>
        </is>
      </c>
      <c r="D5507" t="n">
        <v>1474167</v>
      </c>
      <c r="E5507" t="inlineStr">
        <is>
          <t>SEC</t>
        </is>
      </c>
    </row>
    <row r="5508">
      <c r="A5508" s="5">
        <f>HYPERLINK("https://finance.yahoo.com/quote/FFR","FFR")</f>
        <v/>
      </c>
      <c r="B5508" t="inlineStr">
        <is>
          <t>FF EAI Robotics Ecosystem Inc.</t>
        </is>
      </c>
      <c r="C5508" t="inlineStr">
        <is>
          <t>Nasdaq</t>
        </is>
      </c>
      <c r="D5508" t="n">
        <v>1460702</v>
      </c>
      <c r="E5508" t="inlineStr">
        <is>
          <t>SEC</t>
        </is>
      </c>
    </row>
    <row r="5509">
      <c r="A5509" s="5">
        <f>HYPERLINK("https://finance.yahoo.com/quote/SPRU","SPRU")</f>
        <v/>
      </c>
      <c r="B5509" t="inlineStr">
        <is>
          <t>SPRUCE POWER HOLDING CORP</t>
        </is>
      </c>
      <c r="C5509" t="inlineStr">
        <is>
          <t>NYSE</t>
        </is>
      </c>
      <c r="D5509" t="n">
        <v>1772720</v>
      </c>
      <c r="E5509" t="inlineStr">
        <is>
          <t>SEC</t>
        </is>
      </c>
    </row>
    <row r="5510">
      <c r="A5510" s="5">
        <f>HYPERLINK("https://finance.yahoo.com/quote/ANPA","ANPA")</f>
        <v/>
      </c>
      <c r="B5510" t="inlineStr">
        <is>
          <t>Rich Sparkle Holdings Ltd</t>
        </is>
      </c>
      <c r="C5510" t="inlineStr">
        <is>
          <t>Nasdaq</t>
        </is>
      </c>
      <c r="D5510" t="n">
        <v>2031688</v>
      </c>
      <c r="E5510" t="inlineStr">
        <is>
          <t>SEC</t>
        </is>
      </c>
    </row>
    <row r="5511">
      <c r="A5511" s="5">
        <f>HYPERLINK("https://finance.yahoo.com/quote/YI","YI")</f>
        <v/>
      </c>
      <c r="B5511" t="inlineStr">
        <is>
          <t>111, Inc.</t>
        </is>
      </c>
      <c r="C5511" t="inlineStr">
        <is>
          <t>Nasdaq</t>
        </is>
      </c>
      <c r="D5511" t="n">
        <v>1738906</v>
      </c>
      <c r="E5511" t="inlineStr">
        <is>
          <t>SEC</t>
        </is>
      </c>
    </row>
    <row r="5512">
      <c r="A5512" s="5">
        <f>HYPERLINK("https://finance.yahoo.com/quote/FKWL","FKWL")</f>
        <v/>
      </c>
      <c r="B5512" t="inlineStr">
        <is>
          <t>FRANKLIN WIRELESS CORP</t>
        </is>
      </c>
      <c r="C5512" t="inlineStr">
        <is>
          <t>Nasdaq</t>
        </is>
      </c>
      <c r="D5512" t="n">
        <v>722572</v>
      </c>
      <c r="E5512" t="inlineStr">
        <is>
          <t>SEC</t>
        </is>
      </c>
    </row>
    <row r="5513">
      <c r="A5513" s="5">
        <f>HYPERLINK("https://finance.yahoo.com/quote/CLRCF","CLRCF")</f>
        <v/>
      </c>
      <c r="B5513" t="inlineStr">
        <is>
          <t>ClimateRock</t>
        </is>
      </c>
      <c r="C5513" t="inlineStr">
        <is>
          <t>OTC</t>
        </is>
      </c>
      <c r="D5513" t="n">
        <v>1903392</v>
      </c>
      <c r="E5513" t="inlineStr">
        <is>
          <t>SEC</t>
        </is>
      </c>
    </row>
    <row r="5514">
      <c r="A5514" s="5">
        <f>HYPERLINK("https://finance.yahoo.com/quote/MDRR","MDRR")</f>
        <v/>
      </c>
      <c r="B5514" t="inlineStr">
        <is>
          <t>Medalist Diversified, Inc.</t>
        </is>
      </c>
      <c r="C5514" t="inlineStr">
        <is>
          <t>Nasdaq</t>
        </is>
      </c>
      <c r="D5514" t="n">
        <v>1654595</v>
      </c>
      <c r="E5514" t="inlineStr">
        <is>
          <t>SEC</t>
        </is>
      </c>
    </row>
    <row r="5515">
      <c r="A5515" s="5">
        <f>HYPERLINK("https://finance.yahoo.com/quote/TBTC","TBTC")</f>
        <v/>
      </c>
      <c r="B5515" t="inlineStr">
        <is>
          <t>TABLE TRAC INC</t>
        </is>
      </c>
      <c r="C5515" t="inlineStr">
        <is>
          <t>OTC</t>
        </is>
      </c>
      <c r="D5515" t="n">
        <v>1090396</v>
      </c>
      <c r="E5515" t="inlineStr">
        <is>
          <t>SEC</t>
        </is>
      </c>
    </row>
    <row r="5516">
      <c r="A5516" s="5">
        <f>HYPERLINK("https://finance.yahoo.com/quote/GNS","GNS")</f>
        <v/>
      </c>
      <c r="B5516" t="inlineStr">
        <is>
          <t>Genius Group Ltd</t>
        </is>
      </c>
      <c r="C5516" t="inlineStr">
        <is>
          <t>NYSE</t>
        </is>
      </c>
      <c r="D5516" t="n">
        <v>1847806</v>
      </c>
      <c r="E5516" t="inlineStr">
        <is>
          <t>SEC</t>
        </is>
      </c>
    </row>
    <row r="5517">
      <c r="A5517" s="5">
        <f>HYPERLINK("https://finance.yahoo.com/quote/JAYGF","JAYGF")</f>
        <v/>
      </c>
      <c r="B5517" t="inlineStr">
        <is>
          <t>Blue Jay Gold Corp.</t>
        </is>
      </c>
      <c r="C5517" t="inlineStr">
        <is>
          <t>OTC</t>
        </is>
      </c>
      <c r="D5517" t="n">
        <v>2092243</v>
      </c>
      <c r="E5517" t="inlineStr">
        <is>
          <t>SEC</t>
        </is>
      </c>
    </row>
    <row r="5518">
      <c r="A5518" s="5">
        <f>HYPERLINK("https://finance.yahoo.com/quote/PDC","PDC")</f>
        <v/>
      </c>
      <c r="B5518" t="inlineStr">
        <is>
          <t>Perpetuals.com Ltd</t>
        </is>
      </c>
      <c r="C5518" t="inlineStr">
        <is>
          <t>Nasdaq</t>
        </is>
      </c>
      <c r="D5518" t="n">
        <v>1944399</v>
      </c>
      <c r="E5518" t="inlineStr">
        <is>
          <t>SEC</t>
        </is>
      </c>
    </row>
    <row r="5519">
      <c r="A5519" s="5">
        <f>HYPERLINK("https://finance.yahoo.com/quote/EURK","EURK")</f>
        <v/>
      </c>
      <c r="B5519" t="inlineStr">
        <is>
          <t>Eureka Acquisition Corp</t>
        </is>
      </c>
      <c r="C5519" t="inlineStr">
        <is>
          <t>Nasdaq</t>
        </is>
      </c>
      <c r="D5519" t="n">
        <v>2000410</v>
      </c>
      <c r="E5519" t="inlineStr">
        <is>
          <t>SEC</t>
        </is>
      </c>
    </row>
    <row r="5520">
      <c r="A5520" s="5">
        <f>HYPERLINK("https://finance.yahoo.com/quote/INIKF","INIKF")</f>
        <v/>
      </c>
      <c r="B5520" t="inlineStr">
        <is>
          <t>PopReach Corp</t>
        </is>
      </c>
      <c r="C5520" t="inlineStr">
        <is>
          <t>OTC</t>
        </is>
      </c>
      <c r="D5520" t="n">
        <v>1928722</v>
      </c>
      <c r="E5520" t="inlineStr">
        <is>
          <t>SEC</t>
        </is>
      </c>
    </row>
    <row r="5521">
      <c r="A5521" s="5">
        <f>HYPERLINK("https://finance.yahoo.com/quote/ASPC","ASPC")</f>
        <v/>
      </c>
      <c r="B5521" t="inlineStr">
        <is>
          <t>ASPAC III Acquisition Corp.</t>
        </is>
      </c>
      <c r="C5521" t="inlineStr">
        <is>
          <t>Nasdaq</t>
        </is>
      </c>
      <c r="D5521" t="n">
        <v>1890361</v>
      </c>
      <c r="E5521" t="inlineStr">
        <is>
          <t>SEC</t>
        </is>
      </c>
    </row>
    <row r="5522">
      <c r="A5522" s="5">
        <f>HYPERLINK("https://finance.yahoo.com/quote/BLIV","BLIV")</f>
        <v/>
      </c>
      <c r="B5522" t="inlineStr">
        <is>
          <t>BeLive Holdings</t>
        </is>
      </c>
      <c r="C5522" t="inlineStr">
        <is>
          <t>Nasdaq</t>
        </is>
      </c>
      <c r="D5522" t="n">
        <v>1982448</v>
      </c>
      <c r="E5522" t="inlineStr">
        <is>
          <t>SEC</t>
        </is>
      </c>
    </row>
    <row r="5523">
      <c r="A5523" s="5">
        <f>HYPERLINK("https://finance.yahoo.com/quote/HLEO","HLEO")</f>
        <v/>
      </c>
      <c r="B5523" t="inlineStr">
        <is>
          <t>Helio Corp /FL/</t>
        </is>
      </c>
      <c r="C5523" t="inlineStr">
        <is>
          <t>OTC</t>
        </is>
      </c>
      <c r="D5523" t="n">
        <v>1953988</v>
      </c>
      <c r="E5523" t="inlineStr">
        <is>
          <t>SEC</t>
        </is>
      </c>
    </row>
    <row r="5524">
      <c r="A5524" s="5">
        <f>HYPERLINK("https://finance.yahoo.com/quote/EONR","EONR")</f>
        <v/>
      </c>
      <c r="B5524" t="inlineStr">
        <is>
          <t>EON Resources Inc.</t>
        </is>
      </c>
      <c r="C5524" t="inlineStr">
        <is>
          <t>NYSE</t>
        </is>
      </c>
      <c r="D5524" t="n">
        <v>1842556</v>
      </c>
      <c r="E5524" t="inlineStr">
        <is>
          <t>SEC</t>
        </is>
      </c>
    </row>
    <row r="5525">
      <c r="A5525" s="5">
        <f>HYPERLINK("https://finance.yahoo.com/quote/BGDE","BGDE")</f>
        <v/>
      </c>
      <c r="B5525" t="inlineStr">
        <is>
          <t>Big Digital Energy, Inc.</t>
        </is>
      </c>
      <c r="C5525" t="inlineStr">
        <is>
          <t>Nasdaq</t>
        </is>
      </c>
      <c r="D5525" t="n">
        <v>1218683</v>
      </c>
      <c r="E5525" t="inlineStr">
        <is>
          <t>SEC</t>
        </is>
      </c>
    </row>
    <row r="5526">
      <c r="A5526" s="5">
        <f>HYPERLINK("https://finance.yahoo.com/quote/ZEO","ZEO")</f>
        <v/>
      </c>
      <c r="B5526" t="inlineStr">
        <is>
          <t>Zeo Energy Corp.</t>
        </is>
      </c>
      <c r="C5526" t="inlineStr">
        <is>
          <t>Nasdaq</t>
        </is>
      </c>
      <c r="D5526" t="n">
        <v>1865506</v>
      </c>
      <c r="E5526" t="inlineStr">
        <is>
          <t>SEC</t>
        </is>
      </c>
    </row>
    <row r="5527">
      <c r="A5527" s="5">
        <f>HYPERLINK("https://finance.yahoo.com/quote/MNY","MNY")</f>
        <v/>
      </c>
      <c r="B5527" t="inlineStr">
        <is>
          <t>MoneyHero Ltd</t>
        </is>
      </c>
      <c r="C5527" t="inlineStr">
        <is>
          <t>Nasdaq</t>
        </is>
      </c>
      <c r="D5527" t="n">
        <v>1974044</v>
      </c>
      <c r="E5527" t="inlineStr">
        <is>
          <t>SEC</t>
        </is>
      </c>
    </row>
    <row r="5528">
      <c r="A5528" s="5">
        <f>HYPERLINK("https://finance.yahoo.com/quote/LFLRF","LFLRF")</f>
        <v/>
      </c>
      <c r="B5528" t="inlineStr">
        <is>
          <t>LaFleur Minerals Inc..</t>
        </is>
      </c>
      <c r="C5528" t="inlineStr">
        <is>
          <t>OTC</t>
        </is>
      </c>
      <c r="D5528" t="n">
        <v>1800890</v>
      </c>
      <c r="E5528" t="inlineStr">
        <is>
          <t>SEC</t>
        </is>
      </c>
    </row>
    <row r="5529">
      <c r="A5529" s="5">
        <f>HYPERLINK("https://finance.yahoo.com/quote/ASFH","ASFH")</f>
        <v/>
      </c>
      <c r="B5529" t="inlineStr">
        <is>
          <t>ASIAFIN HOLDINGS CORP.</t>
        </is>
      </c>
      <c r="C5529" t="inlineStr">
        <is>
          <t>OTC</t>
        </is>
      </c>
      <c r="D5529" t="n">
        <v>1828748</v>
      </c>
      <c r="E5529" t="inlineStr">
        <is>
          <t>SEC</t>
        </is>
      </c>
    </row>
    <row r="5530">
      <c r="A5530" s="5">
        <f>HYPERLINK("https://finance.yahoo.com/quote/USGDF","USGDF")</f>
        <v/>
      </c>
      <c r="B5530" t="inlineStr">
        <is>
          <t>AMERICAN PACIFIC MINING CORP</t>
        </is>
      </c>
      <c r="C5530" t="inlineStr">
        <is>
          <t>OTC</t>
        </is>
      </c>
      <c r="D5530" t="n">
        <v>1726159</v>
      </c>
      <c r="E5530" t="inlineStr">
        <is>
          <t>SEC</t>
        </is>
      </c>
    </row>
    <row r="5531">
      <c r="A5531" s="5">
        <f>HYPERLINK("https://finance.yahoo.com/quote/STSBF","STSBF")</f>
        <v/>
      </c>
      <c r="B5531" t="inlineStr">
        <is>
          <t>South Star Battery Metals Corp.</t>
        </is>
      </c>
      <c r="C5531" t="inlineStr">
        <is>
          <t>OTC</t>
        </is>
      </c>
      <c r="D5531" t="n">
        <v>1307926</v>
      </c>
      <c r="E5531" t="inlineStr">
        <is>
          <t>SEC</t>
        </is>
      </c>
    </row>
    <row r="5532">
      <c r="A5532" s="5">
        <f>HYPERLINK("https://finance.yahoo.com/quote/FTCI","FTCI")</f>
        <v/>
      </c>
      <c r="B5532" t="inlineStr">
        <is>
          <t>FTC Solar, Inc.</t>
        </is>
      </c>
      <c r="C5532" t="inlineStr">
        <is>
          <t>Nasdaq</t>
        </is>
      </c>
      <c r="D5532" t="n">
        <v>1828161</v>
      </c>
      <c r="E5532" t="inlineStr">
        <is>
          <t>SEC</t>
        </is>
      </c>
    </row>
    <row r="5533">
      <c r="A5533" s="5">
        <f>HYPERLINK("https://finance.yahoo.com/quote/WBQNL","WBQNL")</f>
        <v/>
      </c>
      <c r="B5533" t="inlineStr">
        <is>
          <t>Woodbridge Liquidation Trust</t>
        </is>
      </c>
      <c r="C5533" t="inlineStr">
        <is>
          <t>OTC</t>
        </is>
      </c>
      <c r="D5533" t="n">
        <v>1785494</v>
      </c>
      <c r="E5533" t="inlineStr">
        <is>
          <t>SEC</t>
        </is>
      </c>
    </row>
    <row r="5534">
      <c r="A5534" s="5">
        <f>HYPERLINK("https://finance.yahoo.com/quote/PAPL","PAPL")</f>
        <v/>
      </c>
      <c r="B5534" t="inlineStr">
        <is>
          <t>Pineapple Financial Inc.</t>
        </is>
      </c>
      <c r="C5534" t="inlineStr">
        <is>
          <t>NYSE</t>
        </is>
      </c>
      <c r="D5534" t="n">
        <v>1938109</v>
      </c>
      <c r="E5534" t="inlineStr">
        <is>
          <t>SEC</t>
        </is>
      </c>
    </row>
    <row r="5535">
      <c r="A5535" s="5">
        <f>HYPERLINK("https://finance.yahoo.com/quote/EAXR","EAXR")</f>
        <v/>
      </c>
      <c r="B5535" t="inlineStr">
        <is>
          <t>Ealixir, Inc.</t>
        </is>
      </c>
      <c r="C5535" t="inlineStr">
        <is>
          <t>OTC</t>
        </is>
      </c>
      <c r="D5535" t="n">
        <v>832370</v>
      </c>
      <c r="E5535" t="inlineStr">
        <is>
          <t>SEC</t>
        </is>
      </c>
    </row>
    <row r="5536">
      <c r="A5536" s="5">
        <f>HYPERLINK("https://finance.yahoo.com/quote/QRHC","QRHC")</f>
        <v/>
      </c>
      <c r="B5536" t="inlineStr">
        <is>
          <t>Quest Resource Holding Corp</t>
        </is>
      </c>
      <c r="C5536" t="inlineStr">
        <is>
          <t>Nasdaq</t>
        </is>
      </c>
      <c r="D5536" t="n">
        <v>1442236</v>
      </c>
      <c r="E5536" t="inlineStr">
        <is>
          <t>SEC</t>
        </is>
      </c>
    </row>
    <row r="5537">
      <c r="A5537" s="5">
        <f>HYPERLINK("https://finance.yahoo.com/quote/DYNR","DYNR")</f>
        <v/>
      </c>
      <c r="B5537" t="inlineStr">
        <is>
          <t>DYNARESOURCE, INC.</t>
        </is>
      </c>
      <c r="C5537" t="inlineStr">
        <is>
          <t>OTC</t>
        </is>
      </c>
      <c r="D5537" t="n">
        <v>1111741</v>
      </c>
      <c r="E5537" t="inlineStr">
        <is>
          <t>SEC</t>
        </is>
      </c>
    </row>
    <row r="5538">
      <c r="A5538" s="5">
        <f>HYPERLINK("https://finance.yahoo.com/quote/SNNF","SNNF")</f>
        <v/>
      </c>
      <c r="B5538" t="inlineStr">
        <is>
          <t>Seneca Bancorp, Inc.</t>
        </is>
      </c>
      <c r="C5538" t="inlineStr">
        <is>
          <t>OTC</t>
        </is>
      </c>
      <c r="D5538" t="n">
        <v>2072421</v>
      </c>
      <c r="E5538" t="inlineStr">
        <is>
          <t>SEC</t>
        </is>
      </c>
    </row>
    <row r="5539">
      <c r="A5539" s="5">
        <f>HYPERLINK("https://finance.yahoo.com/quote/ARBK","ARBK")</f>
        <v/>
      </c>
      <c r="B5539" t="inlineStr">
        <is>
          <t>Argo Blockchain Plc</t>
        </is>
      </c>
      <c r="C5539" t="inlineStr">
        <is>
          <t>Nasdaq</t>
        </is>
      </c>
      <c r="D5539" t="n">
        <v>1841675</v>
      </c>
      <c r="E5539" t="inlineStr">
        <is>
          <t>SEC</t>
        </is>
      </c>
    </row>
    <row r="5540">
      <c r="A5540" s="5">
        <f>HYPERLINK("https://finance.yahoo.com/quote/ATCH","ATCH")</f>
        <v/>
      </c>
      <c r="B5540" t="inlineStr">
        <is>
          <t>AtlasClear Holdings, Inc.</t>
        </is>
      </c>
      <c r="C5540" t="inlineStr">
        <is>
          <t>NYSE</t>
        </is>
      </c>
      <c r="D5540" t="n">
        <v>1963088</v>
      </c>
      <c r="E5540" t="inlineStr">
        <is>
          <t>SEC</t>
        </is>
      </c>
    </row>
    <row r="5541">
      <c r="A5541" s="5">
        <f>HYPERLINK("https://finance.yahoo.com/quote/EXYN","EXYN")</f>
        <v/>
      </c>
      <c r="B5541" t="inlineStr">
        <is>
          <t>Exyn Technologies, Inc.</t>
        </is>
      </c>
      <c r="C5541" t="inlineStr">
        <is>
          <t>Nasdaq</t>
        </is>
      </c>
      <c r="D5541" t="n">
        <v>1960355</v>
      </c>
      <c r="E5541" t="inlineStr">
        <is>
          <t>SEC</t>
        </is>
      </c>
    </row>
    <row r="5542">
      <c r="A5542" s="5">
        <f>HYPERLINK("https://finance.yahoo.com/quote/FEDU","FEDU")</f>
        <v/>
      </c>
      <c r="B5542" t="inlineStr">
        <is>
          <t>Four Seasons Education (Cayman) Inc.</t>
        </is>
      </c>
      <c r="C5542" t="inlineStr">
        <is>
          <t>NYSE</t>
        </is>
      </c>
      <c r="D5542" t="n">
        <v>1709819</v>
      </c>
      <c r="E5542" t="inlineStr">
        <is>
          <t>SEC</t>
        </is>
      </c>
    </row>
    <row r="5543">
      <c r="A5543" s="5">
        <f>HYPERLINK("https://finance.yahoo.com/quote/EHSI","EHSI")</f>
        <v/>
      </c>
      <c r="B5543" t="inlineStr">
        <is>
          <t>Elite Health Systems Inc.</t>
        </is>
      </c>
      <c r="C5543" t="inlineStr">
        <is>
          <t>OTC</t>
        </is>
      </c>
      <c r="D5543" t="n">
        <v>1089815</v>
      </c>
      <c r="E5543" t="inlineStr">
        <is>
          <t>SEC</t>
        </is>
      </c>
    </row>
    <row r="5544">
      <c r="A5544" s="5">
        <f>HYPERLINK("https://finance.yahoo.com/quote/IMMP","IMMP")</f>
        <v/>
      </c>
      <c r="B5544" t="inlineStr">
        <is>
          <t>IMMUTEP Ltd</t>
        </is>
      </c>
      <c r="C5544" t="inlineStr">
        <is>
          <t>Nasdaq</t>
        </is>
      </c>
      <c r="D5544" t="n">
        <v>1506184</v>
      </c>
      <c r="E5544" t="inlineStr">
        <is>
          <t>SEC</t>
        </is>
      </c>
    </row>
    <row r="5545">
      <c r="A5545" s="5">
        <f>HYPERLINK("https://finance.yahoo.com/quote/KTCC","KTCC")</f>
        <v/>
      </c>
      <c r="B5545" t="inlineStr">
        <is>
          <t>KEY TRONIC CORP</t>
        </is>
      </c>
      <c r="C5545" t="inlineStr">
        <is>
          <t>Nasdaq</t>
        </is>
      </c>
      <c r="D5545" t="n">
        <v>719733</v>
      </c>
      <c r="E5545" t="inlineStr">
        <is>
          <t>SEC</t>
        </is>
      </c>
    </row>
    <row r="5546">
      <c r="A5546" s="5">
        <f>HYPERLINK("https://finance.yahoo.com/quote/IBATF","IBATF")</f>
        <v/>
      </c>
      <c r="B5546" t="inlineStr">
        <is>
          <t>INTERNATIONAL BATTERY METALS LTD.</t>
        </is>
      </c>
      <c r="C5546" t="inlineStr">
        <is>
          <t>OTC</t>
        </is>
      </c>
      <c r="D5546" t="n">
        <v>1786318</v>
      </c>
      <c r="E5546" t="inlineStr">
        <is>
          <t>SEC</t>
        </is>
      </c>
    </row>
    <row r="5547">
      <c r="A5547" s="5">
        <f>HYPERLINK("https://finance.yahoo.com/quote/USEA","USEA")</f>
        <v/>
      </c>
      <c r="B5547" t="inlineStr">
        <is>
          <t>United Maritime Corp</t>
        </is>
      </c>
      <c r="C5547" t="inlineStr">
        <is>
          <t>Nasdaq</t>
        </is>
      </c>
      <c r="D5547" t="n">
        <v>1912847</v>
      </c>
      <c r="E5547" t="inlineStr">
        <is>
          <t>SEC</t>
        </is>
      </c>
    </row>
    <row r="5548">
      <c r="A5548" s="5">
        <f>HYPERLINK("https://finance.yahoo.com/quote/VTIX","VTIX")</f>
        <v/>
      </c>
      <c r="B5548" t="inlineStr">
        <is>
          <t>Virtuix Holdings Inc.</t>
        </is>
      </c>
      <c r="C5548" t="inlineStr">
        <is>
          <t>Nasdaq</t>
        </is>
      </c>
      <c r="D5548" t="n">
        <v>1606242</v>
      </c>
      <c r="E5548" t="inlineStr">
        <is>
          <t>SEC</t>
        </is>
      </c>
    </row>
    <row r="5549">
      <c r="A5549" s="5">
        <f>HYPERLINK("https://finance.yahoo.com/quote/GPMT","GPMT")</f>
        <v/>
      </c>
      <c r="B5549" t="inlineStr">
        <is>
          <t>Granite Point Mortgage Trust Inc.</t>
        </is>
      </c>
      <c r="C5549" t="inlineStr">
        <is>
          <t>NYSE</t>
        </is>
      </c>
      <c r="D5549" t="n">
        <v>1703644</v>
      </c>
      <c r="E5549" t="inlineStr">
        <is>
          <t>SEC</t>
        </is>
      </c>
    </row>
    <row r="5550">
      <c r="A5550" s="5">
        <f>HYPERLINK("https://finance.yahoo.com/quote/GDGIF","GDGIF")</f>
        <v/>
      </c>
      <c r="B5550" t="inlineStr">
        <is>
          <t>Gemdale Gold, Inc</t>
        </is>
      </c>
      <c r="C5550" t="inlineStr">
        <is>
          <t>OTC</t>
        </is>
      </c>
      <c r="D5550" t="n">
        <v>2027037</v>
      </c>
      <c r="E5550" t="inlineStr">
        <is>
          <t>SEC</t>
        </is>
      </c>
    </row>
    <row r="5551">
      <c r="A5551" s="5">
        <f>HYPERLINK("https://finance.yahoo.com/quote/ADTI","ADTI")</f>
        <v/>
      </c>
      <c r="B5551" t="inlineStr">
        <is>
          <t>Adapti, Inc.</t>
        </is>
      </c>
      <c r="C5551" t="inlineStr">
        <is>
          <t>OTC</t>
        </is>
      </c>
      <c r="D5551" t="n">
        <v>1420924</v>
      </c>
      <c r="E5551" t="inlineStr">
        <is>
          <t>SEC</t>
        </is>
      </c>
    </row>
    <row r="5552">
      <c r="A5552" s="5">
        <f>HYPERLINK("https://finance.yahoo.com/quote/OPNW","OPNW")</f>
        <v/>
      </c>
      <c r="B5552" t="inlineStr">
        <is>
          <t>OpenWorld, Inc.</t>
        </is>
      </c>
      <c r="C5552" t="inlineStr">
        <is>
          <t>Nasdaq</t>
        </is>
      </c>
      <c r="D5552" t="n">
        <v>1104038</v>
      </c>
      <c r="E5552" t="inlineStr">
        <is>
          <t>SEC</t>
        </is>
      </c>
    </row>
    <row r="5553">
      <c r="A5553" s="5">
        <f>HYPERLINK("https://finance.yahoo.com/quote/FNUC","FNUC")</f>
        <v/>
      </c>
      <c r="B5553" t="inlineStr">
        <is>
          <t>Frontier Nuclear &amp; Minerals Inc.</t>
        </is>
      </c>
      <c r="C5553" t="inlineStr">
        <is>
          <t>Nasdaq</t>
        </is>
      </c>
      <c r="D5553" t="n">
        <v>1769697</v>
      </c>
      <c r="E5553" t="inlineStr">
        <is>
          <t>SEC</t>
        </is>
      </c>
    </row>
    <row r="5554">
      <c r="A5554" s="5">
        <f>HYPERLINK("https://finance.yahoo.com/quote/RDUFF","RDUFF")</f>
        <v/>
      </c>
      <c r="B5554" t="inlineStr">
        <is>
          <t>RADIUS GOLD INC.</t>
        </is>
      </c>
      <c r="C5554" t="inlineStr">
        <is>
          <t>OTC</t>
        </is>
      </c>
      <c r="D5554" t="n">
        <v>1113260</v>
      </c>
      <c r="E5554" t="inlineStr">
        <is>
          <t>SEC</t>
        </is>
      </c>
    </row>
    <row r="5555">
      <c r="A5555" s="5">
        <f>HYPERLINK("https://finance.yahoo.com/quote/KNGRF","KNGRF")</f>
        <v/>
      </c>
      <c r="B5555" t="inlineStr">
        <is>
          <t>Kingsmen Resources Ltd.</t>
        </is>
      </c>
      <c r="C5555" t="inlineStr">
        <is>
          <t>OTC</t>
        </is>
      </c>
      <c r="D5555" t="n">
        <v>1191832</v>
      </c>
      <c r="E5555" t="inlineStr">
        <is>
          <t>SEC</t>
        </is>
      </c>
    </row>
    <row r="5556">
      <c r="A5556" s="5">
        <f>HYPERLINK("https://finance.yahoo.com/quote/NXPL","NXPL")</f>
        <v/>
      </c>
      <c r="B5556" t="inlineStr">
        <is>
          <t>NextPlat Corp</t>
        </is>
      </c>
      <c r="C5556" t="inlineStr">
        <is>
          <t>Nasdaq</t>
        </is>
      </c>
      <c r="D5556" t="n">
        <v>1058307</v>
      </c>
      <c r="E5556" t="inlineStr">
        <is>
          <t>SEC</t>
        </is>
      </c>
    </row>
    <row r="5557">
      <c r="A5557" s="5">
        <f>HYPERLINK("https://finance.yahoo.com/quote/MSGM","MSGM")</f>
        <v/>
      </c>
      <c r="B5557" t="inlineStr">
        <is>
          <t>Motorsport Games Inc.</t>
        </is>
      </c>
      <c r="C5557" t="inlineStr">
        <is>
          <t>Nasdaq</t>
        </is>
      </c>
      <c r="D5557" t="n">
        <v>1821175</v>
      </c>
      <c r="E5557" t="inlineStr">
        <is>
          <t>SEC</t>
        </is>
      </c>
    </row>
    <row r="5558">
      <c r="A5558" s="5">
        <f>HYPERLINK("https://finance.yahoo.com/quote/PLCE","PLCE")</f>
        <v/>
      </c>
      <c r="B5558" t="inlineStr">
        <is>
          <t>Childrens Place, Inc.</t>
        </is>
      </c>
      <c r="C5558" t="inlineStr">
        <is>
          <t>Nasdaq</t>
        </is>
      </c>
      <c r="D5558" t="n">
        <v>1041859</v>
      </c>
      <c r="E5558" t="inlineStr">
        <is>
          <t>SEC</t>
        </is>
      </c>
    </row>
    <row r="5559">
      <c r="A5559" s="5">
        <f>HYPERLINK("https://finance.yahoo.com/quote/BLGO","BLGO")</f>
        <v/>
      </c>
      <c r="B5559" t="inlineStr">
        <is>
          <t>BIOLARGO, INC.</t>
        </is>
      </c>
      <c r="C5559" t="inlineStr">
        <is>
          <t>OTC</t>
        </is>
      </c>
      <c r="D5559" t="n">
        <v>880242</v>
      </c>
      <c r="E5559" t="inlineStr">
        <is>
          <t>SEC</t>
        </is>
      </c>
    </row>
    <row r="5560">
      <c r="A5560" s="5">
        <f>HYPERLINK("https://finance.yahoo.com/quote/IPM","IPM")</f>
        <v/>
      </c>
      <c r="B5560" t="inlineStr">
        <is>
          <t>INTELLIGENT PROTECTION MANAGEMENT CORP.</t>
        </is>
      </c>
      <c r="C5560" t="inlineStr">
        <is>
          <t>Nasdaq</t>
        </is>
      </c>
      <c r="D5560" t="n">
        <v>1355839</v>
      </c>
      <c r="E5560" t="inlineStr">
        <is>
          <t>SEC</t>
        </is>
      </c>
    </row>
    <row r="5561">
      <c r="A5561" s="5">
        <f>HYPERLINK("https://finance.yahoo.com/quote/CRMZ","CRMZ")</f>
        <v/>
      </c>
      <c r="B5561" t="inlineStr">
        <is>
          <t>CREDITRISKMONITOR COM INC</t>
        </is>
      </c>
      <c r="C5561" t="inlineStr">
        <is>
          <t>OTC</t>
        </is>
      </c>
      <c r="D5561" t="n">
        <v>315958</v>
      </c>
      <c r="E5561" t="inlineStr">
        <is>
          <t>SEC</t>
        </is>
      </c>
    </row>
    <row r="5562">
      <c r="A5562" s="5">
        <f>HYPERLINK("https://finance.yahoo.com/quote/JBDI","JBDI")</f>
        <v/>
      </c>
      <c r="B5562" t="inlineStr">
        <is>
          <t>JBDI Holdings Ltd</t>
        </is>
      </c>
      <c r="C5562" t="inlineStr">
        <is>
          <t>Nasdaq</t>
        </is>
      </c>
      <c r="D5562" t="n">
        <v>1964314</v>
      </c>
      <c r="E5562" t="inlineStr">
        <is>
          <t>SEC</t>
        </is>
      </c>
    </row>
    <row r="5563">
      <c r="A5563" s="5">
        <f>HYPERLINK("https://finance.yahoo.com/quote/CAHO","CAHO")</f>
        <v/>
      </c>
      <c r="B5563" t="inlineStr">
        <is>
          <t>Caro Holdings Inc.</t>
        </is>
      </c>
      <c r="C5563" t="inlineStr">
        <is>
          <t>OTC</t>
        </is>
      </c>
      <c r="D5563" t="n">
        <v>1678105</v>
      </c>
      <c r="E5563" t="inlineStr">
        <is>
          <t>SEC</t>
        </is>
      </c>
    </row>
    <row r="5564">
      <c r="A5564" s="5">
        <f>HYPERLINK("https://finance.yahoo.com/quote/LIVE","LIVE")</f>
        <v/>
      </c>
      <c r="B5564" t="inlineStr">
        <is>
          <t>LIVE VENTURES Inc</t>
        </is>
      </c>
      <c r="C5564" t="inlineStr">
        <is>
          <t>Nasdaq</t>
        </is>
      </c>
      <c r="D5564" t="n">
        <v>1045742</v>
      </c>
      <c r="E5564" t="inlineStr">
        <is>
          <t>SEC</t>
        </is>
      </c>
    </row>
    <row r="5565">
      <c r="A5565" s="5">
        <f>HYPERLINK("https://finance.yahoo.com/quote/LFT","LFT")</f>
        <v/>
      </c>
      <c r="B5565" t="inlineStr">
        <is>
          <t>Lument Finance Trust, Inc.</t>
        </is>
      </c>
      <c r="C5565" t="inlineStr">
        <is>
          <t>NYSE</t>
        </is>
      </c>
      <c r="D5565" t="n">
        <v>1547546</v>
      </c>
      <c r="E5565" t="inlineStr">
        <is>
          <t>SEC</t>
        </is>
      </c>
    </row>
    <row r="5566">
      <c r="A5566" s="5">
        <f>HYPERLINK("https://finance.yahoo.com/quote/JOB","JOB")</f>
        <v/>
      </c>
      <c r="B5566" t="inlineStr">
        <is>
          <t>GEE Group Inc.</t>
        </is>
      </c>
      <c r="C5566" t="inlineStr">
        <is>
          <t>NYSE</t>
        </is>
      </c>
      <c r="D5566" t="n">
        <v>40570</v>
      </c>
      <c r="E5566" t="inlineStr">
        <is>
          <t>SEC</t>
        </is>
      </c>
    </row>
    <row r="5567">
      <c r="A5567" s="5">
        <f>HYPERLINK("https://finance.yahoo.com/quote/BSAA","BSAA")</f>
        <v/>
      </c>
      <c r="B5567" t="inlineStr">
        <is>
          <t>BEST SPAC I Acquisition Corp.</t>
        </is>
      </c>
      <c r="C5567" t="inlineStr">
        <is>
          <t>Nasdaq</t>
        </is>
      </c>
      <c r="D5567" t="n">
        <v>2051587</v>
      </c>
      <c r="E5567" t="inlineStr">
        <is>
          <t>SEC</t>
        </is>
      </c>
    </row>
    <row r="5568">
      <c r="A5568" s="5">
        <f>HYPERLINK("https://finance.yahoo.com/quote/LOCL","LOCL")</f>
        <v/>
      </c>
      <c r="B5568" t="inlineStr">
        <is>
          <t>Local Bounti Corporation/DE</t>
        </is>
      </c>
      <c r="C5568" t="inlineStr">
        <is>
          <t>NYSE</t>
        </is>
      </c>
      <c r="D5568" t="n">
        <v>1840780</v>
      </c>
      <c r="E5568" t="inlineStr">
        <is>
          <t>SEC</t>
        </is>
      </c>
    </row>
    <row r="5569">
      <c r="A5569" s="5">
        <f>HYPERLINK("https://finance.yahoo.com/quote/GOVB","GOVB")</f>
        <v/>
      </c>
      <c r="B5569" t="inlineStr">
        <is>
          <t>Gouverneur Bancorp, Inc./MD/</t>
        </is>
      </c>
      <c r="C5569" t="inlineStr">
        <is>
          <t>OTC</t>
        </is>
      </c>
      <c r="D5569" t="n">
        <v>1978811</v>
      </c>
      <c r="E5569" t="inlineStr">
        <is>
          <t>SEC</t>
        </is>
      </c>
    </row>
    <row r="5570">
      <c r="A5570" s="5">
        <f>HYPERLINK("https://finance.yahoo.com/quote/NXTC","NXTC")</f>
        <v/>
      </c>
      <c r="B5570" t="inlineStr">
        <is>
          <t>NextCure, Inc.</t>
        </is>
      </c>
      <c r="C5570" t="inlineStr">
        <is>
          <t>Nasdaq</t>
        </is>
      </c>
      <c r="D5570" t="n">
        <v>1661059</v>
      </c>
      <c r="E5570" t="inlineStr">
        <is>
          <t>SEC</t>
        </is>
      </c>
    </row>
    <row r="5571">
      <c r="A5571" s="5">
        <f>HYPERLINK("https://finance.yahoo.com/quote/CGDXF","CGDXF")</f>
        <v/>
      </c>
      <c r="B5571" t="inlineStr">
        <is>
          <t>XALI GOLD CORP.</t>
        </is>
      </c>
      <c r="C5571" t="inlineStr">
        <is>
          <t>OTC</t>
        </is>
      </c>
      <c r="D5571" t="n">
        <v>1479480</v>
      </c>
      <c r="E5571" t="inlineStr">
        <is>
          <t>SEC</t>
        </is>
      </c>
    </row>
    <row r="5572">
      <c r="A5572" s="5">
        <f>HYPERLINK("https://finance.yahoo.com/quote/BKHA","BKHA")</f>
        <v/>
      </c>
      <c r="B5572" t="inlineStr">
        <is>
          <t>Black Hawk Acquisition Corp</t>
        </is>
      </c>
      <c r="C5572" t="inlineStr">
        <is>
          <t>Nasdaq</t>
        </is>
      </c>
      <c r="D5572" t="n">
        <v>2000775</v>
      </c>
      <c r="E5572" t="inlineStr">
        <is>
          <t>SEC</t>
        </is>
      </c>
    </row>
    <row r="5573">
      <c r="A5573" s="5">
        <f>HYPERLINK("https://finance.yahoo.com/quote/ARLSF","ARLSF")</f>
        <v/>
      </c>
      <c r="B5573" t="inlineStr">
        <is>
          <t>ARGO GRAPHENE SOLUTIONS CORP.</t>
        </is>
      </c>
      <c r="C5573" t="inlineStr">
        <is>
          <t>OTC</t>
        </is>
      </c>
      <c r="D5573" t="n">
        <v>1852354</v>
      </c>
      <c r="E5573" t="inlineStr">
        <is>
          <t>SEC</t>
        </is>
      </c>
    </row>
    <row r="5574">
      <c r="A5574" s="5">
        <f>HYPERLINK("https://finance.yahoo.com/quote/QZMRF","QZMRF")</f>
        <v/>
      </c>
      <c r="B5574" t="inlineStr">
        <is>
          <t>QUARTZ MOUNTAIN RESOURCES LTD</t>
        </is>
      </c>
      <c r="C5574" t="inlineStr">
        <is>
          <t>OTC</t>
        </is>
      </c>
      <c r="D5574" t="n">
        <v>811522</v>
      </c>
      <c r="E5574" t="inlineStr">
        <is>
          <t>SEC</t>
        </is>
      </c>
    </row>
    <row r="5575">
      <c r="A5575" s="5">
        <f>HYPERLINK("https://finance.yahoo.com/quote/MRMD","MRMD")</f>
        <v/>
      </c>
      <c r="B5575" t="inlineStr">
        <is>
          <t>MARIMED INC.</t>
        </is>
      </c>
      <c r="C5575" t="inlineStr">
        <is>
          <t>OTC</t>
        </is>
      </c>
      <c r="D5575" t="n">
        <v>1522767</v>
      </c>
      <c r="E5575" t="inlineStr">
        <is>
          <t>SEC</t>
        </is>
      </c>
    </row>
    <row r="5576">
      <c r="A5576" s="5">
        <f>HYPERLINK("https://finance.yahoo.com/quote/UPC","UPC")</f>
        <v/>
      </c>
      <c r="B5576" t="inlineStr">
        <is>
          <t>Universe Pharmaceuticals INC</t>
        </is>
      </c>
      <c r="C5576" t="inlineStr">
        <is>
          <t>Nasdaq</t>
        </is>
      </c>
      <c r="D5576" t="n">
        <v>1809616</v>
      </c>
      <c r="E5576" t="inlineStr">
        <is>
          <t>SEC</t>
        </is>
      </c>
    </row>
    <row r="5577">
      <c r="A5577" s="5">
        <f>HYPERLINK("https://finance.yahoo.com/quote/HUIZ","HUIZ")</f>
        <v/>
      </c>
      <c r="B5577" t="inlineStr">
        <is>
          <t>Huize Holding Ltd</t>
        </is>
      </c>
      <c r="C5577" t="inlineStr">
        <is>
          <t>Nasdaq</t>
        </is>
      </c>
      <c r="D5577" t="n">
        <v>1778982</v>
      </c>
      <c r="E5577" t="inlineStr">
        <is>
          <t>SEC</t>
        </is>
      </c>
    </row>
    <row r="5578">
      <c r="A5578" s="5">
        <f>HYPERLINK("https://finance.yahoo.com/quote/AEI","AEI")</f>
        <v/>
      </c>
      <c r="B5578" t="inlineStr">
        <is>
          <t>Alset Inc.</t>
        </is>
      </c>
      <c r="C5578" t="inlineStr">
        <is>
          <t>Nasdaq</t>
        </is>
      </c>
      <c r="D5578" t="n">
        <v>1750106</v>
      </c>
      <c r="E5578" t="inlineStr">
        <is>
          <t>SEC</t>
        </is>
      </c>
    </row>
    <row r="5579">
      <c r="A5579" s="5">
        <f>HYPERLINK("https://finance.yahoo.com/quote/BLNE","BLNE")</f>
        <v/>
      </c>
      <c r="B5579" t="inlineStr">
        <is>
          <t>Beeline Holdings, Inc.</t>
        </is>
      </c>
      <c r="C5579" t="inlineStr">
        <is>
          <t>Nasdaq</t>
        </is>
      </c>
      <c r="D5579" t="n">
        <v>1534708</v>
      </c>
      <c r="E5579" t="inlineStr">
        <is>
          <t>SEC</t>
        </is>
      </c>
    </row>
    <row r="5580">
      <c r="A5580" s="5">
        <f>HYPERLINK("https://finance.yahoo.com/quote/CKX","CKX")</f>
        <v/>
      </c>
      <c r="B5580" t="inlineStr">
        <is>
          <t>CKX LANDS, INC.</t>
        </is>
      </c>
      <c r="C5580" t="inlineStr">
        <is>
          <t>NYSE</t>
        </is>
      </c>
      <c r="D5580" t="n">
        <v>352955</v>
      </c>
      <c r="E5580" t="inlineStr">
        <is>
          <t>SEC</t>
        </is>
      </c>
    </row>
    <row r="5581">
      <c r="A5581" s="5">
        <f>HYPERLINK("https://finance.yahoo.com/quote/DUO","DUO")</f>
        <v/>
      </c>
      <c r="B5581" t="inlineStr">
        <is>
          <t>Fangdd Network Group Ltd.</t>
        </is>
      </c>
      <c r="C5581" t="inlineStr">
        <is>
          <t>Nasdaq</t>
        </is>
      </c>
      <c r="D5581" t="n">
        <v>1750593</v>
      </c>
      <c r="E5581" t="inlineStr">
        <is>
          <t>SEC</t>
        </is>
      </c>
    </row>
    <row r="5582">
      <c r="A5582" s="5">
        <f>HYPERLINK("https://finance.yahoo.com/quote/CLOQ","CLOQ")</f>
        <v/>
      </c>
      <c r="B5582" t="inlineStr">
        <is>
          <t>CYBERLOQ TECHNOLOGIES, INC.</t>
        </is>
      </c>
      <c r="C5582" t="inlineStr">
        <is>
          <t>OTC</t>
        </is>
      </c>
      <c r="D5582" t="n">
        <v>1437517</v>
      </c>
      <c r="E5582" t="inlineStr">
        <is>
          <t>SEC</t>
        </is>
      </c>
    </row>
    <row r="5583">
      <c r="A5583" s="5">
        <f>HYPERLINK("https://finance.yahoo.com/quote/ELEV","ELEV")</f>
        <v/>
      </c>
      <c r="B5583" t="inlineStr">
        <is>
          <t>Elevation Acquisition Group Inc.</t>
        </is>
      </c>
      <c r="C5583" t="inlineStr"/>
      <c r="D5583" t="n">
        <v>2131124</v>
      </c>
      <c r="E5583" t="inlineStr">
        <is>
          <t>SEC</t>
        </is>
      </c>
    </row>
    <row r="5584">
      <c r="A5584" s="5">
        <f>HYPERLINK("https://finance.yahoo.com/quote/SRXH","SRXH")</f>
        <v/>
      </c>
      <c r="B5584" t="inlineStr">
        <is>
          <t>SRX Global Inc.</t>
        </is>
      </c>
      <c r="C5584" t="inlineStr">
        <is>
          <t>NYSE</t>
        </is>
      </c>
      <c r="D5584" t="n">
        <v>1471727</v>
      </c>
      <c r="E5584" t="inlineStr">
        <is>
          <t>SEC</t>
        </is>
      </c>
    </row>
    <row r="5585">
      <c r="A5585" s="5">
        <f>HYPERLINK("https://finance.yahoo.com/quote/ROMJF","ROMJF")</f>
        <v/>
      </c>
      <c r="B5585" t="inlineStr">
        <is>
          <t>Rubicon Organics Inc.</t>
        </is>
      </c>
      <c r="C5585" t="inlineStr">
        <is>
          <t>OTC</t>
        </is>
      </c>
      <c r="D5585" t="n">
        <v>1742195</v>
      </c>
      <c r="E5585" t="inlineStr">
        <is>
          <t>SEC</t>
        </is>
      </c>
    </row>
    <row r="5586">
      <c r="A5586" s="5">
        <f>HYPERLINK("https://finance.yahoo.com/quote/BMR","BMR")</f>
        <v/>
      </c>
      <c r="B5586" t="inlineStr">
        <is>
          <t>Beamr Imaging Ltd.</t>
        </is>
      </c>
      <c r="C5586" t="inlineStr">
        <is>
          <t>Nasdaq</t>
        </is>
      </c>
      <c r="D5586" t="n">
        <v>1899005</v>
      </c>
      <c r="E5586" t="inlineStr">
        <is>
          <t>SEC</t>
        </is>
      </c>
    </row>
    <row r="5587">
      <c r="A5587" s="5">
        <f>HYPERLINK("https://finance.yahoo.com/quote/WSTRF","WSTRF")</f>
        <v/>
      </c>
      <c r="B5587" t="inlineStr">
        <is>
          <t>Western Uranium &amp; Vanadium Corp.</t>
        </is>
      </c>
      <c r="C5587" t="inlineStr">
        <is>
          <t>OTC</t>
        </is>
      </c>
      <c r="D5587" t="n">
        <v>1621906</v>
      </c>
      <c r="E5587" t="inlineStr">
        <is>
          <t>SEC</t>
        </is>
      </c>
    </row>
    <row r="5588">
      <c r="A5588" s="5">
        <f>HYPERLINK("https://finance.yahoo.com/quote/BRLS","BRLS")</f>
        <v/>
      </c>
      <c r="B5588" t="inlineStr">
        <is>
          <t>Borealis Foods Inc.</t>
        </is>
      </c>
      <c r="C5588" t="inlineStr">
        <is>
          <t>Nasdaq</t>
        </is>
      </c>
      <c r="D5588" t="n">
        <v>1852973</v>
      </c>
      <c r="E5588" t="inlineStr">
        <is>
          <t>SEC</t>
        </is>
      </c>
    </row>
    <row r="5589">
      <c r="A5589" s="5">
        <f>HYPERLINK("https://finance.yahoo.com/quote/AYTU","AYTU")</f>
        <v/>
      </c>
      <c r="B5589" t="inlineStr">
        <is>
          <t>AYTU BIOPHARMA, INC</t>
        </is>
      </c>
      <c r="C5589" t="inlineStr">
        <is>
          <t>Nasdaq</t>
        </is>
      </c>
      <c r="D5589" t="n">
        <v>1385818</v>
      </c>
      <c r="E5589" t="inlineStr">
        <is>
          <t>SEC</t>
        </is>
      </c>
    </row>
    <row r="5590">
      <c r="A5590" s="5">
        <f>HYPERLINK("https://finance.yahoo.com/quote/SHPH","SHPH")</f>
        <v/>
      </c>
      <c r="B5590" t="inlineStr">
        <is>
          <t>Shuttle Pharmaceuticals Holdings, Inc.</t>
        </is>
      </c>
      <c r="C5590" t="inlineStr">
        <is>
          <t>Nasdaq</t>
        </is>
      </c>
      <c r="D5590" t="n">
        <v>1757499</v>
      </c>
      <c r="E5590" t="inlineStr">
        <is>
          <t>SEC</t>
        </is>
      </c>
    </row>
    <row r="5591">
      <c r="A5591" s="5">
        <f>HYPERLINK("https://finance.yahoo.com/quote/RECT","RECT")</f>
        <v/>
      </c>
      <c r="B5591" t="inlineStr">
        <is>
          <t>Rectitude Holdings Ltd.</t>
        </is>
      </c>
      <c r="C5591" t="inlineStr">
        <is>
          <t>Nasdaq</t>
        </is>
      </c>
      <c r="D5591" t="n">
        <v>1995116</v>
      </c>
      <c r="E5591" t="inlineStr">
        <is>
          <t>SEC</t>
        </is>
      </c>
    </row>
    <row r="5592">
      <c r="A5592" s="5">
        <f>HYPERLINK("https://finance.yahoo.com/quote/CFOO","CFOO")</f>
        <v/>
      </c>
      <c r="B5592" t="inlineStr">
        <is>
          <t>China Foods Holdings Ltd.</t>
        </is>
      </c>
      <c r="C5592" t="inlineStr">
        <is>
          <t>OTC</t>
        </is>
      </c>
      <c r="D5592" t="n">
        <v>1310630</v>
      </c>
      <c r="E5592" t="inlineStr">
        <is>
          <t>SEC</t>
        </is>
      </c>
    </row>
    <row r="5593">
      <c r="A5593" s="5">
        <f>HYPERLINK("https://finance.yahoo.com/quote/BONXF","BONXF")</f>
        <v/>
      </c>
      <c r="B5593" t="inlineStr">
        <is>
          <t>BONTERRA RESOURCES INC.</t>
        </is>
      </c>
      <c r="C5593" t="inlineStr">
        <is>
          <t>OTC</t>
        </is>
      </c>
      <c r="D5593" t="n">
        <v>1544770</v>
      </c>
      <c r="E5593" t="inlineStr">
        <is>
          <t>SEC</t>
        </is>
      </c>
    </row>
    <row r="5594">
      <c r="A5594" s="5">
        <f>HYPERLINK("https://finance.yahoo.com/quote/ORIO","ORIO")</f>
        <v/>
      </c>
      <c r="B5594" t="inlineStr">
        <is>
          <t>Orion Digital Corp.</t>
        </is>
      </c>
      <c r="C5594" t="inlineStr">
        <is>
          <t>Nasdaq</t>
        </is>
      </c>
      <c r="D5594" t="n">
        <v>1602842</v>
      </c>
      <c r="E5594" t="inlineStr">
        <is>
          <t>SEC</t>
        </is>
      </c>
    </row>
    <row r="5595">
      <c r="A5595" s="5">
        <f>HYPERLINK("https://finance.yahoo.com/quote/ITOC","ITOC")</f>
        <v/>
      </c>
      <c r="B5595" t="inlineStr">
        <is>
          <t>iTonic Holdings Ltd</t>
        </is>
      </c>
      <c r="C5595" t="inlineStr">
        <is>
          <t>Nasdaq</t>
        </is>
      </c>
      <c r="D5595" t="n">
        <v>1970544</v>
      </c>
      <c r="E5595" t="inlineStr">
        <is>
          <t>SEC</t>
        </is>
      </c>
    </row>
    <row r="5596">
      <c r="A5596" s="5">
        <f>HYPERLINK("https://finance.yahoo.com/quote/PLRZ","PLRZ")</f>
        <v/>
      </c>
      <c r="B5596" t="inlineStr">
        <is>
          <t>Polyrizon Ltd.</t>
        </is>
      </c>
      <c r="C5596" t="inlineStr">
        <is>
          <t>Nasdaq</t>
        </is>
      </c>
      <c r="D5596" t="n">
        <v>1893645</v>
      </c>
      <c r="E5596" t="inlineStr">
        <is>
          <t>SEC</t>
        </is>
      </c>
    </row>
    <row r="5597">
      <c r="A5597" s="5">
        <f>HYPERLINK("https://finance.yahoo.com/quote/CNTX","CNTX")</f>
        <v/>
      </c>
      <c r="B5597" t="inlineStr">
        <is>
          <t>Context Therapeutics Inc.</t>
        </is>
      </c>
      <c r="C5597" t="inlineStr">
        <is>
          <t>Nasdaq</t>
        </is>
      </c>
      <c r="D5597" t="n">
        <v>1842952</v>
      </c>
      <c r="E5597" t="inlineStr">
        <is>
          <t>SEC</t>
        </is>
      </c>
    </row>
    <row r="5598">
      <c r="A5598" s="5">
        <f>HYPERLINK("https://finance.yahoo.com/quote/VCGMF","VCGMF")</f>
        <v/>
      </c>
      <c r="B5598" t="inlineStr">
        <is>
          <t>Visionary Copper &amp; Gold Mines Inc.</t>
        </is>
      </c>
      <c r="C5598" t="inlineStr">
        <is>
          <t>OTC</t>
        </is>
      </c>
      <c r="D5598" t="n">
        <v>1650196</v>
      </c>
      <c r="E5598" t="inlineStr">
        <is>
          <t>SEC</t>
        </is>
      </c>
    </row>
    <row r="5599">
      <c r="A5599" s="5">
        <f>HYPERLINK("https://finance.yahoo.com/quote/SPPL","SPPL")</f>
        <v/>
      </c>
      <c r="B5599" t="inlineStr">
        <is>
          <t>SIMPPLE LTD.</t>
        </is>
      </c>
      <c r="C5599" t="inlineStr">
        <is>
          <t>Nasdaq</t>
        </is>
      </c>
      <c r="D5599" t="n">
        <v>1948697</v>
      </c>
      <c r="E5599" t="inlineStr">
        <is>
          <t>SEC</t>
        </is>
      </c>
    </row>
    <row r="5600">
      <c r="A5600" s="5">
        <f>HYPERLINK("https://finance.yahoo.com/quote/CNTY","CNTY")</f>
        <v/>
      </c>
      <c r="B5600" t="inlineStr">
        <is>
          <t>CENTURY CASINOS INC /CO/</t>
        </is>
      </c>
      <c r="C5600" t="inlineStr">
        <is>
          <t>Nasdaq</t>
        </is>
      </c>
      <c r="D5600" t="n">
        <v>911147</v>
      </c>
      <c r="E5600" t="inlineStr">
        <is>
          <t>SEC</t>
        </is>
      </c>
    </row>
    <row r="5601">
      <c r="A5601" s="5">
        <f>HYPERLINK("https://finance.yahoo.com/quote/MCRB","MCRB")</f>
        <v/>
      </c>
      <c r="B5601" t="inlineStr">
        <is>
          <t>Seres Therapeutics, Inc.</t>
        </is>
      </c>
      <c r="C5601" t="inlineStr">
        <is>
          <t>Nasdaq</t>
        </is>
      </c>
      <c r="D5601" t="n">
        <v>1609809</v>
      </c>
      <c r="E5601" t="inlineStr">
        <is>
          <t>SEC</t>
        </is>
      </c>
    </row>
    <row r="5602">
      <c r="A5602" s="5">
        <f>HYPERLINK("https://finance.yahoo.com/quote/TXMD","TXMD")</f>
        <v/>
      </c>
      <c r="B5602" t="inlineStr">
        <is>
          <t>TherapeuticsMD, Inc.</t>
        </is>
      </c>
      <c r="C5602" t="inlineStr">
        <is>
          <t>Nasdaq</t>
        </is>
      </c>
      <c r="D5602" t="n">
        <v>25743</v>
      </c>
      <c r="E5602" t="inlineStr">
        <is>
          <t>SEC</t>
        </is>
      </c>
    </row>
    <row r="5603">
      <c r="A5603" s="5">
        <f>HYPERLINK("https://finance.yahoo.com/quote/TREO","TREO")</f>
        <v/>
      </c>
      <c r="B5603" t="inlineStr">
        <is>
          <t>Tactical Resources Corp.</t>
        </is>
      </c>
      <c r="C5603" t="inlineStr">
        <is>
          <t>Nasdaq</t>
        </is>
      </c>
      <c r="D5603" t="n">
        <v>2041208</v>
      </c>
      <c r="E5603" t="inlineStr">
        <is>
          <t>SEC</t>
        </is>
      </c>
    </row>
    <row r="5604">
      <c r="A5604" s="5">
        <f>HYPERLINK("https://finance.yahoo.com/quote/NPRFF","NPRFF")</f>
        <v/>
      </c>
      <c r="B5604" t="inlineStr">
        <is>
          <t>Nepra Foods Inc.</t>
        </is>
      </c>
      <c r="C5604" t="inlineStr">
        <is>
          <t>OTC</t>
        </is>
      </c>
      <c r="D5604" t="n">
        <v>1859022</v>
      </c>
      <c r="E5604" t="inlineStr">
        <is>
          <t>SEC</t>
        </is>
      </c>
    </row>
    <row r="5605">
      <c r="A5605" s="5">
        <f>HYPERLINK("https://finance.yahoo.com/quote/BEEM","BEEM")</f>
        <v/>
      </c>
      <c r="B5605" t="inlineStr">
        <is>
          <t>Beam Global</t>
        </is>
      </c>
      <c r="C5605" t="inlineStr">
        <is>
          <t>Nasdaq</t>
        </is>
      </c>
      <c r="D5605" t="n">
        <v>1398805</v>
      </c>
      <c r="E5605" t="inlineStr">
        <is>
          <t>SEC</t>
        </is>
      </c>
    </row>
    <row r="5606">
      <c r="A5606" s="5">
        <f>HYPERLINK("https://finance.yahoo.com/quote/GPGCF","GPGCF")</f>
        <v/>
      </c>
      <c r="B5606" t="inlineStr">
        <is>
          <t>Great Pacific Gold Corp.</t>
        </is>
      </c>
      <c r="C5606" t="inlineStr">
        <is>
          <t>OTC</t>
        </is>
      </c>
      <c r="D5606" t="n">
        <v>1813241</v>
      </c>
      <c r="E5606" t="inlineStr">
        <is>
          <t>SEC</t>
        </is>
      </c>
    </row>
    <row r="5607">
      <c r="A5607" s="5">
        <f>HYPERLINK("https://finance.yahoo.com/quote/VIPRF","VIPRF")</f>
        <v/>
      </c>
      <c r="B5607" t="inlineStr">
        <is>
          <t>SILVER VIPER MINERALS CORP.</t>
        </is>
      </c>
      <c r="C5607" t="inlineStr">
        <is>
          <t>OTC</t>
        </is>
      </c>
      <c r="D5607" t="n">
        <v>1684662</v>
      </c>
      <c r="E5607" t="inlineStr">
        <is>
          <t>SEC</t>
        </is>
      </c>
    </row>
    <row r="5608">
      <c r="A5608" s="5">
        <f>HYPERLINK("https://finance.yahoo.com/quote/MF","MF")</f>
        <v/>
      </c>
      <c r="B5608" t="inlineStr">
        <is>
          <t>MindForge Inc.</t>
        </is>
      </c>
      <c r="C5608" t="inlineStr">
        <is>
          <t>Nasdaq</t>
        </is>
      </c>
      <c r="D5608" t="n">
        <v>1888525</v>
      </c>
      <c r="E5608" t="inlineStr">
        <is>
          <t>SEC</t>
        </is>
      </c>
    </row>
    <row r="5609">
      <c r="A5609" s="5">
        <f>HYPERLINK("https://finance.yahoo.com/quote/RDGL","RDGL")</f>
        <v/>
      </c>
      <c r="B5609" t="inlineStr">
        <is>
          <t>VIVOS INC</t>
        </is>
      </c>
      <c r="C5609" t="inlineStr">
        <is>
          <t>OTC</t>
        </is>
      </c>
      <c r="D5609" t="n">
        <v>1449349</v>
      </c>
      <c r="E5609" t="inlineStr">
        <is>
          <t>SEC</t>
        </is>
      </c>
    </row>
    <row r="5610">
      <c r="A5610" s="5">
        <f>HYPERLINK("https://finance.yahoo.com/quote/UTSI","UTSI")</f>
        <v/>
      </c>
      <c r="B5610" t="inlineStr">
        <is>
          <t>UTSTARCOM HOLDINGS CORP.</t>
        </is>
      </c>
      <c r="C5610" t="inlineStr">
        <is>
          <t>Nasdaq</t>
        </is>
      </c>
      <c r="D5610" t="n">
        <v>1030471</v>
      </c>
      <c r="E5610" t="inlineStr">
        <is>
          <t>SEC</t>
        </is>
      </c>
    </row>
    <row r="5611">
      <c r="A5611" s="5">
        <f>HYPERLINK("https://finance.yahoo.com/quote/NTRP","NTRP")</f>
        <v/>
      </c>
      <c r="B5611" t="inlineStr">
        <is>
          <t>NextTrip, Inc.</t>
        </is>
      </c>
      <c r="C5611" t="inlineStr">
        <is>
          <t>Nasdaq</t>
        </is>
      </c>
      <c r="D5611" t="n">
        <v>788611</v>
      </c>
      <c r="E5611" t="inlineStr">
        <is>
          <t>SEC</t>
        </is>
      </c>
    </row>
    <row r="5612">
      <c r="A5612" s="5">
        <f>HYPERLINK("https://finance.yahoo.com/quote/RDGMF","RDGMF")</f>
        <v/>
      </c>
      <c r="B5612" t="inlineStr">
        <is>
          <t>Ridgeline Minerals Corp</t>
        </is>
      </c>
      <c r="C5612" t="inlineStr">
        <is>
          <t>OTC</t>
        </is>
      </c>
      <c r="D5612" t="n">
        <v>1820025</v>
      </c>
      <c r="E5612" t="inlineStr">
        <is>
          <t>SEC</t>
        </is>
      </c>
    </row>
    <row r="5613">
      <c r="A5613" s="5">
        <f>HYPERLINK("https://finance.yahoo.com/quote/SMXT","SMXT")</f>
        <v/>
      </c>
      <c r="B5613" t="inlineStr">
        <is>
          <t>SolarMax Technology, Inc.</t>
        </is>
      </c>
      <c r="C5613" t="inlineStr">
        <is>
          <t>Nasdaq</t>
        </is>
      </c>
      <c r="D5613" t="n">
        <v>1519472</v>
      </c>
      <c r="E5613" t="inlineStr">
        <is>
          <t>SEC</t>
        </is>
      </c>
    </row>
    <row r="5614">
      <c r="A5614" s="5">
        <f>HYPERLINK("https://finance.yahoo.com/quote/IEGCF","IEGCF")</f>
        <v/>
      </c>
      <c r="B5614" t="inlineStr">
        <is>
          <t>Independence Gold Corp.</t>
        </is>
      </c>
      <c r="C5614" t="inlineStr">
        <is>
          <t>OTC</t>
        </is>
      </c>
      <c r="D5614" t="n">
        <v>1537317</v>
      </c>
      <c r="E5614" t="inlineStr">
        <is>
          <t>SEC</t>
        </is>
      </c>
    </row>
    <row r="5615">
      <c r="A5615" s="5">
        <f>HYPERLINK("https://finance.yahoo.com/quote/NSPR","NSPR")</f>
        <v/>
      </c>
      <c r="B5615" t="inlineStr">
        <is>
          <t>InspireMD, Inc.</t>
        </is>
      </c>
      <c r="C5615" t="inlineStr">
        <is>
          <t>Nasdaq</t>
        </is>
      </c>
      <c r="D5615" t="n">
        <v>1433607</v>
      </c>
      <c r="E5615" t="inlineStr">
        <is>
          <t>SEC</t>
        </is>
      </c>
    </row>
    <row r="5616">
      <c r="A5616" s="5">
        <f>HYPERLINK("https://finance.yahoo.com/quote/DRK","DRK")</f>
        <v/>
      </c>
      <c r="B5616" t="inlineStr">
        <is>
          <t>DarkHorse Technologies Inc.</t>
        </is>
      </c>
      <c r="C5616" t="inlineStr">
        <is>
          <t>Nasdaq</t>
        </is>
      </c>
      <c r="D5616" t="n">
        <v>1591956</v>
      </c>
      <c r="E5616" t="inlineStr">
        <is>
          <t>SEC</t>
        </is>
      </c>
    </row>
    <row r="5617">
      <c r="A5617" s="5">
        <f>HYPERLINK("https://finance.yahoo.com/quote/STCB","STCB")</f>
        <v/>
      </c>
      <c r="B5617" t="inlineStr">
        <is>
          <t>Starco Brands, Inc.</t>
        </is>
      </c>
      <c r="C5617" t="inlineStr">
        <is>
          <t>OTC</t>
        </is>
      </c>
      <c r="D5617" t="n">
        <v>1539850</v>
      </c>
      <c r="E5617" t="inlineStr">
        <is>
          <t>SEC</t>
        </is>
      </c>
    </row>
    <row r="5618">
      <c r="A5618" s="5">
        <f>HYPERLINK("https://finance.yahoo.com/quote/WMLLF","WMLLF")</f>
        <v/>
      </c>
      <c r="B5618" t="inlineStr">
        <is>
          <t>Wealth Minerals Ltd.</t>
        </is>
      </c>
      <c r="C5618" t="inlineStr">
        <is>
          <t>OTC</t>
        </is>
      </c>
      <c r="D5618" t="n">
        <v>1077640</v>
      </c>
      <c r="E5618" t="inlineStr">
        <is>
          <t>SEC</t>
        </is>
      </c>
    </row>
    <row r="5619">
      <c r="A5619" s="5">
        <f>HYPERLINK("https://finance.yahoo.com/quote/TRSG","TRSG")</f>
        <v/>
      </c>
      <c r="B5619" t="inlineStr">
        <is>
          <t>Tungray Technologies Inc</t>
        </is>
      </c>
      <c r="C5619" t="inlineStr">
        <is>
          <t>Nasdaq</t>
        </is>
      </c>
      <c r="D5619" t="n">
        <v>1943444</v>
      </c>
      <c r="E5619" t="inlineStr">
        <is>
          <t>SEC</t>
        </is>
      </c>
    </row>
    <row r="5620">
      <c r="A5620" s="5">
        <f>HYPERLINK("https://finance.yahoo.com/quote/CCG","CCG")</f>
        <v/>
      </c>
      <c r="B5620" t="inlineStr">
        <is>
          <t>Cheche Group Inc.</t>
        </is>
      </c>
      <c r="C5620" t="inlineStr">
        <is>
          <t>Nasdaq</t>
        </is>
      </c>
      <c r="D5620" t="n">
        <v>1965473</v>
      </c>
      <c r="E5620" t="inlineStr">
        <is>
          <t>SEC</t>
        </is>
      </c>
    </row>
    <row r="5621">
      <c r="A5621" s="5">
        <f>HYPERLINK("https://finance.yahoo.com/quote/PSHG","PSHG")</f>
        <v/>
      </c>
      <c r="B5621" t="inlineStr">
        <is>
          <t>Performance Shipping Inc.</t>
        </is>
      </c>
      <c r="C5621" t="inlineStr">
        <is>
          <t>Nasdaq</t>
        </is>
      </c>
      <c r="D5621" t="n">
        <v>1481241</v>
      </c>
      <c r="E5621" t="inlineStr">
        <is>
          <t>SEC</t>
        </is>
      </c>
    </row>
    <row r="5622">
      <c r="A5622" s="5">
        <f>HYPERLINK("https://finance.yahoo.com/quote/NNUP","NNUP")</f>
        <v/>
      </c>
      <c r="B5622" t="inlineStr">
        <is>
          <t>NOCOPI TECHNOLOGIES INC/MD/</t>
        </is>
      </c>
      <c r="C5622" t="inlineStr">
        <is>
          <t>OTC</t>
        </is>
      </c>
      <c r="D5622" t="n">
        <v>888981</v>
      </c>
      <c r="E5622" t="inlineStr">
        <is>
          <t>SEC</t>
        </is>
      </c>
    </row>
    <row r="5623">
      <c r="A5623" s="5">
        <f>HYPERLINK("https://finance.yahoo.com/quote/JAGU","JAGU")</f>
        <v/>
      </c>
      <c r="B5623" t="inlineStr">
        <is>
          <t>Jaguar Uranium Corp.</t>
        </is>
      </c>
      <c r="C5623" t="inlineStr">
        <is>
          <t>NYSE</t>
        </is>
      </c>
      <c r="D5623" t="n">
        <v>2039273</v>
      </c>
      <c r="E5623" t="inlineStr">
        <is>
          <t>SEC</t>
        </is>
      </c>
    </row>
    <row r="5624">
      <c r="A5624" s="5">
        <f>HYPERLINK("https://finance.yahoo.com/quote/SNAL","SNAL")</f>
        <v/>
      </c>
      <c r="B5624" t="inlineStr">
        <is>
          <t>Snail, Inc.</t>
        </is>
      </c>
      <c r="C5624" t="inlineStr">
        <is>
          <t>Nasdaq</t>
        </is>
      </c>
      <c r="D5624" t="n">
        <v>1886894</v>
      </c>
      <c r="E5624" t="inlineStr">
        <is>
          <t>SEC</t>
        </is>
      </c>
    </row>
    <row r="5625">
      <c r="A5625" s="5">
        <f>HYPERLINK("https://finance.yahoo.com/quote/EMBYF","EMBYF")</f>
        <v/>
      </c>
      <c r="B5625" t="inlineStr">
        <is>
          <t>Nexera Energy Inc.</t>
        </is>
      </c>
      <c r="C5625" t="inlineStr">
        <is>
          <t>OTC</t>
        </is>
      </c>
      <c r="D5625" t="n">
        <v>1487615</v>
      </c>
      <c r="E5625" t="inlineStr">
        <is>
          <t>SEC</t>
        </is>
      </c>
    </row>
    <row r="5626">
      <c r="A5626" s="5">
        <f>HYPERLINK("https://finance.yahoo.com/quote/EXHI","EXHI")</f>
        <v/>
      </c>
      <c r="B5626" t="inlineStr">
        <is>
          <t>Exlites Holdings International Inc</t>
        </is>
      </c>
      <c r="C5626" t="inlineStr">
        <is>
          <t>OTC</t>
        </is>
      </c>
      <c r="D5626" t="n">
        <v>1949283</v>
      </c>
      <c r="E5626" t="inlineStr">
        <is>
          <t>SEC</t>
        </is>
      </c>
    </row>
    <row r="5627">
      <c r="A5627" s="5">
        <f>HYPERLINK("https://finance.yahoo.com/quote/AHT","AHT")</f>
        <v/>
      </c>
      <c r="B5627" t="inlineStr">
        <is>
          <t>ASHFORD HOSPITALITY TRUST INC</t>
        </is>
      </c>
      <c r="C5627" t="inlineStr">
        <is>
          <t>NYSE</t>
        </is>
      </c>
      <c r="D5627" t="n">
        <v>1232582</v>
      </c>
      <c r="E5627" t="inlineStr">
        <is>
          <t>SEC</t>
        </is>
      </c>
    </row>
    <row r="5628">
      <c r="A5628" s="5">
        <f>HYPERLINK("https://finance.yahoo.com/quote/BCG","BCG")</f>
        <v/>
      </c>
      <c r="B5628" t="inlineStr">
        <is>
          <t>Binah Capital Group, Inc.</t>
        </is>
      </c>
      <c r="C5628" t="inlineStr">
        <is>
          <t>Nasdaq</t>
        </is>
      </c>
      <c r="D5628" t="n">
        <v>1953984</v>
      </c>
      <c r="E5628" t="inlineStr">
        <is>
          <t>SEC</t>
        </is>
      </c>
    </row>
    <row r="5629">
      <c r="A5629" s="5">
        <f>HYPERLINK("https://finance.yahoo.com/quote/COOT","COOT")</f>
        <v/>
      </c>
      <c r="B5629" t="inlineStr">
        <is>
          <t>Australian Oilseeds Holdings Ltd</t>
        </is>
      </c>
      <c r="C5629" t="inlineStr">
        <is>
          <t>Nasdaq</t>
        </is>
      </c>
      <c r="D5629" t="n">
        <v>1959994</v>
      </c>
      <c r="E5629" t="inlineStr">
        <is>
          <t>SEC</t>
        </is>
      </c>
    </row>
    <row r="5630">
      <c r="A5630" s="5">
        <f>HYPERLINK("https://finance.yahoo.com/quote/INLX","INLX")</f>
        <v/>
      </c>
      <c r="B5630" t="inlineStr">
        <is>
          <t>INTELLINETICS, INC.</t>
        </is>
      </c>
      <c r="C5630" t="inlineStr">
        <is>
          <t>NYSE</t>
        </is>
      </c>
      <c r="D5630" t="n">
        <v>1081745</v>
      </c>
      <c r="E5630" t="inlineStr">
        <is>
          <t>SEC</t>
        </is>
      </c>
    </row>
    <row r="5631">
      <c r="A5631" s="5">
        <f>HYPERLINK("https://finance.yahoo.com/quote/AWRE","AWRE")</f>
        <v/>
      </c>
      <c r="B5631" t="inlineStr">
        <is>
          <t>AWARE INC /MA/</t>
        </is>
      </c>
      <c r="C5631" t="inlineStr">
        <is>
          <t>Nasdaq</t>
        </is>
      </c>
      <c r="D5631" t="n">
        <v>1015739</v>
      </c>
      <c r="E5631" t="inlineStr">
        <is>
          <t>SEC</t>
        </is>
      </c>
    </row>
    <row r="5632">
      <c r="A5632" s="5">
        <f>HYPERLINK("https://finance.yahoo.com/quote/SKYQ","SKYQ")</f>
        <v/>
      </c>
      <c r="B5632" t="inlineStr">
        <is>
          <t>Sky Quarry Inc.</t>
        </is>
      </c>
      <c r="C5632" t="inlineStr">
        <is>
          <t>Nasdaq</t>
        </is>
      </c>
      <c r="D5632" t="n">
        <v>1812447</v>
      </c>
      <c r="E5632" t="inlineStr">
        <is>
          <t>SEC</t>
        </is>
      </c>
    </row>
    <row r="5633">
      <c r="A5633" s="5">
        <f>HYPERLINK("https://finance.yahoo.com/quote/QNRX","QNRX")</f>
        <v/>
      </c>
      <c r="B5633" t="inlineStr">
        <is>
          <t>Quoin Pharmaceuticals Ltd.</t>
        </is>
      </c>
      <c r="C5633" t="inlineStr">
        <is>
          <t>Nasdaq</t>
        </is>
      </c>
      <c r="D5633" t="n">
        <v>1671502</v>
      </c>
      <c r="E5633" t="inlineStr">
        <is>
          <t>SEC</t>
        </is>
      </c>
    </row>
    <row r="5634">
      <c r="A5634" s="5">
        <f>HYPERLINK("https://finance.yahoo.com/quote/FKYS","FKYS")</f>
        <v/>
      </c>
      <c r="B5634" t="inlineStr">
        <is>
          <t>FIRST KEYSTONE CORP</t>
        </is>
      </c>
      <c r="C5634" t="inlineStr">
        <is>
          <t>OTC</t>
        </is>
      </c>
      <c r="D5634" t="n">
        <v>737875</v>
      </c>
      <c r="E5634" t="inlineStr">
        <is>
          <t>SEC</t>
        </is>
      </c>
    </row>
    <row r="5635">
      <c r="A5635" s="5">
        <f>HYPERLINK("https://finance.yahoo.com/quote/SLE","SLE")</f>
        <v/>
      </c>
      <c r="B5635" t="inlineStr">
        <is>
          <t>Super League Enterprise, Inc.</t>
        </is>
      </c>
      <c r="C5635" t="inlineStr">
        <is>
          <t>Nasdaq</t>
        </is>
      </c>
      <c r="D5635" t="n">
        <v>1621672</v>
      </c>
      <c r="E5635" t="inlineStr">
        <is>
          <t>SEC</t>
        </is>
      </c>
    </row>
    <row r="5636">
      <c r="A5636" s="5">
        <f>HYPERLINK("https://finance.yahoo.com/quote/PVCT","PVCT")</f>
        <v/>
      </c>
      <c r="B5636" t="inlineStr">
        <is>
          <t>PROVECTUS BIOPHARMACEUTICALS, INC.</t>
        </is>
      </c>
      <c r="C5636" t="inlineStr">
        <is>
          <t>OTC</t>
        </is>
      </c>
      <c r="D5636" t="n">
        <v>315545</v>
      </c>
      <c r="E5636" t="inlineStr">
        <is>
          <t>SEC</t>
        </is>
      </c>
    </row>
    <row r="5637">
      <c r="A5637" s="5">
        <f>HYPERLINK("https://finance.yahoo.com/quote/TRCK","TRCK")</f>
        <v/>
      </c>
      <c r="B5637" t="inlineStr">
        <is>
          <t>Track Group, Inc.</t>
        </is>
      </c>
      <c r="C5637" t="inlineStr">
        <is>
          <t>OTC</t>
        </is>
      </c>
      <c r="D5637" t="n">
        <v>1045942</v>
      </c>
      <c r="E5637" t="inlineStr">
        <is>
          <t>SEC</t>
        </is>
      </c>
    </row>
    <row r="5638">
      <c r="A5638" s="5">
        <f>HYPERLINK("https://finance.yahoo.com/quote/UONE","UONE")</f>
        <v/>
      </c>
      <c r="B5638" t="inlineStr">
        <is>
          <t>URBAN ONE, INC.</t>
        </is>
      </c>
      <c r="C5638" t="inlineStr">
        <is>
          <t>Nasdaq</t>
        </is>
      </c>
      <c r="D5638" t="n">
        <v>1041657</v>
      </c>
      <c r="E5638" t="inlineStr">
        <is>
          <t>SEC</t>
        </is>
      </c>
    </row>
    <row r="5639">
      <c r="A5639" s="5">
        <f>HYPERLINK("https://finance.yahoo.com/quote/TLF","TLF")</f>
        <v/>
      </c>
      <c r="B5639" t="inlineStr">
        <is>
          <t>TANDY LEATHER FACTORY INC</t>
        </is>
      </c>
      <c r="C5639" t="inlineStr">
        <is>
          <t>Nasdaq</t>
        </is>
      </c>
      <c r="D5639" t="n">
        <v>909724</v>
      </c>
      <c r="E5639" t="inlineStr">
        <is>
          <t>SEC</t>
        </is>
      </c>
    </row>
    <row r="5640">
      <c r="A5640" s="5">
        <f>HYPERLINK("https://finance.yahoo.com/quote/COCP","COCP")</f>
        <v/>
      </c>
      <c r="B5640" t="inlineStr">
        <is>
          <t>Cocrystal Pharma, Inc.</t>
        </is>
      </c>
      <c r="C5640" t="inlineStr">
        <is>
          <t>Nasdaq</t>
        </is>
      </c>
      <c r="D5640" t="n">
        <v>1412486</v>
      </c>
      <c r="E5640" t="inlineStr">
        <is>
          <t>SEC</t>
        </is>
      </c>
    </row>
    <row r="5641">
      <c r="A5641" s="5">
        <f>HYPERLINK("https://finance.yahoo.com/quote/SGRP","SGRP")</f>
        <v/>
      </c>
      <c r="B5641" t="inlineStr">
        <is>
          <t>SPAR Group, Inc.</t>
        </is>
      </c>
      <c r="C5641" t="inlineStr">
        <is>
          <t>OTC</t>
        </is>
      </c>
      <c r="D5641" t="n">
        <v>1004989</v>
      </c>
      <c r="E5641" t="inlineStr">
        <is>
          <t>SEC</t>
        </is>
      </c>
    </row>
    <row r="5642">
      <c r="A5642" s="5">
        <f>HYPERLINK("https://finance.yahoo.com/quote/CRVW","CRVW")</f>
        <v/>
      </c>
      <c r="B5642" t="inlineStr">
        <is>
          <t>CareView Communications Inc</t>
        </is>
      </c>
      <c r="C5642" t="inlineStr">
        <is>
          <t>OTC</t>
        </is>
      </c>
      <c r="D5642" t="n">
        <v>1377149</v>
      </c>
      <c r="E5642" t="inlineStr">
        <is>
          <t>SEC</t>
        </is>
      </c>
    </row>
    <row r="5643">
      <c r="A5643" s="5">
        <f>HYPERLINK("https://finance.yahoo.com/quote/STLY","STLY")</f>
        <v/>
      </c>
      <c r="B5643" t="inlineStr">
        <is>
          <t>HG Holdings, Inc.</t>
        </is>
      </c>
      <c r="C5643" t="inlineStr">
        <is>
          <t>OTC</t>
        </is>
      </c>
      <c r="D5643" t="n">
        <v>797465</v>
      </c>
      <c r="E5643" t="inlineStr">
        <is>
          <t>SEC</t>
        </is>
      </c>
    </row>
    <row r="5644">
      <c r="A5644" s="5">
        <f>HYPERLINK("https://finance.yahoo.com/quote/AKTX","AKTX")</f>
        <v/>
      </c>
      <c r="B5644" t="inlineStr">
        <is>
          <t>Akari Therapeutics Plc</t>
        </is>
      </c>
      <c r="C5644" t="inlineStr">
        <is>
          <t>Nasdaq</t>
        </is>
      </c>
      <c r="D5644" t="n">
        <v>1541157</v>
      </c>
      <c r="E5644" t="inlineStr">
        <is>
          <t>SEC</t>
        </is>
      </c>
    </row>
    <row r="5645">
      <c r="A5645" s="5">
        <f>HYPERLINK("https://finance.yahoo.com/quote/PAYD","PAYD")</f>
        <v/>
      </c>
      <c r="B5645" t="inlineStr">
        <is>
          <t>PAID INC</t>
        </is>
      </c>
      <c r="C5645" t="inlineStr">
        <is>
          <t>OTC</t>
        </is>
      </c>
      <c r="D5645" t="n">
        <v>1017655</v>
      </c>
      <c r="E5645" t="inlineStr">
        <is>
          <t>SEC</t>
        </is>
      </c>
    </row>
    <row r="5646">
      <c r="A5646" s="5">
        <f>HYPERLINK("https://finance.yahoo.com/quote/NYC","NYC")</f>
        <v/>
      </c>
      <c r="B5646" t="inlineStr">
        <is>
          <t>American Strategic Investment Co.</t>
        </is>
      </c>
      <c r="C5646" t="inlineStr">
        <is>
          <t>NYSE</t>
        </is>
      </c>
      <c r="D5646" t="n">
        <v>1595527</v>
      </c>
      <c r="E5646" t="inlineStr">
        <is>
          <t>SEC</t>
        </is>
      </c>
    </row>
    <row r="5647">
      <c r="A5647" s="5">
        <f>HYPERLINK("https://finance.yahoo.com/quote/MRNO","MRNO")</f>
        <v/>
      </c>
      <c r="B5647" t="inlineStr">
        <is>
          <t>Murano Global Investments Plc</t>
        </is>
      </c>
      <c r="C5647" t="inlineStr">
        <is>
          <t>Nasdaq</t>
        </is>
      </c>
      <c r="D5647" t="n">
        <v>1988776</v>
      </c>
      <c r="E5647" t="inlineStr">
        <is>
          <t>SEC</t>
        </is>
      </c>
    </row>
    <row r="5648">
      <c r="A5648" s="5">
        <f>HYPERLINK("https://finance.yahoo.com/quote/YOUL","YOUL")</f>
        <v/>
      </c>
      <c r="B5648" t="inlineStr">
        <is>
          <t>Youlife Group Inc.</t>
        </is>
      </c>
      <c r="C5648" t="inlineStr">
        <is>
          <t>Nasdaq</t>
        </is>
      </c>
      <c r="D5648" t="n">
        <v>2028177</v>
      </c>
      <c r="E5648" t="inlineStr">
        <is>
          <t>SEC</t>
        </is>
      </c>
    </row>
    <row r="5649">
      <c r="A5649" s="5">
        <f>HYPERLINK("https://finance.yahoo.com/quote/SST","SST")</f>
        <v/>
      </c>
      <c r="B5649" t="inlineStr">
        <is>
          <t>System1, Inc.</t>
        </is>
      </c>
      <c r="C5649" t="inlineStr">
        <is>
          <t>NYSE</t>
        </is>
      </c>
      <c r="D5649" t="n">
        <v>1805833</v>
      </c>
      <c r="E5649" t="inlineStr">
        <is>
          <t>SEC</t>
        </is>
      </c>
    </row>
    <row r="5650">
      <c r="A5650" s="5">
        <f>HYPERLINK("https://finance.yahoo.com/quote/RCON","RCON")</f>
        <v/>
      </c>
      <c r="B5650" t="inlineStr">
        <is>
          <t>Recon Technology, Ltd</t>
        </is>
      </c>
      <c r="C5650" t="inlineStr">
        <is>
          <t>Nasdaq</t>
        </is>
      </c>
      <c r="D5650" t="n">
        <v>1442620</v>
      </c>
      <c r="E5650" t="inlineStr">
        <is>
          <t>SEC</t>
        </is>
      </c>
    </row>
    <row r="5651">
      <c r="A5651" s="5">
        <f>HYPERLINK("https://finance.yahoo.com/quote/GRNL","GRNL")</f>
        <v/>
      </c>
      <c r="B5651" t="inlineStr">
        <is>
          <t>GREENLITE VENTURES INC</t>
        </is>
      </c>
      <c r="C5651" t="inlineStr">
        <is>
          <t>OTC</t>
        </is>
      </c>
      <c r="D5651" t="n">
        <v>1282571</v>
      </c>
      <c r="E5651" t="inlineStr">
        <is>
          <t>SEC</t>
        </is>
      </c>
    </row>
    <row r="5652">
      <c r="A5652" s="5">
        <f>HYPERLINK("https://finance.yahoo.com/quote/KYNB","KYNB")</f>
        <v/>
      </c>
      <c r="B5652" t="inlineStr">
        <is>
          <t>KYNTRA BIO, INC.</t>
        </is>
      </c>
      <c r="C5652" t="inlineStr">
        <is>
          <t>Nasdaq</t>
        </is>
      </c>
      <c r="D5652" t="n">
        <v>921299</v>
      </c>
      <c r="E5652" t="inlineStr">
        <is>
          <t>SEC</t>
        </is>
      </c>
    </row>
    <row r="5653">
      <c r="A5653" s="5">
        <f>HYPERLINK("https://finance.yahoo.com/quote/SPRS","SPRS")</f>
        <v/>
      </c>
      <c r="B5653" t="inlineStr">
        <is>
          <t>SURGE COMPONENTS INC</t>
        </is>
      </c>
      <c r="C5653" t="inlineStr">
        <is>
          <t>OTC</t>
        </is>
      </c>
      <c r="D5653" t="n">
        <v>747540</v>
      </c>
      <c r="E5653" t="inlineStr">
        <is>
          <t>SEC</t>
        </is>
      </c>
    </row>
    <row r="5654">
      <c r="A5654" s="5">
        <f>HYPERLINK("https://finance.yahoo.com/quote/GIFT","GIFT")</f>
        <v/>
      </c>
      <c r="B5654" t="inlineStr">
        <is>
          <t>GIFTIFY, INC.</t>
        </is>
      </c>
      <c r="C5654" t="inlineStr">
        <is>
          <t>Nasdaq</t>
        </is>
      </c>
      <c r="D5654" t="n">
        <v>1760233</v>
      </c>
      <c r="E5654" t="inlineStr">
        <is>
          <t>SEC</t>
        </is>
      </c>
    </row>
    <row r="5655">
      <c r="A5655" s="5">
        <f>HYPERLINK("https://finance.yahoo.com/quote/SNTL","SNTL")</f>
        <v/>
      </c>
      <c r="B5655" t="inlineStr">
        <is>
          <t>Sentinel Holdings Ltd.</t>
        </is>
      </c>
      <c r="C5655" t="inlineStr">
        <is>
          <t>OTC</t>
        </is>
      </c>
      <c r="D5655" t="n">
        <v>889353</v>
      </c>
      <c r="E5655" t="inlineStr">
        <is>
          <t>SEC</t>
        </is>
      </c>
    </row>
    <row r="5656">
      <c r="A5656" s="5">
        <f>HYPERLINK("https://finance.yahoo.com/quote/EFOI","EFOI")</f>
        <v/>
      </c>
      <c r="B5656" t="inlineStr">
        <is>
          <t>ENERGY FOCUS, INC/DE</t>
        </is>
      </c>
      <c r="C5656" t="inlineStr">
        <is>
          <t>Nasdaq</t>
        </is>
      </c>
      <c r="D5656" t="n">
        <v>924168</v>
      </c>
      <c r="E5656" t="inlineStr">
        <is>
          <t>SEC</t>
        </is>
      </c>
    </row>
    <row r="5657">
      <c r="A5657" s="5">
        <f>HYPERLINK("https://finance.yahoo.com/quote/MTWO","MTWO")</f>
        <v/>
      </c>
      <c r="B5657" t="inlineStr">
        <is>
          <t>M2i Global, Inc.</t>
        </is>
      </c>
      <c r="C5657" t="inlineStr">
        <is>
          <t>OTC</t>
        </is>
      </c>
      <c r="D5657" t="n">
        <v>1753373</v>
      </c>
      <c r="E5657" t="inlineStr">
        <is>
          <t>SEC</t>
        </is>
      </c>
    </row>
    <row r="5658">
      <c r="A5658" s="5">
        <f>HYPERLINK("https://finance.yahoo.com/quote/NEUP","NEUP")</f>
        <v/>
      </c>
      <c r="B5658" t="inlineStr">
        <is>
          <t>Neuphoria Therapeutics Inc.</t>
        </is>
      </c>
      <c r="C5658" t="inlineStr">
        <is>
          <t>Nasdaq</t>
        </is>
      </c>
      <c r="D5658" t="n">
        <v>1191070</v>
      </c>
      <c r="E5658" t="inlineStr">
        <is>
          <t>SEC</t>
        </is>
      </c>
    </row>
    <row r="5659">
      <c r="A5659" s="5">
        <f>HYPERLINK("https://finance.yahoo.com/quote/MFDB","MFDB")</f>
        <v/>
      </c>
      <c r="B5659" t="inlineStr">
        <is>
          <t>MFB Bancorp, Inc.</t>
        </is>
      </c>
      <c r="C5659" t="inlineStr">
        <is>
          <t>OTC</t>
        </is>
      </c>
      <c r="D5659" t="n">
        <v>2152813</v>
      </c>
      <c r="E5659" t="inlineStr">
        <is>
          <t>SEC</t>
        </is>
      </c>
    </row>
    <row r="5660">
      <c r="A5660" s="5">
        <f>HYPERLINK("https://finance.yahoo.com/quote/MNDO","MNDO")</f>
        <v/>
      </c>
      <c r="B5660" t="inlineStr">
        <is>
          <t>MIND CTI LTD</t>
        </is>
      </c>
      <c r="C5660" t="inlineStr">
        <is>
          <t>Nasdaq</t>
        </is>
      </c>
      <c r="D5660" t="n">
        <v>1119083</v>
      </c>
      <c r="E5660" t="inlineStr">
        <is>
          <t>SEC</t>
        </is>
      </c>
    </row>
    <row r="5661">
      <c r="A5661" s="5">
        <f>HYPERLINK("https://finance.yahoo.com/quote/PASW","PASW")</f>
        <v/>
      </c>
      <c r="B5661" t="inlineStr">
        <is>
          <t>Ping An Biomedical Co., Ltd.</t>
        </is>
      </c>
      <c r="C5661" t="inlineStr">
        <is>
          <t>Nasdaq</t>
        </is>
      </c>
      <c r="D5661" t="n">
        <v>1897532</v>
      </c>
      <c r="E5661" t="inlineStr">
        <is>
          <t>SEC</t>
        </is>
      </c>
    </row>
    <row r="5662">
      <c r="A5662" s="5">
        <f>HYPERLINK("https://finance.yahoo.com/quote/OPTH","OPTH")</f>
        <v/>
      </c>
      <c r="B5662" t="inlineStr">
        <is>
          <t>Optimi Health Corp.</t>
        </is>
      </c>
      <c r="C5662" t="inlineStr">
        <is>
          <t>Nasdaq</t>
        </is>
      </c>
      <c r="D5662" t="n">
        <v>2027329</v>
      </c>
      <c r="E5662" t="inlineStr">
        <is>
          <t>SEC</t>
        </is>
      </c>
    </row>
    <row r="5663">
      <c r="A5663" s="5">
        <f>HYPERLINK("https://finance.yahoo.com/quote/MDWK","MDWK")</f>
        <v/>
      </c>
      <c r="B5663" t="inlineStr">
        <is>
          <t>MDWerks, Inc.</t>
        </is>
      </c>
      <c r="C5663" t="inlineStr">
        <is>
          <t>OTC</t>
        </is>
      </c>
      <c r="D5663" t="n">
        <v>1295514</v>
      </c>
      <c r="E5663" t="inlineStr">
        <is>
          <t>SEC</t>
        </is>
      </c>
    </row>
    <row r="5664">
      <c r="A5664" s="5">
        <f>HYPERLINK("https://finance.yahoo.com/quote/MDBH","MDBH")</f>
        <v/>
      </c>
      <c r="B5664" t="inlineStr">
        <is>
          <t>MDB Capital Holdings, LLC</t>
        </is>
      </c>
      <c r="C5664" t="inlineStr">
        <is>
          <t>Nasdaq</t>
        </is>
      </c>
      <c r="D5664" t="n">
        <v>1934642</v>
      </c>
      <c r="E5664" t="inlineStr">
        <is>
          <t>SEC</t>
        </is>
      </c>
    </row>
    <row r="5665">
      <c r="A5665" s="5">
        <f>HYPERLINK("https://finance.yahoo.com/quote/LRRIF","LRRIF")</f>
        <v/>
      </c>
      <c r="B5665" t="inlineStr">
        <is>
          <t>Lion Rock Resources Inc.</t>
        </is>
      </c>
      <c r="C5665" t="inlineStr">
        <is>
          <t>OTC</t>
        </is>
      </c>
      <c r="D5665" t="n">
        <v>1992500</v>
      </c>
      <c r="E5665" t="inlineStr">
        <is>
          <t>SEC</t>
        </is>
      </c>
    </row>
    <row r="5666">
      <c r="A5666" s="5">
        <f>HYPERLINK("https://finance.yahoo.com/quote/KARX","KARX")</f>
        <v/>
      </c>
      <c r="B5666" t="inlineStr">
        <is>
          <t>Karbon-X Corp.</t>
        </is>
      </c>
      <c r="C5666" t="inlineStr">
        <is>
          <t>OTC</t>
        </is>
      </c>
      <c r="D5666" t="n">
        <v>1729637</v>
      </c>
      <c r="E5666" t="inlineStr">
        <is>
          <t>SEC</t>
        </is>
      </c>
    </row>
    <row r="5667">
      <c r="A5667" s="5">
        <f>HYPERLINK("https://finance.yahoo.com/quote/BDAI","BDAI")</f>
        <v/>
      </c>
      <c r="B5667" t="inlineStr">
        <is>
          <t>Biddance AI Systems, Inc.</t>
        </is>
      </c>
      <c r="C5667" t="inlineStr">
        <is>
          <t>Nasdaq</t>
        </is>
      </c>
      <c r="D5667" t="n">
        <v>1742341</v>
      </c>
      <c r="E5667" t="inlineStr">
        <is>
          <t>SEC</t>
        </is>
      </c>
    </row>
    <row r="5668">
      <c r="A5668" s="5">
        <f>HYPERLINK("https://finance.yahoo.com/quote/GEBRF","GEBRF")</f>
        <v/>
      </c>
      <c r="B5668" t="inlineStr">
        <is>
          <t>Greenbriar Sustainable Living Inc.</t>
        </is>
      </c>
      <c r="C5668" t="inlineStr">
        <is>
          <t>OTC</t>
        </is>
      </c>
      <c r="D5668" t="n">
        <v>1570843</v>
      </c>
      <c r="E5668" t="inlineStr">
        <is>
          <t>SEC</t>
        </is>
      </c>
    </row>
    <row r="5669">
      <c r="A5669" s="5">
        <f>HYPERLINK("https://finance.yahoo.com/quote/STQN","STQN")</f>
        <v/>
      </c>
      <c r="B5669" t="inlineStr">
        <is>
          <t>STRATEGIC ACQUISITIONS INC /NV/</t>
        </is>
      </c>
      <c r="C5669" t="inlineStr">
        <is>
          <t>OTC</t>
        </is>
      </c>
      <c r="D5669" t="n">
        <v>847942</v>
      </c>
      <c r="E5669" t="inlineStr">
        <is>
          <t>SEC</t>
        </is>
      </c>
    </row>
    <row r="5670">
      <c r="A5670" s="5">
        <f>HYPERLINK("https://finance.yahoo.com/quote/GRAPF","GRAPF")</f>
        <v/>
      </c>
      <c r="B5670" t="inlineStr">
        <is>
          <t>First Canadian Graphite Inc.</t>
        </is>
      </c>
      <c r="C5670" t="inlineStr">
        <is>
          <t>OTC</t>
        </is>
      </c>
      <c r="D5670" t="n">
        <v>1715272</v>
      </c>
      <c r="E5670" t="inlineStr">
        <is>
          <t>SEC</t>
        </is>
      </c>
    </row>
    <row r="5671">
      <c r="A5671" s="5">
        <f>HYPERLINK("https://finance.yahoo.com/quote/PAVM","PAVM")</f>
        <v/>
      </c>
      <c r="B5671" t="inlineStr">
        <is>
          <t>PAVmed Inc.</t>
        </is>
      </c>
      <c r="C5671" t="inlineStr">
        <is>
          <t>Nasdaq</t>
        </is>
      </c>
      <c r="D5671" t="n">
        <v>1624326</v>
      </c>
      <c r="E5671" t="inlineStr">
        <is>
          <t>SEC</t>
        </is>
      </c>
    </row>
    <row r="5672">
      <c r="A5672" s="5">
        <f>HYPERLINK("https://finance.yahoo.com/quote/BYSI","BYSI")</f>
        <v/>
      </c>
      <c r="B5672" t="inlineStr">
        <is>
          <t>BeyondSpring Inc.</t>
        </is>
      </c>
      <c r="C5672" t="inlineStr">
        <is>
          <t>Nasdaq</t>
        </is>
      </c>
      <c r="D5672" t="n">
        <v>1677940</v>
      </c>
      <c r="E5672" t="inlineStr">
        <is>
          <t>SEC</t>
        </is>
      </c>
    </row>
    <row r="5673">
      <c r="A5673" s="5">
        <f>HYPERLINK("https://finance.yahoo.com/quote/APAAF","APAAF")</f>
        <v/>
      </c>
      <c r="B5673" t="inlineStr">
        <is>
          <t>Appia Rare Earths &amp; Uranium Corp.</t>
        </is>
      </c>
      <c r="C5673" t="inlineStr">
        <is>
          <t>OTC</t>
        </is>
      </c>
      <c r="D5673" t="n">
        <v>1419336</v>
      </c>
      <c r="E5673" t="inlineStr">
        <is>
          <t>SEC</t>
        </is>
      </c>
    </row>
    <row r="5674">
      <c r="A5674" s="5">
        <f>HYPERLINK("https://finance.yahoo.com/quote/TARSF","TARSF")</f>
        <v/>
      </c>
      <c r="B5674" t="inlineStr">
        <is>
          <t>Silver North Resources Ltd.</t>
        </is>
      </c>
      <c r="C5674" t="inlineStr">
        <is>
          <t>OTC</t>
        </is>
      </c>
      <c r="D5674" t="n">
        <v>1409036</v>
      </c>
      <c r="E5674" t="inlineStr">
        <is>
          <t>SEC</t>
        </is>
      </c>
    </row>
    <row r="5675">
      <c r="A5675" s="5">
        <f>HYPERLINK("https://finance.yahoo.com/quote/AAQL","AAQL")</f>
        <v/>
      </c>
      <c r="B5675" t="inlineStr">
        <is>
          <t>Antiaging Quantum Living Inc.</t>
        </is>
      </c>
      <c r="C5675" t="inlineStr">
        <is>
          <t>OTC</t>
        </is>
      </c>
      <c r="D5675" t="n">
        <v>1672571</v>
      </c>
      <c r="E5675" t="inlineStr">
        <is>
          <t>SEC</t>
        </is>
      </c>
    </row>
    <row r="5676">
      <c r="A5676" s="5">
        <f>HYPERLINK("https://finance.yahoo.com/quote/INTI","INTI")</f>
        <v/>
      </c>
      <c r="B5676" t="inlineStr">
        <is>
          <t>Inhibitor Therapeutics, Inc.</t>
        </is>
      </c>
      <c r="C5676" t="inlineStr">
        <is>
          <t>OTC</t>
        </is>
      </c>
      <c r="D5676" t="n">
        <v>1042418</v>
      </c>
      <c r="E5676" t="inlineStr">
        <is>
          <t>SEC</t>
        </is>
      </c>
    </row>
    <row r="5677">
      <c r="A5677" s="5">
        <f>HYPERLINK("https://finance.yahoo.com/quote/EMGDF","EMGDF")</f>
        <v/>
      </c>
      <c r="B5677" t="inlineStr">
        <is>
          <t>Eminent Gold Corp.</t>
        </is>
      </c>
      <c r="C5677" t="inlineStr">
        <is>
          <t>OTC</t>
        </is>
      </c>
      <c r="D5677" t="n">
        <v>1790607</v>
      </c>
      <c r="E5677" t="inlineStr">
        <is>
          <t>SEC</t>
        </is>
      </c>
    </row>
    <row r="5678">
      <c r="A5678" s="5">
        <f>HYPERLINK("https://finance.yahoo.com/quote/PRT","PRT")</f>
        <v/>
      </c>
      <c r="B5678" t="inlineStr">
        <is>
          <t>PermRock Royalty Trust</t>
        </is>
      </c>
      <c r="C5678" t="inlineStr">
        <is>
          <t>NYSE</t>
        </is>
      </c>
      <c r="D5678" t="n">
        <v>1724009</v>
      </c>
      <c r="E5678" t="inlineStr">
        <is>
          <t>SEC</t>
        </is>
      </c>
    </row>
    <row r="5679">
      <c r="A5679" s="5">
        <f>HYPERLINK("https://finance.yahoo.com/quote/RVP","RVP")</f>
        <v/>
      </c>
      <c r="B5679" t="inlineStr">
        <is>
          <t>RETRACTABLE TECHNOLOGIES INC</t>
        </is>
      </c>
      <c r="C5679" t="inlineStr">
        <is>
          <t>NYSE</t>
        </is>
      </c>
      <c r="D5679" t="n">
        <v>946563</v>
      </c>
      <c r="E5679" t="inlineStr">
        <is>
          <t>SEC</t>
        </is>
      </c>
    </row>
    <row r="5680">
      <c r="A5680" s="5">
        <f>HYPERLINK("https://finance.yahoo.com/quote/ZTG","ZTG")</f>
        <v/>
      </c>
      <c r="B5680" t="inlineStr">
        <is>
          <t>Zenta Group Co Ltd</t>
        </is>
      </c>
      <c r="C5680" t="inlineStr">
        <is>
          <t>Nasdaq</t>
        </is>
      </c>
      <c r="D5680" t="n">
        <v>2011458</v>
      </c>
      <c r="E5680" t="inlineStr">
        <is>
          <t>SEC</t>
        </is>
      </c>
    </row>
    <row r="5681">
      <c r="A5681" s="5">
        <f>HYPERLINK("https://finance.yahoo.com/quote/RSGLF","RSGLF")</f>
        <v/>
      </c>
      <c r="B5681" t="inlineStr">
        <is>
          <t>Rocky Shore Gold Ltd.</t>
        </is>
      </c>
      <c r="C5681" t="inlineStr">
        <is>
          <t>OTC</t>
        </is>
      </c>
      <c r="D5681" t="n">
        <v>1683408</v>
      </c>
      <c r="E5681" t="inlineStr">
        <is>
          <t>SEC</t>
        </is>
      </c>
    </row>
    <row r="5682">
      <c r="A5682" s="5">
        <f>HYPERLINK("https://finance.yahoo.com/quote/PPURF","PPURF")</f>
        <v/>
      </c>
      <c r="B5682" t="inlineStr">
        <is>
          <t>Ucore Rare Metals Inc.</t>
        </is>
      </c>
      <c r="C5682" t="inlineStr">
        <is>
          <t>OTC</t>
        </is>
      </c>
      <c r="D5682" t="n">
        <v>1495651</v>
      </c>
      <c r="E5682" t="inlineStr">
        <is>
          <t>SEC</t>
        </is>
      </c>
    </row>
    <row r="5683">
      <c r="A5683" s="5">
        <f>HYPERLINK("https://finance.yahoo.com/quote/FTFT","FTFT")</f>
        <v/>
      </c>
      <c r="B5683" t="inlineStr">
        <is>
          <t>Future FinTech Group Inc.</t>
        </is>
      </c>
      <c r="C5683" t="inlineStr">
        <is>
          <t>Nasdaq</t>
        </is>
      </c>
      <c r="D5683" t="n">
        <v>1066923</v>
      </c>
      <c r="E5683" t="inlineStr">
        <is>
          <t>SEC</t>
        </is>
      </c>
    </row>
    <row r="5684">
      <c r="A5684" s="5">
        <f>HYPERLINK("https://finance.yahoo.com/quote/NZERF","NZERF")</f>
        <v/>
      </c>
      <c r="B5684" t="inlineStr">
        <is>
          <t>New Zealand Energy Corp.</t>
        </is>
      </c>
      <c r="C5684" t="inlineStr">
        <is>
          <t>OTC</t>
        </is>
      </c>
      <c r="D5684" t="n">
        <v>1509705</v>
      </c>
      <c r="E5684" t="inlineStr">
        <is>
          <t>SEC</t>
        </is>
      </c>
    </row>
    <row r="5685">
      <c r="A5685" s="5">
        <f>HYPERLINK("https://finance.yahoo.com/quote/MODD","MODD")</f>
        <v/>
      </c>
      <c r="B5685" t="inlineStr">
        <is>
          <t>Modular Medical, Inc.</t>
        </is>
      </c>
      <c r="C5685" t="inlineStr">
        <is>
          <t>Nasdaq</t>
        </is>
      </c>
      <c r="D5685" t="n">
        <v>1074871</v>
      </c>
      <c r="E5685" t="inlineStr">
        <is>
          <t>SEC</t>
        </is>
      </c>
    </row>
    <row r="5686">
      <c r="A5686" s="5">
        <f>HYPERLINK("https://finance.yahoo.com/quote/CHKR","CHKR")</f>
        <v/>
      </c>
      <c r="B5686" t="inlineStr">
        <is>
          <t>CHESAPEAKE GRANITE WASH TRUST</t>
        </is>
      </c>
      <c r="C5686" t="inlineStr">
        <is>
          <t>OTC</t>
        </is>
      </c>
      <c r="D5686" t="n">
        <v>1524769</v>
      </c>
      <c r="E5686" t="inlineStr">
        <is>
          <t>SEC</t>
        </is>
      </c>
    </row>
    <row r="5687">
      <c r="A5687" s="5">
        <f>HYPERLINK("https://finance.yahoo.com/quote/HLRTF","HLRTF")</f>
        <v/>
      </c>
      <c r="B5687" t="inlineStr">
        <is>
          <t>Hillcrest Energy Technologies Ltd.</t>
        </is>
      </c>
      <c r="C5687" t="inlineStr">
        <is>
          <t>OTC</t>
        </is>
      </c>
      <c r="D5687" t="n">
        <v>1418149</v>
      </c>
      <c r="E5687" t="inlineStr">
        <is>
          <t>SEC</t>
        </is>
      </c>
    </row>
    <row r="5688">
      <c r="A5688" s="5">
        <f>HYPERLINK("https://finance.yahoo.com/quote/HEPA","HEPA")</f>
        <v/>
      </c>
      <c r="B5688" t="inlineStr">
        <is>
          <t>Hepion Pharmaceuticals, Inc.</t>
        </is>
      </c>
      <c r="C5688" t="inlineStr">
        <is>
          <t>OTC</t>
        </is>
      </c>
      <c r="D5688" t="n">
        <v>1583771</v>
      </c>
      <c r="E5688" t="inlineStr">
        <is>
          <t>SEC</t>
        </is>
      </c>
    </row>
    <row r="5689">
      <c r="A5689" s="5">
        <f>HYPERLINK("https://finance.yahoo.com/quote/ACCS","ACCS")</f>
        <v/>
      </c>
      <c r="B5689" t="inlineStr">
        <is>
          <t>ACCESS Newswire Inc.</t>
        </is>
      </c>
      <c r="C5689" t="inlineStr">
        <is>
          <t>NYSE</t>
        </is>
      </c>
      <c r="D5689" t="n">
        <v>843006</v>
      </c>
      <c r="E5689" t="inlineStr">
        <is>
          <t>SEC</t>
        </is>
      </c>
    </row>
    <row r="5690">
      <c r="A5690" s="5">
        <f>HYPERLINK("https://finance.yahoo.com/quote/CCM","CCM")</f>
        <v/>
      </c>
      <c r="B5690" t="inlineStr">
        <is>
          <t>Concord Medical Services Holdings Ltd</t>
        </is>
      </c>
      <c r="C5690" t="inlineStr">
        <is>
          <t>NYSE</t>
        </is>
      </c>
      <c r="D5690" t="n">
        <v>1472072</v>
      </c>
      <c r="E5690" t="inlineStr">
        <is>
          <t>SEC</t>
        </is>
      </c>
    </row>
    <row r="5691">
      <c r="A5691" s="5">
        <f>HYPERLINK("https://finance.yahoo.com/quote/PMI","PMI")</f>
        <v/>
      </c>
      <c r="B5691" t="inlineStr">
        <is>
          <t>Picard Medical, Inc.</t>
        </is>
      </c>
      <c r="C5691" t="inlineStr">
        <is>
          <t>NYSE</t>
        </is>
      </c>
      <c r="D5691" t="n">
        <v>2030617</v>
      </c>
      <c r="E5691" t="inlineStr">
        <is>
          <t>SEC</t>
        </is>
      </c>
    </row>
    <row r="5692">
      <c r="A5692" s="5">
        <f>HYPERLINK("https://finance.yahoo.com/quote/CFND","CFND")</f>
        <v/>
      </c>
      <c r="B5692" t="inlineStr">
        <is>
          <t>C1 Fund Inc.</t>
        </is>
      </c>
      <c r="C5692" t="inlineStr">
        <is>
          <t>NYSE</t>
        </is>
      </c>
      <c r="D5692" t="n">
        <v>2044327</v>
      </c>
      <c r="E5692" t="inlineStr">
        <is>
          <t>SEC</t>
        </is>
      </c>
    </row>
    <row r="5693">
      <c r="A5693" s="5">
        <f>HYPERLINK("https://finance.yahoo.com/quote/LFWD","LFWD")</f>
        <v/>
      </c>
      <c r="B5693" t="inlineStr">
        <is>
          <t>Lifeward Ltd.</t>
        </is>
      </c>
      <c r="C5693" t="inlineStr">
        <is>
          <t>Nasdaq</t>
        </is>
      </c>
      <c r="D5693" t="n">
        <v>1607962</v>
      </c>
      <c r="E5693" t="inlineStr">
        <is>
          <t>SEC</t>
        </is>
      </c>
    </row>
    <row r="5694">
      <c r="A5694" s="5">
        <f>HYPERLINK("https://finance.yahoo.com/quote/MDXH","MDXH")</f>
        <v/>
      </c>
      <c r="B5694" t="inlineStr">
        <is>
          <t>MDxHealth SA</t>
        </is>
      </c>
      <c r="C5694" t="inlineStr">
        <is>
          <t>Nasdaq</t>
        </is>
      </c>
      <c r="D5694" t="n">
        <v>1872529</v>
      </c>
      <c r="E5694" t="inlineStr">
        <is>
          <t>SEC</t>
        </is>
      </c>
    </row>
    <row r="5695">
      <c r="A5695" s="5">
        <f>HYPERLINK("https://finance.yahoo.com/quote/CMGHF","CMGHF")</f>
        <v/>
      </c>
      <c r="B5695" t="inlineStr">
        <is>
          <t>CHAODA MODERN AGRICULTURE HOLDINGS LTD /FI</t>
        </is>
      </c>
      <c r="C5695" t="inlineStr">
        <is>
          <t>OTC</t>
        </is>
      </c>
      <c r="D5695" t="n">
        <v>1169760</v>
      </c>
      <c r="E5695" t="inlineStr">
        <is>
          <t>SEC</t>
        </is>
      </c>
    </row>
    <row r="5696">
      <c r="A5696" s="5">
        <f>HYPERLINK("https://finance.yahoo.com/quote/LICN","LICN")</f>
        <v/>
      </c>
      <c r="B5696" t="inlineStr">
        <is>
          <t>Lichen International Ltd</t>
        </is>
      </c>
      <c r="C5696" t="inlineStr">
        <is>
          <t>Nasdaq</t>
        </is>
      </c>
      <c r="D5696" t="n">
        <v>1876766</v>
      </c>
      <c r="E5696" t="inlineStr">
        <is>
          <t>SEC</t>
        </is>
      </c>
    </row>
    <row r="5697">
      <c r="A5697" s="5">
        <f>HYPERLINK("https://finance.yahoo.com/quote/COGDF","COGDF")</f>
        <v/>
      </c>
      <c r="B5697" t="inlineStr">
        <is>
          <t>Compass Gold Corp</t>
        </is>
      </c>
      <c r="C5697" t="inlineStr">
        <is>
          <t>OTC</t>
        </is>
      </c>
      <c r="D5697" t="n">
        <v>1557440</v>
      </c>
      <c r="E5697" t="inlineStr">
        <is>
          <t>SEC</t>
        </is>
      </c>
    </row>
    <row r="5698">
      <c r="A5698" s="5">
        <f>HYPERLINK("https://finance.yahoo.com/quote/FENG","FENG")</f>
        <v/>
      </c>
      <c r="B5698" t="inlineStr">
        <is>
          <t>Phoenix New Media Ltd</t>
        </is>
      </c>
      <c r="C5698" t="inlineStr">
        <is>
          <t>NYSE</t>
        </is>
      </c>
      <c r="D5698" t="n">
        <v>1509646</v>
      </c>
      <c r="E5698" t="inlineStr">
        <is>
          <t>SEC</t>
        </is>
      </c>
    </row>
    <row r="5699">
      <c r="A5699" s="5">
        <f>HYPERLINK("https://finance.yahoo.com/quote/CUPPF","CUPPF")</f>
        <v/>
      </c>
      <c r="B5699" t="inlineStr">
        <is>
          <t>Super Copper Corp.</t>
        </is>
      </c>
      <c r="C5699" t="inlineStr">
        <is>
          <t>OTC</t>
        </is>
      </c>
      <c r="D5699" t="n">
        <v>2021989</v>
      </c>
      <c r="E5699" t="inlineStr">
        <is>
          <t>SEC</t>
        </is>
      </c>
    </row>
    <row r="5700">
      <c r="A5700" s="5">
        <f>HYPERLINK("https://finance.yahoo.com/quote/CSRVF","CSRVF")</f>
        <v/>
      </c>
      <c r="B5700" t="inlineStr">
        <is>
          <t>Scotia Metals Corp.</t>
        </is>
      </c>
      <c r="C5700" t="inlineStr">
        <is>
          <t>OTC</t>
        </is>
      </c>
      <c r="D5700" t="n">
        <v>1910903</v>
      </c>
      <c r="E5700" t="inlineStr">
        <is>
          <t>SEC</t>
        </is>
      </c>
    </row>
    <row r="5701">
      <c r="A5701" s="5">
        <f>HYPERLINK("https://finance.yahoo.com/quote/RNTZ","RNTZ")</f>
        <v/>
      </c>
      <c r="B5701" t="inlineStr">
        <is>
          <t>Rantizo</t>
        </is>
      </c>
      <c r="C5701" t="inlineStr">
        <is>
          <t>Nasdaq</t>
        </is>
      </c>
      <c r="D5701" t="n">
        <v>1991261</v>
      </c>
      <c r="E5701" t="inlineStr">
        <is>
          <t>SEC</t>
        </is>
      </c>
    </row>
    <row r="5702">
      <c r="A5702" s="5">
        <f>HYPERLINK("https://finance.yahoo.com/quote/ALGRF","ALGRF")</f>
        <v/>
      </c>
      <c r="B5702" t="inlineStr">
        <is>
          <t>KENADYR METALS CORP</t>
        </is>
      </c>
      <c r="C5702" t="inlineStr">
        <is>
          <t>OTC</t>
        </is>
      </c>
      <c r="D5702" t="n">
        <v>1703292</v>
      </c>
      <c r="E5702" t="inlineStr">
        <is>
          <t>SEC</t>
        </is>
      </c>
    </row>
    <row r="5703">
      <c r="A5703" s="5">
        <f>HYPERLINK("https://finance.yahoo.com/quote/JSPR","JSPR")</f>
        <v/>
      </c>
      <c r="B5703" t="inlineStr">
        <is>
          <t>Jasper Therapeutics, Inc.</t>
        </is>
      </c>
      <c r="C5703" t="inlineStr">
        <is>
          <t>Nasdaq</t>
        </is>
      </c>
      <c r="D5703" t="n">
        <v>1788028</v>
      </c>
      <c r="E5703" t="inlineStr">
        <is>
          <t>SEC</t>
        </is>
      </c>
    </row>
    <row r="5704">
      <c r="A5704" s="5">
        <f>HYPERLINK("https://finance.yahoo.com/quote/ABCP","ABCP")</f>
        <v/>
      </c>
      <c r="B5704" t="inlineStr">
        <is>
          <t>AmBase Corp</t>
        </is>
      </c>
      <c r="C5704" t="inlineStr">
        <is>
          <t>OTC</t>
        </is>
      </c>
      <c r="D5704" t="n">
        <v>20639</v>
      </c>
      <c r="E5704" t="inlineStr">
        <is>
          <t>SEC</t>
        </is>
      </c>
    </row>
    <row r="5705">
      <c r="A5705" s="5">
        <f>HYPERLINK("https://finance.yahoo.com/quote/LHAI","LHAI")</f>
        <v/>
      </c>
      <c r="B5705" t="inlineStr">
        <is>
          <t>Linkhome Holdings Inc.</t>
        </is>
      </c>
      <c r="C5705" t="inlineStr">
        <is>
          <t>Nasdaq</t>
        </is>
      </c>
      <c r="D5705" t="n">
        <v>2017758</v>
      </c>
      <c r="E5705" t="inlineStr">
        <is>
          <t>SEC</t>
        </is>
      </c>
    </row>
    <row r="5706">
      <c r="A5706" s="5">
        <f>HYPERLINK("https://finance.yahoo.com/quote/CTSO","CTSO")</f>
        <v/>
      </c>
      <c r="B5706" t="inlineStr">
        <is>
          <t>Cytosorbents Corp</t>
        </is>
      </c>
      <c r="C5706" t="inlineStr">
        <is>
          <t>Nasdaq</t>
        </is>
      </c>
      <c r="D5706" t="n">
        <v>1175151</v>
      </c>
      <c r="E5706" t="inlineStr">
        <is>
          <t>SEC</t>
        </is>
      </c>
    </row>
    <row r="5707">
      <c r="A5707" s="5">
        <f>HYPERLINK("https://finance.yahoo.com/quote/EHTH","EHTH")</f>
        <v/>
      </c>
      <c r="B5707" t="inlineStr">
        <is>
          <t>eHealth, Inc.</t>
        </is>
      </c>
      <c r="C5707" t="inlineStr">
        <is>
          <t>Nasdaq</t>
        </is>
      </c>
      <c r="D5707" t="n">
        <v>1333493</v>
      </c>
      <c r="E5707" t="inlineStr">
        <is>
          <t>SEC</t>
        </is>
      </c>
    </row>
    <row r="5708">
      <c r="A5708" s="5">
        <f>HYPERLINK("https://finance.yahoo.com/quote/SCLX","SCLX")</f>
        <v/>
      </c>
      <c r="B5708" t="inlineStr">
        <is>
          <t>Scilex Holding Co</t>
        </is>
      </c>
      <c r="C5708" t="inlineStr">
        <is>
          <t>Nasdaq</t>
        </is>
      </c>
      <c r="D5708" t="n">
        <v>1820190</v>
      </c>
      <c r="E5708" t="inlineStr">
        <is>
          <t>SEC</t>
        </is>
      </c>
    </row>
    <row r="5709">
      <c r="A5709" s="5">
        <f>HYPERLINK("https://finance.yahoo.com/quote/JF","JF")</f>
        <v/>
      </c>
      <c r="B5709" t="inlineStr">
        <is>
          <t>J &amp; Friends Holdings Ltd</t>
        </is>
      </c>
      <c r="C5709" t="inlineStr">
        <is>
          <t>Nasdaq</t>
        </is>
      </c>
      <c r="D5709" t="n">
        <v>1716338</v>
      </c>
      <c r="E5709" t="inlineStr">
        <is>
          <t>SEC</t>
        </is>
      </c>
    </row>
    <row r="5710">
      <c r="A5710" s="5">
        <f>HYPERLINK("https://finance.yahoo.com/quote/RAFX","RAFX")</f>
        <v/>
      </c>
      <c r="B5710" t="inlineStr">
        <is>
          <t>Rafex Gold Corp.</t>
        </is>
      </c>
      <c r="C5710" t="inlineStr">
        <is>
          <t>OTC</t>
        </is>
      </c>
      <c r="D5710" t="n">
        <v>2152921</v>
      </c>
      <c r="E5710" t="inlineStr">
        <is>
          <t>SEC</t>
        </is>
      </c>
    </row>
    <row r="5711">
      <c r="A5711" s="5">
        <f>HYPERLINK("https://finance.yahoo.com/quote/DQWS","DQWS")</f>
        <v/>
      </c>
      <c r="B5711" t="inlineStr">
        <is>
          <t>DSwiss Inc</t>
        </is>
      </c>
      <c r="C5711" t="inlineStr">
        <is>
          <t>OTC</t>
        </is>
      </c>
      <c r="D5711" t="n">
        <v>1652561</v>
      </c>
      <c r="E5711" t="inlineStr">
        <is>
          <t>SEC</t>
        </is>
      </c>
    </row>
    <row r="5712">
      <c r="A5712" s="5">
        <f>HYPERLINK("https://finance.yahoo.com/quote/AAUAF","AAUAF")</f>
        <v/>
      </c>
      <c r="B5712" t="inlineStr">
        <is>
          <t>ALMADEN MINERALS LTD</t>
        </is>
      </c>
      <c r="C5712" t="inlineStr">
        <is>
          <t>OTC</t>
        </is>
      </c>
      <c r="D5712" t="n">
        <v>1015647</v>
      </c>
      <c r="E5712" t="inlineStr">
        <is>
          <t>SEC</t>
        </is>
      </c>
    </row>
    <row r="5713">
      <c r="A5713" s="5">
        <f>HYPERLINK("https://finance.yahoo.com/quote/ARKR","ARKR")</f>
        <v/>
      </c>
      <c r="B5713" t="inlineStr">
        <is>
          <t>ARK RESTAURANTS CORP</t>
        </is>
      </c>
      <c r="C5713" t="inlineStr">
        <is>
          <t>Nasdaq</t>
        </is>
      </c>
      <c r="D5713" t="n">
        <v>779544</v>
      </c>
      <c r="E5713" t="inlineStr">
        <is>
          <t>SEC</t>
        </is>
      </c>
    </row>
    <row r="5714">
      <c r="A5714" s="5">
        <f>HYPERLINK("https://finance.yahoo.com/quote/GTHP","GTHP")</f>
        <v/>
      </c>
      <c r="B5714" t="inlineStr">
        <is>
          <t>GUIDED THERAPEUTICS INC</t>
        </is>
      </c>
      <c r="C5714" t="inlineStr">
        <is>
          <t>OTC</t>
        </is>
      </c>
      <c r="D5714" t="n">
        <v>924515</v>
      </c>
      <c r="E5714" t="inlineStr">
        <is>
          <t>SEC</t>
        </is>
      </c>
    </row>
    <row r="5715">
      <c r="A5715" s="5">
        <f>HYPERLINK("https://finance.yahoo.com/quote/RDAC","RDAC")</f>
        <v/>
      </c>
      <c r="B5715" t="inlineStr">
        <is>
          <t>Rising Dragon Acquisition Corp.</t>
        </is>
      </c>
      <c r="C5715" t="inlineStr">
        <is>
          <t>Nasdaq</t>
        </is>
      </c>
      <c r="D5715" t="n">
        <v>2018145</v>
      </c>
      <c r="E5715" t="inlineStr">
        <is>
          <t>SEC</t>
        </is>
      </c>
    </row>
    <row r="5716">
      <c r="A5716" s="5">
        <f>HYPERLINK("https://finance.yahoo.com/quote/AZIO","AZIO")</f>
        <v/>
      </c>
      <c r="B5716" t="inlineStr">
        <is>
          <t>AZIO AI HOLDINGS, INC.</t>
        </is>
      </c>
      <c r="C5716" t="inlineStr">
        <is>
          <t>Nasdaq</t>
        </is>
      </c>
      <c r="D5716" t="n">
        <v>1563568</v>
      </c>
      <c r="E5716" t="inlineStr">
        <is>
          <t>SEC</t>
        </is>
      </c>
    </row>
    <row r="5717">
      <c r="A5717" s="5">
        <f>HYPERLINK("https://finance.yahoo.com/quote/MRKR","MRKR")</f>
        <v/>
      </c>
      <c r="B5717" t="inlineStr">
        <is>
          <t>Marker Therapeutics, Inc.</t>
        </is>
      </c>
      <c r="C5717" t="inlineStr">
        <is>
          <t>Nasdaq</t>
        </is>
      </c>
      <c r="D5717" t="n">
        <v>1094038</v>
      </c>
      <c r="E5717" t="inlineStr">
        <is>
          <t>SEC</t>
        </is>
      </c>
    </row>
    <row r="5718">
      <c r="A5718" s="5">
        <f>HYPERLINK("https://finance.yahoo.com/quote/LEDS","LEDS")</f>
        <v/>
      </c>
      <c r="B5718" t="inlineStr">
        <is>
          <t>SemiLEDs Corp</t>
        </is>
      </c>
      <c r="C5718" t="inlineStr">
        <is>
          <t>Nasdaq</t>
        </is>
      </c>
      <c r="D5718" t="n">
        <v>1333822</v>
      </c>
      <c r="E5718" t="inlineStr">
        <is>
          <t>SEC</t>
        </is>
      </c>
    </row>
    <row r="5719">
      <c r="A5719" s="5">
        <f>HYPERLINK("https://finance.yahoo.com/quote/NALG","NALG")</f>
        <v/>
      </c>
      <c r="B5719" t="inlineStr">
        <is>
          <t>North America Lithium &amp; Gold Corp</t>
        </is>
      </c>
      <c r="C5719" t="inlineStr">
        <is>
          <t>OTC</t>
        </is>
      </c>
      <c r="D5719" t="n">
        <v>1059689</v>
      </c>
      <c r="E5719" t="inlineStr">
        <is>
          <t>SEC</t>
        </is>
      </c>
    </row>
    <row r="5720">
      <c r="A5720" s="5">
        <f>HYPERLINK("https://finance.yahoo.com/quote/MTEX","MTEX")</f>
        <v/>
      </c>
      <c r="B5720" t="inlineStr">
        <is>
          <t>MANNATECH INC</t>
        </is>
      </c>
      <c r="C5720" t="inlineStr">
        <is>
          <t>Nasdaq</t>
        </is>
      </c>
      <c r="D5720" t="n">
        <v>1056358</v>
      </c>
      <c r="E5720" t="inlineStr">
        <is>
          <t>SEC</t>
        </is>
      </c>
    </row>
    <row r="5721">
      <c r="A5721" s="5">
        <f>HYPERLINK("https://finance.yahoo.com/quote/MAPPF","MAPPF")</f>
        <v/>
      </c>
      <c r="B5721" t="inlineStr">
        <is>
          <t>PROSTAR HOLDINGS INC. /BC</t>
        </is>
      </c>
      <c r="C5721" t="inlineStr">
        <is>
          <t>OTC</t>
        </is>
      </c>
      <c r="D5721" t="n">
        <v>1493130</v>
      </c>
      <c r="E5721" t="inlineStr">
        <is>
          <t>SEC</t>
        </is>
      </c>
    </row>
    <row r="5722">
      <c r="A5722" s="5">
        <f>HYPERLINK("https://finance.yahoo.com/quote/CCHH","CCHH")</f>
        <v/>
      </c>
      <c r="B5722" t="inlineStr">
        <is>
          <t>CCH Holdings Ltd</t>
        </is>
      </c>
      <c r="C5722" t="inlineStr">
        <is>
          <t>Nasdaq</t>
        </is>
      </c>
      <c r="D5722" t="n">
        <v>2074123</v>
      </c>
      <c r="E5722" t="inlineStr">
        <is>
          <t>SEC</t>
        </is>
      </c>
    </row>
    <row r="5723">
      <c r="A5723" s="5">
        <f>HYPERLINK("https://finance.yahoo.com/quote/ATYR","ATYR")</f>
        <v/>
      </c>
      <c r="B5723" t="inlineStr">
        <is>
          <t>aTYR PHARMA INC</t>
        </is>
      </c>
      <c r="C5723" t="inlineStr">
        <is>
          <t>Nasdaq</t>
        </is>
      </c>
      <c r="D5723" t="n">
        <v>1339970</v>
      </c>
      <c r="E5723" t="inlineStr">
        <is>
          <t>SEC</t>
        </is>
      </c>
    </row>
    <row r="5724">
      <c r="A5724" s="5">
        <f>HYPERLINK("https://finance.yahoo.com/quote/DYAI","DYAI")</f>
        <v/>
      </c>
      <c r="B5724" t="inlineStr">
        <is>
          <t>DYADIC INTERNATIONAL INC</t>
        </is>
      </c>
      <c r="C5724" t="inlineStr">
        <is>
          <t>Nasdaq</t>
        </is>
      </c>
      <c r="D5724" t="n">
        <v>1213809</v>
      </c>
      <c r="E5724" t="inlineStr">
        <is>
          <t>SEC</t>
        </is>
      </c>
    </row>
    <row r="5725">
      <c r="A5725" s="5">
        <f>HYPERLINK("https://finance.yahoo.com/quote/GTEC","GTEC")</f>
        <v/>
      </c>
      <c r="B5725" t="inlineStr">
        <is>
          <t>Greenland Technologies Holding Corp.</t>
        </is>
      </c>
      <c r="C5725" t="inlineStr">
        <is>
          <t>Nasdaq</t>
        </is>
      </c>
      <c r="D5725" t="n">
        <v>1735041</v>
      </c>
      <c r="E5725" t="inlineStr">
        <is>
          <t>SEC</t>
        </is>
      </c>
    </row>
    <row r="5726">
      <c r="A5726" s="5">
        <f>HYPERLINK("https://finance.yahoo.com/quote/NEWH","NEWH")</f>
        <v/>
      </c>
      <c r="B5726" t="inlineStr">
        <is>
          <t>NewHydrogen, Inc.</t>
        </is>
      </c>
      <c r="C5726" t="inlineStr">
        <is>
          <t>OTC</t>
        </is>
      </c>
      <c r="D5726" t="n">
        <v>1371128</v>
      </c>
      <c r="E5726" t="inlineStr">
        <is>
          <t>SEC</t>
        </is>
      </c>
    </row>
    <row r="5727">
      <c r="A5727" s="5">
        <f>HYPERLINK("https://finance.yahoo.com/quote/WNRS","WNRS")</f>
        <v/>
      </c>
      <c r="B5727" t="inlineStr">
        <is>
          <t>WINNERS, INC.</t>
        </is>
      </c>
      <c r="C5727" t="inlineStr">
        <is>
          <t>OTC</t>
        </is>
      </c>
      <c r="D5727" t="n">
        <v>1587603</v>
      </c>
      <c r="E5727" t="inlineStr">
        <is>
          <t>SEC</t>
        </is>
      </c>
    </row>
    <row r="5728">
      <c r="A5728" s="5">
        <f>HYPERLINK("https://finance.yahoo.com/quote/DSY","DSY")</f>
        <v/>
      </c>
      <c r="B5728" t="inlineStr">
        <is>
          <t>Big Tree Cloud Holdings Ltd</t>
        </is>
      </c>
      <c r="C5728" t="inlineStr">
        <is>
          <t>Nasdaq</t>
        </is>
      </c>
      <c r="D5728" t="n">
        <v>1999297</v>
      </c>
      <c r="E5728" t="inlineStr">
        <is>
          <t>SEC</t>
        </is>
      </c>
    </row>
    <row r="5729">
      <c r="A5729" s="5">
        <f>HYPERLINK("https://finance.yahoo.com/quote/UPYY","UPYY")</f>
        <v/>
      </c>
      <c r="B5729" t="inlineStr">
        <is>
          <t>UPAY</t>
        </is>
      </c>
      <c r="C5729" t="inlineStr">
        <is>
          <t>OTC</t>
        </is>
      </c>
      <c r="D5729" t="n">
        <v>1677897</v>
      </c>
      <c r="E5729" t="inlineStr">
        <is>
          <t>SEC</t>
        </is>
      </c>
    </row>
    <row r="5730">
      <c r="A5730" s="5">
        <f>HYPERLINK("https://finance.yahoo.com/quote/BBGI","BBGI")</f>
        <v/>
      </c>
      <c r="B5730" t="inlineStr">
        <is>
          <t>BEASLEY BROADCAST GROUP INC</t>
        </is>
      </c>
      <c r="C5730" t="inlineStr">
        <is>
          <t>Nasdaq</t>
        </is>
      </c>
      <c r="D5730" t="n">
        <v>1099160</v>
      </c>
      <c r="E5730" t="inlineStr">
        <is>
          <t>SEC</t>
        </is>
      </c>
    </row>
    <row r="5731">
      <c r="A5731" s="5">
        <f>HYPERLINK("https://finance.yahoo.com/quote/CCOOF","CCOOF")</f>
        <v/>
      </c>
      <c r="B5731" t="inlineStr">
        <is>
          <t>CORE SILVER CORP.</t>
        </is>
      </c>
      <c r="C5731" t="inlineStr">
        <is>
          <t>OTC</t>
        </is>
      </c>
      <c r="D5731" t="n">
        <v>1853599</v>
      </c>
      <c r="E5731" t="inlineStr">
        <is>
          <t>SEC</t>
        </is>
      </c>
    </row>
    <row r="5732">
      <c r="A5732" s="5">
        <f>HYPERLINK("https://finance.yahoo.com/quote/LRE","LRE")</f>
        <v/>
      </c>
      <c r="B5732" t="inlineStr">
        <is>
          <t>LEAD REAL ESTATE CO., LTD</t>
        </is>
      </c>
      <c r="C5732" t="inlineStr">
        <is>
          <t>Nasdaq</t>
        </is>
      </c>
      <c r="D5732" t="n">
        <v>1888980</v>
      </c>
      <c r="E5732" t="inlineStr">
        <is>
          <t>SEC</t>
        </is>
      </c>
    </row>
    <row r="5733">
      <c r="A5733" s="5">
        <f>HYPERLINK("https://finance.yahoo.com/quote/YTFD","YTFD")</f>
        <v/>
      </c>
      <c r="B5733" t="inlineStr">
        <is>
          <t>Yale Transaction Finders, Inc.</t>
        </is>
      </c>
      <c r="C5733" t="inlineStr">
        <is>
          <t>OTC</t>
        </is>
      </c>
      <c r="D5733" t="n">
        <v>1311673</v>
      </c>
      <c r="E5733" t="inlineStr">
        <is>
          <t>SEC</t>
        </is>
      </c>
    </row>
    <row r="5734">
      <c r="A5734" s="5">
        <f>HYPERLINK("https://finance.yahoo.com/quote/VIDA","VIDA")</f>
        <v/>
      </c>
      <c r="B5734" t="inlineStr">
        <is>
          <t>VIDA Global Inc.</t>
        </is>
      </c>
      <c r="C5734" t="inlineStr">
        <is>
          <t>NYSE</t>
        </is>
      </c>
      <c r="D5734" t="n">
        <v>1973062</v>
      </c>
      <c r="E5734" t="inlineStr">
        <is>
          <t>SEC</t>
        </is>
      </c>
    </row>
    <row r="5735">
      <c r="A5735" s="5">
        <f>HYPERLINK("https://finance.yahoo.com/quote/ARAY","ARAY")</f>
        <v/>
      </c>
      <c r="B5735" t="inlineStr">
        <is>
          <t>ACCURAY INC</t>
        </is>
      </c>
      <c r="C5735" t="inlineStr">
        <is>
          <t>Nasdaq</t>
        </is>
      </c>
      <c r="D5735" t="n">
        <v>1138723</v>
      </c>
      <c r="E5735" t="inlineStr">
        <is>
          <t>SEC</t>
        </is>
      </c>
    </row>
    <row r="5736">
      <c r="A5736" s="5">
        <f>HYPERLINK("https://finance.yahoo.com/quote/CLIR","CLIR")</f>
        <v/>
      </c>
      <c r="B5736" t="inlineStr">
        <is>
          <t>ClearSign Technologies Corp</t>
        </is>
      </c>
      <c r="C5736" t="inlineStr">
        <is>
          <t>Nasdaq</t>
        </is>
      </c>
      <c r="D5736" t="n">
        <v>1434524</v>
      </c>
      <c r="E5736" t="inlineStr">
        <is>
          <t>SEC</t>
        </is>
      </c>
    </row>
    <row r="5737">
      <c r="A5737" s="5">
        <f>HYPERLINK("https://finance.yahoo.com/quote/JL","JL")</f>
        <v/>
      </c>
      <c r="B5737" t="inlineStr">
        <is>
          <t>J-Long Group Ltd</t>
        </is>
      </c>
      <c r="C5737" t="inlineStr">
        <is>
          <t>Nasdaq</t>
        </is>
      </c>
      <c r="D5737" t="n">
        <v>1948436</v>
      </c>
      <c r="E5737" t="inlineStr">
        <is>
          <t>SEC</t>
        </is>
      </c>
    </row>
    <row r="5738">
      <c r="A5738" s="5">
        <f>HYPERLINK("https://finance.yahoo.com/quote/TWOSF","TWOSF")</f>
        <v/>
      </c>
      <c r="B5738" t="inlineStr">
        <is>
          <t>T2 Metals Corp.</t>
        </is>
      </c>
      <c r="C5738" t="inlineStr">
        <is>
          <t>OTC</t>
        </is>
      </c>
      <c r="D5738" t="n">
        <v>877028</v>
      </c>
      <c r="E5738" t="inlineStr">
        <is>
          <t>SEC</t>
        </is>
      </c>
    </row>
    <row r="5739">
      <c r="A5739" s="5">
        <f>HYPERLINK("https://finance.yahoo.com/quote/HSCS","HSCS")</f>
        <v/>
      </c>
      <c r="B5739" t="inlineStr">
        <is>
          <t>HeartSciences Inc.</t>
        </is>
      </c>
      <c r="C5739" t="inlineStr">
        <is>
          <t>Nasdaq</t>
        </is>
      </c>
      <c r="D5739" t="n">
        <v>1468492</v>
      </c>
      <c r="E5739" t="inlineStr">
        <is>
          <t>SEC</t>
        </is>
      </c>
    </row>
    <row r="5740">
      <c r="A5740" s="5">
        <f>HYPERLINK("https://finance.yahoo.com/quote/CTRM","CTRM")</f>
        <v/>
      </c>
      <c r="B5740" t="inlineStr">
        <is>
          <t>Castor Maritime Inc.</t>
        </is>
      </c>
      <c r="C5740" t="inlineStr">
        <is>
          <t>Nasdaq</t>
        </is>
      </c>
      <c r="D5740" t="n">
        <v>1720161</v>
      </c>
      <c r="E5740" t="inlineStr">
        <is>
          <t>SEC</t>
        </is>
      </c>
    </row>
    <row r="5741">
      <c r="A5741" s="5">
        <f>HYPERLINK("https://finance.yahoo.com/quote/BHSIF","BHSIF")</f>
        <v/>
      </c>
      <c r="B5741" t="inlineStr">
        <is>
          <t>BAYHORSE SILVER INC.</t>
        </is>
      </c>
      <c r="C5741" t="inlineStr">
        <is>
          <t>OTC</t>
        </is>
      </c>
      <c r="D5741" t="n">
        <v>1432588</v>
      </c>
      <c r="E5741" t="inlineStr">
        <is>
          <t>SEC</t>
        </is>
      </c>
    </row>
    <row r="5742">
      <c r="A5742" s="5">
        <f>HYPERLINK("https://finance.yahoo.com/quote/PMEC","PMEC")</f>
        <v/>
      </c>
      <c r="B5742" t="inlineStr">
        <is>
          <t>Primech Holdings Ltd</t>
        </is>
      </c>
      <c r="C5742" t="inlineStr">
        <is>
          <t>Nasdaq</t>
        </is>
      </c>
      <c r="D5742" t="n">
        <v>1891944</v>
      </c>
      <c r="E5742" t="inlineStr">
        <is>
          <t>SEC</t>
        </is>
      </c>
    </row>
    <row r="5743">
      <c r="A5743" s="5">
        <f>HYPERLINK("https://finance.yahoo.com/quote/LGPS","LGPS")</f>
        <v/>
      </c>
      <c r="B5743" t="inlineStr">
        <is>
          <t>LOGPROSTYLE INC.</t>
        </is>
      </c>
      <c r="C5743" t="inlineStr">
        <is>
          <t>NYSE</t>
        </is>
      </c>
      <c r="D5743" t="n">
        <v>2040290</v>
      </c>
      <c r="E5743" t="inlineStr">
        <is>
          <t>SEC</t>
        </is>
      </c>
    </row>
    <row r="5744">
      <c r="A5744" s="5">
        <f>HYPERLINK("https://finance.yahoo.com/quote/FOFO","FOFO")</f>
        <v/>
      </c>
      <c r="B5744" t="inlineStr">
        <is>
          <t>Hang Feng Technology Innovation Co., Ltd.</t>
        </is>
      </c>
      <c r="C5744" t="inlineStr">
        <is>
          <t>Nasdaq</t>
        </is>
      </c>
      <c r="D5744" t="n">
        <v>2060083</v>
      </c>
      <c r="E5744" t="inlineStr">
        <is>
          <t>SEC</t>
        </is>
      </c>
    </row>
    <row r="5745">
      <c r="A5745" s="5">
        <f>HYPERLINK("https://finance.yahoo.com/quote/LDDD","LDDD")</f>
        <v/>
      </c>
      <c r="B5745" t="inlineStr">
        <is>
          <t>Longduoduo Co Ltd</t>
        </is>
      </c>
      <c r="C5745" t="inlineStr">
        <is>
          <t>OTC</t>
        </is>
      </c>
      <c r="D5745" t="n">
        <v>1892316</v>
      </c>
      <c r="E5745" t="inlineStr">
        <is>
          <t>SEC</t>
        </is>
      </c>
    </row>
    <row r="5746">
      <c r="A5746" s="5">
        <f>HYPERLINK("https://finance.yahoo.com/quote/RLBY","RLBY")</f>
        <v/>
      </c>
      <c r="B5746" t="inlineStr">
        <is>
          <t>RELIABILITY INC</t>
        </is>
      </c>
      <c r="C5746" t="inlineStr">
        <is>
          <t>OTC</t>
        </is>
      </c>
      <c r="D5746" t="n">
        <v>34285</v>
      </c>
      <c r="E5746" t="inlineStr">
        <is>
          <t>SEC</t>
        </is>
      </c>
    </row>
    <row r="5747">
      <c r="A5747" s="5">
        <f>HYPERLINK("https://finance.yahoo.com/quote/IDAI","IDAI")</f>
        <v/>
      </c>
      <c r="B5747" t="inlineStr">
        <is>
          <t>T Stamp Inc</t>
        </is>
      </c>
      <c r="C5747" t="inlineStr">
        <is>
          <t>Nasdaq</t>
        </is>
      </c>
      <c r="D5747" t="n">
        <v>1718939</v>
      </c>
      <c r="E5747" t="inlineStr">
        <is>
          <t>SEC</t>
        </is>
      </c>
    </row>
    <row r="5748">
      <c r="A5748" s="5">
        <f>HYPERLINK("https://finance.yahoo.com/quote/ARTW","ARTW")</f>
        <v/>
      </c>
      <c r="B5748" t="inlineStr">
        <is>
          <t>ARTS WAY MANUFACTURING CO INC</t>
        </is>
      </c>
      <c r="C5748" t="inlineStr">
        <is>
          <t>Nasdaq</t>
        </is>
      </c>
      <c r="D5748" t="n">
        <v>7623</v>
      </c>
      <c r="E5748" t="inlineStr">
        <is>
          <t>SEC</t>
        </is>
      </c>
    </row>
    <row r="5749">
      <c r="A5749" s="5">
        <f>HYPERLINK("https://finance.yahoo.com/quote/SKFG","SKFG")</f>
        <v/>
      </c>
      <c r="B5749" t="inlineStr">
        <is>
          <t>Stark Focus Group, Inc.</t>
        </is>
      </c>
      <c r="C5749" t="inlineStr">
        <is>
          <t>OTC</t>
        </is>
      </c>
      <c r="D5749" t="n">
        <v>1794942</v>
      </c>
      <c r="E5749" t="inlineStr">
        <is>
          <t>SEC</t>
        </is>
      </c>
    </row>
    <row r="5750">
      <c r="A5750" s="5">
        <f>HYPERLINK("https://finance.yahoo.com/quote/VUECF","VUECF")</f>
        <v/>
      </c>
      <c r="B5750" t="inlineStr">
        <is>
          <t>Verdera Energy Corp.</t>
        </is>
      </c>
      <c r="C5750" t="inlineStr">
        <is>
          <t>OTC</t>
        </is>
      </c>
      <c r="D5750" t="n">
        <v>2111453</v>
      </c>
      <c r="E5750" t="inlineStr">
        <is>
          <t>SEC</t>
        </is>
      </c>
    </row>
    <row r="5751">
      <c r="A5751" s="5">
        <f>HYPERLINK("https://finance.yahoo.com/quote/ACH","ACH")</f>
        <v/>
      </c>
      <c r="B5751" t="inlineStr">
        <is>
          <t>ACCENDRA HEALTH INC/VA/</t>
        </is>
      </c>
      <c r="C5751" t="inlineStr">
        <is>
          <t>NYSE</t>
        </is>
      </c>
      <c r="D5751" t="n">
        <v>75252</v>
      </c>
      <c r="E5751" t="inlineStr">
        <is>
          <t>SEC</t>
        </is>
      </c>
    </row>
    <row r="5752">
      <c r="A5752" s="5">
        <f>HYPERLINK("https://finance.yahoo.com/quote/VEEA","VEEA")</f>
        <v/>
      </c>
      <c r="B5752" t="inlineStr">
        <is>
          <t>VEEA INC.</t>
        </is>
      </c>
      <c r="C5752" t="inlineStr">
        <is>
          <t>Nasdaq</t>
        </is>
      </c>
      <c r="D5752" t="n">
        <v>1840317</v>
      </c>
      <c r="E5752" t="inlineStr">
        <is>
          <t>SEC</t>
        </is>
      </c>
    </row>
    <row r="5753">
      <c r="A5753" s="5">
        <f>HYPERLINK("https://finance.yahoo.com/quote/FOXX","FOXX")</f>
        <v/>
      </c>
      <c r="B5753" t="inlineStr">
        <is>
          <t>Foxx Development Holdings Inc.</t>
        </is>
      </c>
      <c r="C5753" t="inlineStr">
        <is>
          <t>Nasdaq</t>
        </is>
      </c>
      <c r="D5753" t="n">
        <v>2013807</v>
      </c>
      <c r="E5753" t="inlineStr">
        <is>
          <t>SEC</t>
        </is>
      </c>
    </row>
    <row r="5754">
      <c r="A5754" s="5">
        <f>HYPERLINK("https://finance.yahoo.com/quote/PRZO","PRZO")</f>
        <v/>
      </c>
      <c r="B5754" t="inlineStr">
        <is>
          <t>ParaZero Technologies Ltd.</t>
        </is>
      </c>
      <c r="C5754" t="inlineStr">
        <is>
          <t>Nasdaq</t>
        </is>
      </c>
      <c r="D5754" t="n">
        <v>1916241</v>
      </c>
      <c r="E5754" t="inlineStr">
        <is>
          <t>SEC</t>
        </is>
      </c>
    </row>
    <row r="5755">
      <c r="A5755" s="5">
        <f>HYPERLINK("https://finance.yahoo.com/quote/GRLMF","GRLMF")</f>
        <v/>
      </c>
      <c r="B5755" t="inlineStr">
        <is>
          <t>GreenLight Metals Inc.</t>
        </is>
      </c>
      <c r="C5755" t="inlineStr">
        <is>
          <t>OTC</t>
        </is>
      </c>
      <c r="D5755" t="n">
        <v>2055938</v>
      </c>
      <c r="E5755" t="inlineStr">
        <is>
          <t>SEC</t>
        </is>
      </c>
    </row>
    <row r="5756">
      <c r="A5756" s="5">
        <f>HYPERLINK("https://finance.yahoo.com/quote/REFR","REFR")</f>
        <v/>
      </c>
      <c r="B5756" t="inlineStr">
        <is>
          <t>RESEARCH FRONTIERS INC</t>
        </is>
      </c>
      <c r="C5756" t="inlineStr">
        <is>
          <t>Nasdaq</t>
        </is>
      </c>
      <c r="D5756" t="n">
        <v>793524</v>
      </c>
      <c r="E5756" t="inlineStr">
        <is>
          <t>SEC</t>
        </is>
      </c>
    </row>
    <row r="5757">
      <c r="A5757" s="5">
        <f>HYPERLINK("https://finance.yahoo.com/quote/BIOX","BIOX")</f>
        <v/>
      </c>
      <c r="B5757" t="inlineStr">
        <is>
          <t>Bioceres Crop Solutions Corp.</t>
        </is>
      </c>
      <c r="C5757" t="inlineStr">
        <is>
          <t>Nasdaq</t>
        </is>
      </c>
      <c r="D5757" t="n">
        <v>1769484</v>
      </c>
      <c r="E5757" t="inlineStr">
        <is>
          <t>SEC</t>
        </is>
      </c>
    </row>
    <row r="5758">
      <c r="A5758" s="5">
        <f>HYPERLINK("https://finance.yahoo.com/quote/EDTK","EDTK")</f>
        <v/>
      </c>
      <c r="B5758" t="inlineStr">
        <is>
          <t>Skillful Craftsman Education Technology Ltd</t>
        </is>
      </c>
      <c r="C5758" t="inlineStr">
        <is>
          <t>Nasdaq</t>
        </is>
      </c>
      <c r="D5758" t="n">
        <v>1782309</v>
      </c>
      <c r="E5758" t="inlineStr">
        <is>
          <t>SEC</t>
        </is>
      </c>
    </row>
    <row r="5759">
      <c r="A5759" s="5">
        <f>HYPERLINK("https://finance.yahoo.com/quote/HYEX","HYEX")</f>
        <v/>
      </c>
      <c r="B5759" t="inlineStr">
        <is>
          <t>HEALTHY EXTRACTS INC.</t>
        </is>
      </c>
      <c r="C5759" t="inlineStr">
        <is>
          <t>OTC</t>
        </is>
      </c>
      <c r="D5759" t="n">
        <v>1630176</v>
      </c>
      <c r="E5759" t="inlineStr">
        <is>
          <t>SEC</t>
        </is>
      </c>
    </row>
    <row r="5760">
      <c r="A5760" s="5">
        <f>HYPERLINK("https://finance.yahoo.com/quote/RADX","RADX")</f>
        <v/>
      </c>
      <c r="B5760" t="inlineStr">
        <is>
          <t>Radiopharm Theranostics Ltd</t>
        </is>
      </c>
      <c r="C5760" t="inlineStr">
        <is>
          <t>Nasdaq</t>
        </is>
      </c>
      <c r="D5760" t="n">
        <v>1949257</v>
      </c>
      <c r="E5760" t="inlineStr">
        <is>
          <t>SEC</t>
        </is>
      </c>
    </row>
    <row r="5761">
      <c r="A5761" s="5">
        <f>HYPERLINK("https://finance.yahoo.com/quote/MGIH","MGIH")</f>
        <v/>
      </c>
      <c r="B5761" t="inlineStr">
        <is>
          <t>Millennium Group International Holdings Ltd</t>
        </is>
      </c>
      <c r="C5761" t="inlineStr">
        <is>
          <t>Nasdaq</t>
        </is>
      </c>
      <c r="D5761" t="n">
        <v>1903995</v>
      </c>
      <c r="E5761" t="inlineStr">
        <is>
          <t>SEC</t>
        </is>
      </c>
    </row>
    <row r="5762">
      <c r="A5762" s="5">
        <f>HYPERLINK("https://finance.yahoo.com/quote/TLIH","TLIH")</f>
        <v/>
      </c>
      <c r="B5762" t="inlineStr">
        <is>
          <t>Ten-League International Holdings Ltd</t>
        </is>
      </c>
      <c r="C5762" t="inlineStr">
        <is>
          <t>Nasdaq</t>
        </is>
      </c>
      <c r="D5762" t="n">
        <v>1982012</v>
      </c>
      <c r="E5762" t="inlineStr">
        <is>
          <t>SEC</t>
        </is>
      </c>
    </row>
    <row r="5763">
      <c r="A5763" s="5">
        <f>HYPERLINK("https://finance.yahoo.com/quote/TTMSF","TTMSF")</f>
        <v/>
      </c>
      <c r="B5763" t="inlineStr">
        <is>
          <t>Titiminas Silver Inc.</t>
        </is>
      </c>
      <c r="C5763" t="inlineStr">
        <is>
          <t>OTC</t>
        </is>
      </c>
      <c r="D5763" t="n">
        <v>2132461</v>
      </c>
      <c r="E5763" t="inlineStr">
        <is>
          <t>SEC</t>
        </is>
      </c>
    </row>
    <row r="5764">
      <c r="A5764" s="5">
        <f>HYPERLINK("https://finance.yahoo.com/quote/IRVRF","IRVRF")</f>
        <v/>
      </c>
      <c r="B5764" t="inlineStr">
        <is>
          <t>Irving Resources Inc.</t>
        </is>
      </c>
      <c r="C5764" t="inlineStr">
        <is>
          <t>OTC</t>
        </is>
      </c>
      <c r="D5764" t="n">
        <v>1666782</v>
      </c>
      <c r="E5764" t="inlineStr">
        <is>
          <t>SEC</t>
        </is>
      </c>
    </row>
    <row r="5765">
      <c r="A5765" s="5">
        <f>HYPERLINK("https://finance.yahoo.com/quote/REBN","REBN")</f>
        <v/>
      </c>
      <c r="B5765" t="inlineStr">
        <is>
          <t>Reborn Coffee, Inc.</t>
        </is>
      </c>
      <c r="C5765" t="inlineStr">
        <is>
          <t>Nasdaq</t>
        </is>
      </c>
      <c r="D5765" t="n">
        <v>1707910</v>
      </c>
      <c r="E5765" t="inlineStr">
        <is>
          <t>SEC</t>
        </is>
      </c>
    </row>
    <row r="5766">
      <c r="A5766" s="5">
        <f>HYPERLINK("https://finance.yahoo.com/quote/AIFF","AIFF")</f>
        <v/>
      </c>
      <c r="B5766" t="inlineStr">
        <is>
          <t>FIREFLY NEUROSCIENCE, INC.</t>
        </is>
      </c>
      <c r="C5766" t="inlineStr">
        <is>
          <t>Nasdaq</t>
        </is>
      </c>
      <c r="D5766" t="n">
        <v>803578</v>
      </c>
      <c r="E5766" t="inlineStr">
        <is>
          <t>SEC</t>
        </is>
      </c>
    </row>
    <row r="5767">
      <c r="A5767" s="5">
        <f>HYPERLINK("https://finance.yahoo.com/quote/YAAS","YAAS")</f>
        <v/>
      </c>
      <c r="B5767" t="inlineStr">
        <is>
          <t>Youxin Technology Ltd</t>
        </is>
      </c>
      <c r="C5767" t="inlineStr">
        <is>
          <t>Nasdaq</t>
        </is>
      </c>
      <c r="D5767" t="n">
        <v>1964946</v>
      </c>
      <c r="E5767" t="inlineStr">
        <is>
          <t>SEC</t>
        </is>
      </c>
    </row>
    <row r="5768">
      <c r="A5768" s="5">
        <f>HYPERLINK("https://finance.yahoo.com/quote/GSIW","GSIW")</f>
        <v/>
      </c>
      <c r="B5768" t="inlineStr">
        <is>
          <t>Garden Stage Ltd</t>
        </is>
      </c>
      <c r="C5768" t="inlineStr">
        <is>
          <t>Nasdaq</t>
        </is>
      </c>
      <c r="D5768" t="n">
        <v>1954269</v>
      </c>
      <c r="E5768" t="inlineStr">
        <is>
          <t>SEC</t>
        </is>
      </c>
    </row>
    <row r="5769">
      <c r="A5769" s="5">
        <f>HYPERLINK("https://finance.yahoo.com/quote/PLCKF","PLCKF")</f>
        <v/>
      </c>
      <c r="B5769" t="inlineStr">
        <is>
          <t>Plurilock Security Inc.</t>
        </is>
      </c>
      <c r="C5769" t="inlineStr">
        <is>
          <t>OTC</t>
        </is>
      </c>
      <c r="D5769" t="n">
        <v>1848782</v>
      </c>
      <c r="E5769" t="inlineStr">
        <is>
          <t>SEC</t>
        </is>
      </c>
    </row>
    <row r="5770">
      <c r="A5770" s="5">
        <f>HYPERLINK("https://finance.yahoo.com/quote/QNTM","QNTM")</f>
        <v/>
      </c>
      <c r="B5770" t="inlineStr">
        <is>
          <t>Quantum Biopharma Ltd.</t>
        </is>
      </c>
      <c r="C5770" t="inlineStr">
        <is>
          <t>Nasdaq</t>
        </is>
      </c>
      <c r="D5770" t="n">
        <v>1771885</v>
      </c>
      <c r="E5770" t="inlineStr">
        <is>
          <t>SEC</t>
        </is>
      </c>
    </row>
    <row r="5771">
      <c r="A5771" s="5">
        <f>HYPERLINK("https://finance.yahoo.com/quote/TMDE","TMDE")</f>
        <v/>
      </c>
      <c r="B5771" t="inlineStr">
        <is>
          <t>TMD Energy Ltd</t>
        </is>
      </c>
      <c r="C5771" t="inlineStr">
        <is>
          <t>NYSE</t>
        </is>
      </c>
      <c r="D5771" t="n">
        <v>2009714</v>
      </c>
      <c r="E5771" t="inlineStr">
        <is>
          <t>SEC</t>
        </is>
      </c>
    </row>
    <row r="5772">
      <c r="A5772" s="5">
        <f>HYPERLINK("https://finance.yahoo.com/quote/LPSIF","LPSIF")</f>
        <v/>
      </c>
      <c r="B5772" t="inlineStr">
        <is>
          <t>LEGEND POWER SYSTEMS INC.</t>
        </is>
      </c>
      <c r="C5772" t="inlineStr">
        <is>
          <t>OTC</t>
        </is>
      </c>
      <c r="D5772" t="n">
        <v>1472466</v>
      </c>
      <c r="E5772" t="inlineStr">
        <is>
          <t>SEC</t>
        </is>
      </c>
    </row>
    <row r="5773">
      <c r="A5773" s="5">
        <f>HYPERLINK("https://finance.yahoo.com/quote/NCEL","NCEL")</f>
        <v/>
      </c>
      <c r="B5773" t="inlineStr">
        <is>
          <t>NewcelX Ltd.</t>
        </is>
      </c>
      <c r="C5773" t="inlineStr">
        <is>
          <t>Nasdaq</t>
        </is>
      </c>
      <c r="D5773" t="n">
        <v>1783036</v>
      </c>
      <c r="E5773" t="inlineStr">
        <is>
          <t>SEC</t>
        </is>
      </c>
    </row>
    <row r="5774">
      <c r="A5774" s="5">
        <f>HYPERLINK("https://finance.yahoo.com/quote/DUKR","DUKR")</f>
        <v/>
      </c>
      <c r="B5774" t="inlineStr">
        <is>
          <t>DUKE Robotics Corp.</t>
        </is>
      </c>
      <c r="C5774" t="inlineStr">
        <is>
          <t>Nasdaq</t>
        </is>
      </c>
      <c r="D5774" t="n">
        <v>1638911</v>
      </c>
      <c r="E5774" t="inlineStr">
        <is>
          <t>SEC</t>
        </is>
      </c>
    </row>
    <row r="5775">
      <c r="A5775" s="5">
        <f>HYPERLINK("https://finance.yahoo.com/quote/JYD","JYD")</f>
        <v/>
      </c>
      <c r="B5775" t="inlineStr">
        <is>
          <t>Jayud Global Logistics Ltd</t>
        </is>
      </c>
      <c r="C5775" t="inlineStr">
        <is>
          <t>Nasdaq</t>
        </is>
      </c>
      <c r="D5775" t="n">
        <v>1938186</v>
      </c>
      <c r="E5775" t="inlineStr">
        <is>
          <t>SEC</t>
        </is>
      </c>
    </row>
    <row r="5776">
      <c r="A5776" s="5">
        <f>HYPERLINK("https://finance.yahoo.com/quote/SAGT","SAGT")</f>
        <v/>
      </c>
      <c r="B5776" t="inlineStr">
        <is>
          <t>SAGTEC GLOBAL Ltd</t>
        </is>
      </c>
      <c r="C5776" t="inlineStr">
        <is>
          <t>Nasdaq</t>
        </is>
      </c>
      <c r="D5776" t="n">
        <v>2029138</v>
      </c>
      <c r="E5776" t="inlineStr">
        <is>
          <t>SEC</t>
        </is>
      </c>
    </row>
    <row r="5777">
      <c r="A5777" s="5">
        <f>HYPERLINK("https://finance.yahoo.com/quote/GUTS","GUTS")</f>
        <v/>
      </c>
      <c r="B5777" t="inlineStr">
        <is>
          <t>FRACTYL HEALTH, INC.</t>
        </is>
      </c>
      <c r="C5777" t="inlineStr">
        <is>
          <t>Nasdaq</t>
        </is>
      </c>
      <c r="D5777" t="n">
        <v>1572616</v>
      </c>
      <c r="E5777" t="inlineStr">
        <is>
          <t>SEC</t>
        </is>
      </c>
    </row>
    <row r="5778">
      <c r="A5778" s="5">
        <f>HYPERLINK("https://finance.yahoo.com/quote/FABC","FABC")</f>
        <v/>
      </c>
      <c r="B5778" t="inlineStr">
        <is>
          <t>Fabric.AI, Inc.</t>
        </is>
      </c>
      <c r="C5778" t="inlineStr">
        <is>
          <t>Nasdaq</t>
        </is>
      </c>
      <c r="D5778" t="n">
        <v>1086745</v>
      </c>
      <c r="E5778" t="inlineStr">
        <is>
          <t>SEC</t>
        </is>
      </c>
    </row>
    <row r="5779">
      <c r="A5779" s="5">
        <f>HYPERLINK("https://finance.yahoo.com/quote/BDMD","BDMD")</f>
        <v/>
      </c>
      <c r="B5779" t="inlineStr">
        <is>
          <t>Baird Medical Investment Holdings Ltd</t>
        </is>
      </c>
      <c r="C5779" t="inlineStr">
        <is>
          <t>Nasdaq</t>
        </is>
      </c>
      <c r="D5779" t="n">
        <v>1982444</v>
      </c>
      <c r="E5779" t="inlineStr">
        <is>
          <t>SEC</t>
        </is>
      </c>
    </row>
    <row r="5780">
      <c r="A5780" s="5">
        <f>HYPERLINK("https://finance.yahoo.com/quote/YMT","YMT")</f>
        <v/>
      </c>
      <c r="B5780" t="inlineStr">
        <is>
          <t>Yimutian Inc.</t>
        </is>
      </c>
      <c r="C5780" t="inlineStr">
        <is>
          <t>Nasdaq</t>
        </is>
      </c>
      <c r="D5780" t="n">
        <v>1991605</v>
      </c>
      <c r="E5780" t="inlineStr">
        <is>
          <t>SEC</t>
        </is>
      </c>
    </row>
    <row r="5781">
      <c r="A5781" s="5">
        <f>HYPERLINK("https://finance.yahoo.com/quote/FNFI","FNFI")</f>
        <v/>
      </c>
      <c r="B5781" t="inlineStr">
        <is>
          <t>FIRST NILES FINANCIAL INC</t>
        </is>
      </c>
      <c r="C5781" t="inlineStr">
        <is>
          <t>OTC</t>
        </is>
      </c>
      <c r="D5781" t="n">
        <v>1065823</v>
      </c>
      <c r="E5781" t="inlineStr">
        <is>
          <t>SEC</t>
        </is>
      </c>
    </row>
    <row r="5782">
      <c r="A5782" s="5">
        <f>HYPERLINK("https://finance.yahoo.com/quote/INTZ","INTZ")</f>
        <v/>
      </c>
      <c r="B5782" t="inlineStr">
        <is>
          <t>INTRUSION INC</t>
        </is>
      </c>
      <c r="C5782" t="inlineStr">
        <is>
          <t>Nasdaq</t>
        </is>
      </c>
      <c r="D5782" t="n">
        <v>736012</v>
      </c>
      <c r="E5782" t="inlineStr">
        <is>
          <t>SEC</t>
        </is>
      </c>
    </row>
    <row r="5783">
      <c r="A5783" s="5">
        <f>HYPERLINK("https://finance.yahoo.com/quote/VNTG","VNTG")</f>
        <v/>
      </c>
      <c r="B5783" t="inlineStr">
        <is>
          <t>Vantage Corp (Singapore)</t>
        </is>
      </c>
      <c r="C5783" t="inlineStr">
        <is>
          <t>NYSE</t>
        </is>
      </c>
      <c r="D5783" t="n">
        <v>2027160</v>
      </c>
      <c r="E5783" t="inlineStr">
        <is>
          <t>SEC</t>
        </is>
      </c>
    </row>
    <row r="5784">
      <c r="A5784" s="5">
        <f>HYPERLINK("https://finance.yahoo.com/quote/NRIS","NRIS")</f>
        <v/>
      </c>
      <c r="B5784" t="inlineStr">
        <is>
          <t>Norris Industries, Inc.</t>
        </is>
      </c>
      <c r="C5784" t="inlineStr">
        <is>
          <t>OTC</t>
        </is>
      </c>
      <c r="D5784" t="n">
        <v>1603793</v>
      </c>
      <c r="E5784" t="inlineStr">
        <is>
          <t>SEC</t>
        </is>
      </c>
    </row>
    <row r="5785">
      <c r="A5785" s="5">
        <f>HYPERLINK("https://finance.yahoo.com/quote/HTCO","HTCO")</f>
        <v/>
      </c>
      <c r="B5785" t="inlineStr">
        <is>
          <t>High-Trend International Group</t>
        </is>
      </c>
      <c r="C5785" t="inlineStr">
        <is>
          <t>Nasdaq</t>
        </is>
      </c>
      <c r="D5785" t="n">
        <v>1928948</v>
      </c>
      <c r="E5785" t="inlineStr">
        <is>
          <t>SEC</t>
        </is>
      </c>
    </row>
    <row r="5786">
      <c r="A5786" s="5">
        <f>HYPERLINK("https://finance.yahoo.com/quote/BGAVF","BGAVF")</f>
        <v/>
      </c>
      <c r="B5786" t="inlineStr">
        <is>
          <t>Bravada Gold Corp</t>
        </is>
      </c>
      <c r="C5786" t="inlineStr">
        <is>
          <t>OTC</t>
        </is>
      </c>
      <c r="D5786" t="n">
        <v>1500620</v>
      </c>
      <c r="E5786" t="inlineStr">
        <is>
          <t>SEC</t>
        </is>
      </c>
    </row>
    <row r="5787">
      <c r="A5787" s="5">
        <f>HYPERLINK("https://finance.yahoo.com/quote/QNME","QNME")</f>
        <v/>
      </c>
      <c r="B5787" t="inlineStr">
        <is>
          <t>Quanome Technologies, Inc.</t>
        </is>
      </c>
      <c r="C5787" t="inlineStr">
        <is>
          <t>Nasdaq</t>
        </is>
      </c>
      <c r="D5787" t="n">
        <v>1996192</v>
      </c>
      <c r="E5787" t="inlineStr">
        <is>
          <t>SEC</t>
        </is>
      </c>
    </row>
    <row r="5788">
      <c r="A5788" s="5">
        <f>HYPERLINK("https://finance.yahoo.com/quote/ATTT","ATTT")</f>
        <v/>
      </c>
      <c r="B5788" t="inlineStr">
        <is>
          <t>Atlas Trinity Tech Co., Ltd.</t>
        </is>
      </c>
      <c r="C5788" t="inlineStr">
        <is>
          <t>Nasdaq</t>
        </is>
      </c>
      <c r="D5788" t="n">
        <v>1948443</v>
      </c>
      <c r="E5788" t="inlineStr">
        <is>
          <t>SEC</t>
        </is>
      </c>
    </row>
    <row r="5789">
      <c r="A5789" s="5">
        <f>HYPERLINK("https://finance.yahoo.com/quote/GIGM","GIGM")</f>
        <v/>
      </c>
      <c r="B5789" t="inlineStr">
        <is>
          <t>GIGAMEDIA Ltd</t>
        </is>
      </c>
      <c r="C5789" t="inlineStr">
        <is>
          <t>Nasdaq</t>
        </is>
      </c>
      <c r="D5789" t="n">
        <v>1105101</v>
      </c>
      <c r="E5789" t="inlineStr">
        <is>
          <t>SEC</t>
        </is>
      </c>
    </row>
    <row r="5790">
      <c r="A5790" s="5">
        <f>HYPERLINK("https://finance.yahoo.com/quote/ALLR","ALLR")</f>
        <v/>
      </c>
      <c r="B5790" t="inlineStr">
        <is>
          <t>Allarity Therapeutics, Inc.</t>
        </is>
      </c>
      <c r="C5790" t="inlineStr">
        <is>
          <t>Nasdaq</t>
        </is>
      </c>
      <c r="D5790" t="n">
        <v>1860657</v>
      </c>
      <c r="E5790" t="inlineStr">
        <is>
          <t>SEC</t>
        </is>
      </c>
    </row>
    <row r="5791">
      <c r="A5791" s="5">
        <f>HYPERLINK("https://finance.yahoo.com/quote/MCRP","MCRP")</f>
        <v/>
      </c>
      <c r="B5791" t="inlineStr">
        <is>
          <t>Micropolis AI Robotics</t>
        </is>
      </c>
      <c r="C5791" t="inlineStr">
        <is>
          <t>NYSE</t>
        </is>
      </c>
      <c r="D5791" t="n">
        <v>1993431</v>
      </c>
      <c r="E5791" t="inlineStr">
        <is>
          <t>SEC</t>
        </is>
      </c>
    </row>
    <row r="5792">
      <c r="A5792" s="5">
        <f>HYPERLINK("https://finance.yahoo.com/quote/TCRX","TCRX")</f>
        <v/>
      </c>
      <c r="B5792" t="inlineStr">
        <is>
          <t>TScan Therapeutics, Inc.</t>
        </is>
      </c>
      <c r="C5792" t="inlineStr">
        <is>
          <t>Nasdaq</t>
        </is>
      </c>
      <c r="D5792" t="n">
        <v>1783328</v>
      </c>
      <c r="E5792" t="inlineStr">
        <is>
          <t>SEC</t>
        </is>
      </c>
    </row>
    <row r="5793">
      <c r="A5793" s="5">
        <f>HYPERLINK("https://finance.yahoo.com/quote/VIPZ","VIPZ")</f>
        <v/>
      </c>
      <c r="B5793" t="inlineStr">
        <is>
          <t>VIP Play, Inc.</t>
        </is>
      </c>
      <c r="C5793" t="inlineStr">
        <is>
          <t>OTC</t>
        </is>
      </c>
      <c r="D5793" t="n">
        <v>1832161</v>
      </c>
      <c r="E5793" t="inlineStr">
        <is>
          <t>SEC</t>
        </is>
      </c>
    </row>
    <row r="5794">
      <c r="A5794" s="5">
        <f>HYPERLINK("https://finance.yahoo.com/quote/TRGXF","TRGXF")</f>
        <v/>
      </c>
      <c r="B5794" t="inlineStr">
        <is>
          <t>Terra Rossa Gold Ltd.</t>
        </is>
      </c>
      <c r="C5794" t="inlineStr">
        <is>
          <t>OTC</t>
        </is>
      </c>
      <c r="D5794" t="n">
        <v>1861479</v>
      </c>
      <c r="E5794" t="inlineStr">
        <is>
          <t>SEC</t>
        </is>
      </c>
    </row>
    <row r="5795">
      <c r="A5795" s="5">
        <f>HYPERLINK("https://finance.yahoo.com/quote/HAIN","HAIN")</f>
        <v/>
      </c>
      <c r="B5795" t="inlineStr">
        <is>
          <t>HAIN CELESTIAL GROUP INC</t>
        </is>
      </c>
      <c r="C5795" t="inlineStr">
        <is>
          <t>Nasdaq</t>
        </is>
      </c>
      <c r="D5795" t="n">
        <v>910406</v>
      </c>
      <c r="E5795" t="inlineStr">
        <is>
          <t>SEC</t>
        </is>
      </c>
    </row>
    <row r="5796">
      <c r="A5796" s="5">
        <f>HYPERLINK("https://finance.yahoo.com/quote/BCDA","BCDA")</f>
        <v/>
      </c>
      <c r="B5796" t="inlineStr">
        <is>
          <t>BioCardia, Inc.</t>
        </is>
      </c>
      <c r="C5796" t="inlineStr">
        <is>
          <t>Nasdaq</t>
        </is>
      </c>
      <c r="D5796" t="n">
        <v>925741</v>
      </c>
      <c r="E5796" t="inlineStr">
        <is>
          <t>SEC</t>
        </is>
      </c>
    </row>
    <row r="5797">
      <c r="A5797" s="5">
        <f>HYPERLINK("https://finance.yahoo.com/quote/TGHL","TGHL")</f>
        <v/>
      </c>
      <c r="B5797" t="inlineStr">
        <is>
          <t>GrowHub Ltd</t>
        </is>
      </c>
      <c r="C5797" t="inlineStr">
        <is>
          <t>Nasdaq</t>
        </is>
      </c>
      <c r="D5797" t="n">
        <v>2024114</v>
      </c>
      <c r="E5797" t="inlineStr">
        <is>
          <t>SEC</t>
        </is>
      </c>
    </row>
    <row r="5798">
      <c r="A5798" s="5">
        <f>HYPERLINK("https://finance.yahoo.com/quote/AVAI","AVAI")</f>
        <v/>
      </c>
      <c r="B5798" t="inlineStr">
        <is>
          <t>AVAI BIO, INC.</t>
        </is>
      </c>
      <c r="C5798" t="inlineStr">
        <is>
          <t>OTC</t>
        </is>
      </c>
      <c r="D5798" t="n">
        <v>1740797</v>
      </c>
      <c r="E5798" t="inlineStr">
        <is>
          <t>SEC</t>
        </is>
      </c>
    </row>
    <row r="5799">
      <c r="A5799" s="5">
        <f>HYPERLINK("https://finance.yahoo.com/quote/RKTO","RKTO")</f>
        <v/>
      </c>
      <c r="B5799" t="inlineStr">
        <is>
          <t>Rocket One Inc.</t>
        </is>
      </c>
      <c r="C5799" t="inlineStr">
        <is>
          <t>Nasdaq</t>
        </is>
      </c>
      <c r="D5799" t="n">
        <v>1711786</v>
      </c>
      <c r="E5799" t="inlineStr">
        <is>
          <t>SEC</t>
        </is>
      </c>
    </row>
    <row r="5800">
      <c r="A5800" s="5">
        <f>HYPERLINK("https://finance.yahoo.com/quote/GTIM","GTIM")</f>
        <v/>
      </c>
      <c r="B5800" t="inlineStr">
        <is>
          <t>Good Times Restaurants Inc.</t>
        </is>
      </c>
      <c r="C5800" t="inlineStr">
        <is>
          <t>Nasdaq</t>
        </is>
      </c>
      <c r="D5800" t="n">
        <v>825324</v>
      </c>
      <c r="E5800" t="inlineStr">
        <is>
          <t>SEC</t>
        </is>
      </c>
    </row>
    <row r="5801">
      <c r="A5801" s="5">
        <f>HYPERLINK("https://finance.yahoo.com/quote/QMCI","QMCI")</f>
        <v/>
      </c>
      <c r="B5801" t="inlineStr">
        <is>
          <t>QUOTEMEDIA INC</t>
        </is>
      </c>
      <c r="C5801" t="inlineStr">
        <is>
          <t>OTC</t>
        </is>
      </c>
      <c r="D5801" t="n">
        <v>1101433</v>
      </c>
      <c r="E5801" t="inlineStr">
        <is>
          <t>SEC</t>
        </is>
      </c>
    </row>
    <row r="5802">
      <c r="A5802" s="5">
        <f>HYPERLINK("https://finance.yahoo.com/quote/PETZ","PETZ")</f>
        <v/>
      </c>
      <c r="B5802" t="inlineStr">
        <is>
          <t>TDH Holdings, Inc.</t>
        </is>
      </c>
      <c r="C5802" t="inlineStr">
        <is>
          <t>Nasdaq</t>
        </is>
      </c>
      <c r="D5802" t="n">
        <v>1684425</v>
      </c>
      <c r="E5802" t="inlineStr">
        <is>
          <t>SEC</t>
        </is>
      </c>
    </row>
    <row r="5803">
      <c r="A5803" s="5">
        <f>HYPERLINK("https://finance.yahoo.com/quote/MOGU","MOGU")</f>
        <v/>
      </c>
      <c r="B5803" t="inlineStr">
        <is>
          <t>MOGU Inc.</t>
        </is>
      </c>
      <c r="C5803" t="inlineStr">
        <is>
          <t>NYSE</t>
        </is>
      </c>
      <c r="D5803" t="n">
        <v>1743971</v>
      </c>
      <c r="E5803" t="inlineStr">
        <is>
          <t>SEC</t>
        </is>
      </c>
    </row>
    <row r="5804">
      <c r="A5804" s="5">
        <f>HYPERLINK("https://finance.yahoo.com/quote/KDOZF","KDOZF")</f>
        <v/>
      </c>
      <c r="B5804" t="inlineStr">
        <is>
          <t>KIDOZ INC.</t>
        </is>
      </c>
      <c r="C5804" t="inlineStr">
        <is>
          <t>OTC</t>
        </is>
      </c>
      <c r="D5804" t="n">
        <v>1318482</v>
      </c>
      <c r="E5804" t="inlineStr">
        <is>
          <t>SEC</t>
        </is>
      </c>
    </row>
    <row r="5805">
      <c r="A5805" s="5">
        <f>HYPERLINK("https://finance.yahoo.com/quote/DLPN","DLPN")</f>
        <v/>
      </c>
      <c r="B5805" t="inlineStr">
        <is>
          <t>Dolphin Entertainment, Inc.</t>
        </is>
      </c>
      <c r="C5805" t="inlineStr">
        <is>
          <t>Nasdaq</t>
        </is>
      </c>
      <c r="D5805" t="n">
        <v>1282224</v>
      </c>
      <c r="E5805" t="inlineStr">
        <is>
          <t>SEC</t>
        </is>
      </c>
    </row>
    <row r="5806">
      <c r="A5806" s="5">
        <f>HYPERLINK("https://finance.yahoo.com/quote/GRNQ","GRNQ")</f>
        <v/>
      </c>
      <c r="B5806" t="inlineStr">
        <is>
          <t>Greenpro Capital Corp.</t>
        </is>
      </c>
      <c r="C5806" t="inlineStr">
        <is>
          <t>Nasdaq</t>
        </is>
      </c>
      <c r="D5806" t="n">
        <v>1597846</v>
      </c>
      <c r="E5806" t="inlineStr">
        <is>
          <t>SEC</t>
        </is>
      </c>
    </row>
    <row r="5807">
      <c r="A5807" s="5">
        <f>HYPERLINK("https://finance.yahoo.com/quote/PCSV","PCSV")</f>
        <v/>
      </c>
      <c r="B5807" t="inlineStr">
        <is>
          <t>PCS Edventures!, Inc.</t>
        </is>
      </c>
      <c r="C5807" t="inlineStr">
        <is>
          <t>OTC</t>
        </is>
      </c>
      <c r="D5807" t="n">
        <v>1122020</v>
      </c>
      <c r="E5807" t="inlineStr">
        <is>
          <t>SEC</t>
        </is>
      </c>
    </row>
    <row r="5808">
      <c r="A5808" s="5">
        <f>HYPERLINK("https://finance.yahoo.com/quote/SSGC","SSGC")</f>
        <v/>
      </c>
      <c r="B5808" t="inlineStr">
        <is>
          <t>SafeSpace Global Corp</t>
        </is>
      </c>
      <c r="C5808" t="inlineStr">
        <is>
          <t>OTC</t>
        </is>
      </c>
      <c r="D5808" t="n">
        <v>1584693</v>
      </c>
      <c r="E5808" t="inlineStr">
        <is>
          <t>SEC</t>
        </is>
      </c>
    </row>
    <row r="5809">
      <c r="A5809" s="5">
        <f>HYPERLINK("https://finance.yahoo.com/quote/PRNCF","PRNCF")</f>
        <v/>
      </c>
      <c r="B5809" t="inlineStr">
        <is>
          <t>Prince Silver Corp.</t>
        </is>
      </c>
      <c r="C5809" t="inlineStr">
        <is>
          <t>OTC</t>
        </is>
      </c>
      <c r="D5809" t="n">
        <v>2045300</v>
      </c>
      <c r="E5809" t="inlineStr">
        <is>
          <t>SEC</t>
        </is>
      </c>
    </row>
    <row r="5810">
      <c r="A5810" s="5">
        <f>HYPERLINK("https://finance.yahoo.com/quote/BESS","BESS")</f>
        <v/>
      </c>
      <c r="B5810" t="inlineStr">
        <is>
          <t>Bimergen Energy Corp</t>
        </is>
      </c>
      <c r="C5810" t="inlineStr">
        <is>
          <t>NYSE</t>
        </is>
      </c>
      <c r="D5810" t="n">
        <v>1066764</v>
      </c>
      <c r="E5810" t="inlineStr">
        <is>
          <t>SEC</t>
        </is>
      </c>
    </row>
    <row r="5811">
      <c r="A5811" s="5">
        <f>HYPERLINK("https://finance.yahoo.com/quote/MOBQ","MOBQ")</f>
        <v/>
      </c>
      <c r="B5811" t="inlineStr">
        <is>
          <t>Mobiquity Technologies, Inc.</t>
        </is>
      </c>
      <c r="C5811" t="inlineStr">
        <is>
          <t>OTC</t>
        </is>
      </c>
      <c r="D5811" t="n">
        <v>1084267</v>
      </c>
      <c r="E5811" t="inlineStr">
        <is>
          <t>SEC</t>
        </is>
      </c>
    </row>
    <row r="5812">
      <c r="A5812" s="5">
        <f>HYPERLINK("https://finance.yahoo.com/quote/MGNC","MGNC")</f>
        <v/>
      </c>
      <c r="B5812" t="inlineStr">
        <is>
          <t>Mag Magna Corp</t>
        </is>
      </c>
      <c r="C5812" t="inlineStr">
        <is>
          <t>OTC</t>
        </is>
      </c>
      <c r="D5812" t="n">
        <v>1949864</v>
      </c>
      <c r="E5812" t="inlineStr">
        <is>
          <t>SEC</t>
        </is>
      </c>
    </row>
    <row r="5813">
      <c r="A5813" s="5">
        <f>HYPERLINK("https://finance.yahoo.com/quote/DFNS","DFNS")</f>
        <v/>
      </c>
      <c r="B5813" t="inlineStr">
        <is>
          <t>T3 Defense Inc.</t>
        </is>
      </c>
      <c r="C5813" t="inlineStr">
        <is>
          <t>Nasdaq</t>
        </is>
      </c>
      <c r="D5813" t="n">
        <v>1787518</v>
      </c>
      <c r="E5813" t="inlineStr">
        <is>
          <t>SEC</t>
        </is>
      </c>
    </row>
    <row r="5814">
      <c r="A5814" s="5">
        <f>HYPERLINK("https://finance.yahoo.com/quote/AIEV","AIEV")</f>
        <v/>
      </c>
      <c r="B5814" t="inlineStr">
        <is>
          <t>Thunder Power Holdings, Inc.</t>
        </is>
      </c>
      <c r="C5814" t="inlineStr">
        <is>
          <t>OTC</t>
        </is>
      </c>
      <c r="D5814" t="n">
        <v>1912582</v>
      </c>
      <c r="E5814" t="inlineStr">
        <is>
          <t>SEC</t>
        </is>
      </c>
    </row>
    <row r="5815">
      <c r="A5815" s="5">
        <f>HYPERLINK("https://finance.yahoo.com/quote/SOAR","SOAR")</f>
        <v/>
      </c>
      <c r="B5815" t="inlineStr">
        <is>
          <t>SOAR AI, Inc.</t>
        </is>
      </c>
      <c r="C5815" t="inlineStr">
        <is>
          <t>NYSE</t>
        </is>
      </c>
      <c r="D5815" t="n">
        <v>1853070</v>
      </c>
      <c r="E5815" t="inlineStr">
        <is>
          <t>SEC</t>
        </is>
      </c>
    </row>
    <row r="5816">
      <c r="A5816" s="5">
        <f>HYPERLINK("https://finance.yahoo.com/quote/TOMZ","TOMZ")</f>
        <v/>
      </c>
      <c r="B5816" t="inlineStr">
        <is>
          <t>TOMI Environmental Solutions, Inc.</t>
        </is>
      </c>
      <c r="C5816" t="inlineStr">
        <is>
          <t>Nasdaq</t>
        </is>
      </c>
      <c r="D5816" t="n">
        <v>314227</v>
      </c>
      <c r="E5816" t="inlineStr">
        <is>
          <t>SEC</t>
        </is>
      </c>
    </row>
    <row r="5817">
      <c r="A5817" s="5">
        <f>HYPERLINK("https://finance.yahoo.com/quote/BNGO","BNGO")</f>
        <v/>
      </c>
      <c r="B5817" t="inlineStr">
        <is>
          <t>Bionano Genomics, Inc.</t>
        </is>
      </c>
      <c r="C5817" t="inlineStr">
        <is>
          <t>Nasdaq</t>
        </is>
      </c>
      <c r="D5817" t="n">
        <v>1411690</v>
      </c>
      <c r="E5817" t="inlineStr">
        <is>
          <t>SEC</t>
        </is>
      </c>
    </row>
    <row r="5818">
      <c r="A5818" s="5">
        <f>HYPERLINK("https://finance.yahoo.com/quote/HTOO","HTOO")</f>
        <v/>
      </c>
      <c r="B5818" t="inlineStr">
        <is>
          <t>Fusion Fuel Green PLC</t>
        </is>
      </c>
      <c r="C5818" t="inlineStr">
        <is>
          <t>Nasdaq</t>
        </is>
      </c>
      <c r="D5818" t="n">
        <v>1819794</v>
      </c>
      <c r="E5818" t="inlineStr">
        <is>
          <t>SEC</t>
        </is>
      </c>
    </row>
    <row r="5819">
      <c r="A5819" s="5">
        <f>HYPERLINK("https://finance.yahoo.com/quote/MOBX","MOBX")</f>
        <v/>
      </c>
      <c r="B5819" t="inlineStr">
        <is>
          <t>MOBIX LABS, INC</t>
        </is>
      </c>
      <c r="C5819" t="inlineStr">
        <is>
          <t>Nasdaq</t>
        </is>
      </c>
      <c r="D5819" t="n">
        <v>1855467</v>
      </c>
      <c r="E5819" t="inlineStr">
        <is>
          <t>SEC</t>
        </is>
      </c>
    </row>
    <row r="5820">
      <c r="A5820" s="5">
        <f>HYPERLINK("https://finance.yahoo.com/quote/KTTA","KTTA")</f>
        <v/>
      </c>
      <c r="B5820" t="inlineStr">
        <is>
          <t>Pasithea Therapeutics Corp.</t>
        </is>
      </c>
      <c r="C5820" t="inlineStr">
        <is>
          <t>Nasdaq</t>
        </is>
      </c>
      <c r="D5820" t="n">
        <v>1841330</v>
      </c>
      <c r="E5820" t="inlineStr">
        <is>
          <t>SEC</t>
        </is>
      </c>
    </row>
    <row r="5821">
      <c r="A5821" s="5">
        <f>HYPERLINK("https://finance.yahoo.com/quote/DOGZ","DOGZ")</f>
        <v/>
      </c>
      <c r="B5821" t="inlineStr">
        <is>
          <t>Dogness (International) Corp</t>
        </is>
      </c>
      <c r="C5821" t="inlineStr">
        <is>
          <t>Nasdaq</t>
        </is>
      </c>
      <c r="D5821" t="n">
        <v>1707303</v>
      </c>
      <c r="E5821" t="inlineStr">
        <is>
          <t>SEC</t>
        </is>
      </c>
    </row>
    <row r="5822">
      <c r="A5822" s="5">
        <f>HYPERLINK("https://finance.yahoo.com/quote/SMSI","SMSI")</f>
        <v/>
      </c>
      <c r="B5822" t="inlineStr">
        <is>
          <t>SMITH MICRO SOFTWARE, INC.</t>
        </is>
      </c>
      <c r="C5822" t="inlineStr">
        <is>
          <t>Nasdaq</t>
        </is>
      </c>
      <c r="D5822" t="n">
        <v>948708</v>
      </c>
      <c r="E5822" t="inlineStr">
        <is>
          <t>SEC</t>
        </is>
      </c>
    </row>
    <row r="5823">
      <c r="A5823" s="5">
        <f>HYPERLINK("https://finance.yahoo.com/quote/NROM","NROM")</f>
        <v/>
      </c>
      <c r="B5823" t="inlineStr">
        <is>
          <t>NOBLE ROMANS INC</t>
        </is>
      </c>
      <c r="C5823" t="inlineStr">
        <is>
          <t>OTC</t>
        </is>
      </c>
      <c r="D5823" t="n">
        <v>709005</v>
      </c>
      <c r="E5823" t="inlineStr">
        <is>
          <t>SEC</t>
        </is>
      </c>
    </row>
    <row r="5824">
      <c r="A5824" s="5">
        <f>HYPERLINK("https://finance.yahoo.com/quote/IRIX","IRIX")</f>
        <v/>
      </c>
      <c r="B5824" t="inlineStr">
        <is>
          <t>IRIDEX CORP</t>
        </is>
      </c>
      <c r="C5824" t="inlineStr">
        <is>
          <t>Nasdaq</t>
        </is>
      </c>
      <c r="D5824" t="n">
        <v>1006045</v>
      </c>
      <c r="E5824" t="inlineStr">
        <is>
          <t>SEC</t>
        </is>
      </c>
    </row>
    <row r="5825">
      <c r="A5825" s="5">
        <f>HYPERLINK("https://finance.yahoo.com/quote/CUPR","CUPR")</f>
        <v/>
      </c>
      <c r="B5825" t="inlineStr">
        <is>
          <t>Cuprina Holdings (Cayman) LTD</t>
        </is>
      </c>
      <c r="C5825" t="inlineStr">
        <is>
          <t>Nasdaq</t>
        </is>
      </c>
      <c r="D5825" t="n">
        <v>1995704</v>
      </c>
      <c r="E5825" t="inlineStr">
        <is>
          <t>SEC</t>
        </is>
      </c>
    </row>
    <row r="5826">
      <c r="A5826" s="5">
        <f>HYPERLINK("https://finance.yahoo.com/quote/DARE","DARE")</f>
        <v/>
      </c>
      <c r="B5826" t="inlineStr">
        <is>
          <t>Dare Bioscience, Inc.</t>
        </is>
      </c>
      <c r="C5826" t="inlineStr">
        <is>
          <t>Nasdaq</t>
        </is>
      </c>
      <c r="D5826" t="n">
        <v>1401914</v>
      </c>
      <c r="E5826" t="inlineStr">
        <is>
          <t>SEC</t>
        </is>
      </c>
    </row>
    <row r="5827">
      <c r="A5827" s="5">
        <f>HYPERLINK("https://finance.yahoo.com/quote/MILIF","MILIF")</f>
        <v/>
      </c>
      <c r="B5827" t="inlineStr">
        <is>
          <t>Military Metals Corp.</t>
        </is>
      </c>
      <c r="C5827" t="inlineStr">
        <is>
          <t>OTC</t>
        </is>
      </c>
      <c r="D5827" t="n">
        <v>1866460</v>
      </c>
      <c r="E5827" t="inlineStr">
        <is>
          <t>SEC</t>
        </is>
      </c>
    </row>
    <row r="5828">
      <c r="A5828" s="5">
        <f>HYPERLINK("https://finance.yahoo.com/quote/STLNF","STLNF")</f>
        <v/>
      </c>
      <c r="B5828" t="inlineStr">
        <is>
          <t>Stallion Uranium Corp.</t>
        </is>
      </c>
      <c r="C5828" t="inlineStr">
        <is>
          <t>OTC</t>
        </is>
      </c>
      <c r="D5828" t="n">
        <v>1729653</v>
      </c>
      <c r="E5828" t="inlineStr">
        <is>
          <t>SEC</t>
        </is>
      </c>
    </row>
    <row r="5829">
      <c r="A5829" s="5">
        <f>HYPERLINK("https://finance.yahoo.com/quote/GEDC","GEDC")</f>
        <v/>
      </c>
      <c r="B5829" t="inlineStr">
        <is>
          <t>TerraVolt Holdings, Inc.</t>
        </is>
      </c>
      <c r="C5829" t="inlineStr">
        <is>
          <t>OTC</t>
        </is>
      </c>
      <c r="D5829" t="n">
        <v>1174891</v>
      </c>
      <c r="E5829" t="inlineStr">
        <is>
          <t>SEC</t>
        </is>
      </c>
    </row>
    <row r="5830">
      <c r="A5830" s="5">
        <f>HYPERLINK("https://finance.yahoo.com/quote/SYBX","SYBX")</f>
        <v/>
      </c>
      <c r="B5830" t="inlineStr">
        <is>
          <t>SYNLOGIC, INC.</t>
        </is>
      </c>
      <c r="C5830" t="inlineStr">
        <is>
          <t>OTC</t>
        </is>
      </c>
      <c r="D5830" t="n">
        <v>1527599</v>
      </c>
      <c r="E5830" t="inlineStr">
        <is>
          <t>SEC</t>
        </is>
      </c>
    </row>
    <row r="5831">
      <c r="A5831" s="5">
        <f>HYPERLINK("https://finance.yahoo.com/quote/OPAD","OPAD")</f>
        <v/>
      </c>
      <c r="B5831" t="inlineStr">
        <is>
          <t>Offerpad Solutions Inc.</t>
        </is>
      </c>
      <c r="C5831" t="inlineStr">
        <is>
          <t>Nasdaq</t>
        </is>
      </c>
      <c r="D5831" t="n">
        <v>1825024</v>
      </c>
      <c r="E5831" t="inlineStr">
        <is>
          <t>SEC</t>
        </is>
      </c>
    </row>
    <row r="5832">
      <c r="A5832" s="5">
        <f>HYPERLINK("https://finance.yahoo.com/quote/FGI","FGI")</f>
        <v/>
      </c>
      <c r="B5832" t="inlineStr">
        <is>
          <t>FGI Industries Ltd.</t>
        </is>
      </c>
      <c r="C5832" t="inlineStr">
        <is>
          <t>Nasdaq</t>
        </is>
      </c>
      <c r="D5832" t="n">
        <v>1864943</v>
      </c>
      <c r="E5832" t="inlineStr">
        <is>
          <t>SEC</t>
        </is>
      </c>
    </row>
    <row r="5833">
      <c r="A5833" s="5">
        <f>HYPERLINK("https://finance.yahoo.com/quote/BRN","BRN")</f>
        <v/>
      </c>
      <c r="B5833" t="inlineStr">
        <is>
          <t>BARNWELL INDUSTRIES INC</t>
        </is>
      </c>
      <c r="C5833" t="inlineStr">
        <is>
          <t>NYSE</t>
        </is>
      </c>
      <c r="D5833" t="n">
        <v>10048</v>
      </c>
      <c r="E5833" t="inlineStr">
        <is>
          <t>SEC</t>
        </is>
      </c>
    </row>
    <row r="5834">
      <c r="A5834" s="5">
        <f>HYPERLINK("https://finance.yahoo.com/quote/PLUR","PLUR")</f>
        <v/>
      </c>
      <c r="B5834" t="inlineStr">
        <is>
          <t>Pluri Inc.</t>
        </is>
      </c>
      <c r="C5834" t="inlineStr">
        <is>
          <t>Nasdaq</t>
        </is>
      </c>
      <c r="D5834" t="n">
        <v>1158780</v>
      </c>
      <c r="E5834" t="inlineStr">
        <is>
          <t>SEC</t>
        </is>
      </c>
    </row>
    <row r="5835">
      <c r="A5835" s="5">
        <f>HYPERLINK("https://finance.yahoo.com/quote/KPEA","KPEA")</f>
        <v/>
      </c>
      <c r="B5835" t="inlineStr">
        <is>
          <t>Kun Peng International Ltd.</t>
        </is>
      </c>
      <c r="C5835" t="inlineStr">
        <is>
          <t>OTC</t>
        </is>
      </c>
      <c r="D5835" t="n">
        <v>1502557</v>
      </c>
      <c r="E5835" t="inlineStr">
        <is>
          <t>SEC</t>
        </is>
      </c>
    </row>
    <row r="5836">
      <c r="A5836" s="5">
        <f>HYPERLINK("https://finance.yahoo.com/quote/SFCX","SFCX")</f>
        <v/>
      </c>
      <c r="B5836" t="inlineStr">
        <is>
          <t>SUPA Consolidated Inc.</t>
        </is>
      </c>
      <c r="C5836" t="inlineStr">
        <is>
          <t>OTC</t>
        </is>
      </c>
      <c r="D5836" t="n">
        <v>1624985</v>
      </c>
      <c r="E5836" t="inlineStr">
        <is>
          <t>SEC</t>
        </is>
      </c>
    </row>
    <row r="5837">
      <c r="A5837" s="5">
        <f>HYPERLINK("https://finance.yahoo.com/quote/IHT","IHT")</f>
        <v/>
      </c>
      <c r="B5837" t="inlineStr">
        <is>
          <t>INNSUITES HOSPITALITY TRUST</t>
        </is>
      </c>
      <c r="C5837" t="inlineStr">
        <is>
          <t>NYSE</t>
        </is>
      </c>
      <c r="D5837" t="n">
        <v>82473</v>
      </c>
      <c r="E5837" t="inlineStr">
        <is>
          <t>SEC</t>
        </is>
      </c>
    </row>
    <row r="5838">
      <c r="A5838" s="5">
        <f>HYPERLINK("https://finance.yahoo.com/quote/ICU","ICU")</f>
        <v/>
      </c>
      <c r="B5838" t="inlineStr">
        <is>
          <t>SeaStar Medical Holding Corp</t>
        </is>
      </c>
      <c r="C5838" t="inlineStr">
        <is>
          <t>Nasdaq</t>
        </is>
      </c>
      <c r="D5838" t="n">
        <v>1831868</v>
      </c>
      <c r="E5838" t="inlineStr">
        <is>
          <t>SEC</t>
        </is>
      </c>
    </row>
    <row r="5839">
      <c r="A5839" s="5">
        <f>HYPERLINK("https://finance.yahoo.com/quote/RYES","RYES")</f>
        <v/>
      </c>
      <c r="B5839" t="inlineStr">
        <is>
          <t>Rise Gold Corp.</t>
        </is>
      </c>
      <c r="C5839" t="inlineStr">
        <is>
          <t>OTC</t>
        </is>
      </c>
      <c r="D5839" t="n">
        <v>1424864</v>
      </c>
      <c r="E5839" t="inlineStr">
        <is>
          <t>SEC</t>
        </is>
      </c>
    </row>
    <row r="5840">
      <c r="A5840" s="5">
        <f>HYPERLINK("https://finance.yahoo.com/quote/PCMC","PCMC")</f>
        <v/>
      </c>
      <c r="B5840" t="inlineStr">
        <is>
          <t>PUBLIC CO MANAGEMENT CORP</t>
        </is>
      </c>
      <c r="C5840" t="inlineStr">
        <is>
          <t>OTC</t>
        </is>
      </c>
      <c r="D5840" t="n">
        <v>1141964</v>
      </c>
      <c r="E5840" t="inlineStr">
        <is>
          <t>SEC</t>
        </is>
      </c>
    </row>
    <row r="5841">
      <c r="A5841" s="5">
        <f>HYPERLINK("https://finance.yahoo.com/quote/SUNE","SUNE")</f>
        <v/>
      </c>
      <c r="B5841" t="inlineStr">
        <is>
          <t>SUNation Energy, Inc.</t>
        </is>
      </c>
      <c r="C5841" t="inlineStr">
        <is>
          <t>Nasdaq</t>
        </is>
      </c>
      <c r="D5841" t="n">
        <v>22701</v>
      </c>
      <c r="E5841" t="inlineStr">
        <is>
          <t>SEC</t>
        </is>
      </c>
    </row>
    <row r="5842">
      <c r="A5842" s="5">
        <f>HYPERLINK("https://finance.yahoo.com/quote/FEMY","FEMY")</f>
        <v/>
      </c>
      <c r="B5842" t="inlineStr">
        <is>
          <t>FEMASYS INC</t>
        </is>
      </c>
      <c r="C5842" t="inlineStr">
        <is>
          <t>Nasdaq</t>
        </is>
      </c>
      <c r="D5842" t="n">
        <v>1339005</v>
      </c>
      <c r="E5842" t="inlineStr">
        <is>
          <t>SEC</t>
        </is>
      </c>
    </row>
    <row r="5843">
      <c r="A5843" s="5">
        <f>HYPERLINK("https://finance.yahoo.com/quote/WETH","WETH")</f>
        <v/>
      </c>
      <c r="B5843" t="inlineStr">
        <is>
          <t>Wetouch Technology Inc.</t>
        </is>
      </c>
      <c r="C5843" t="inlineStr">
        <is>
          <t>Nasdaq</t>
        </is>
      </c>
      <c r="D5843" t="n">
        <v>1826660</v>
      </c>
      <c r="E5843" t="inlineStr">
        <is>
          <t>SEC</t>
        </is>
      </c>
    </row>
    <row r="5844">
      <c r="A5844" s="5">
        <f>HYPERLINK("https://finance.yahoo.com/quote/NEON","NEON")</f>
        <v/>
      </c>
      <c r="B5844" t="inlineStr">
        <is>
          <t>Neonode Inc.</t>
        </is>
      </c>
      <c r="C5844" t="inlineStr">
        <is>
          <t>Nasdaq</t>
        </is>
      </c>
      <c r="D5844" t="n">
        <v>87050</v>
      </c>
      <c r="E5844" t="inlineStr">
        <is>
          <t>SEC</t>
        </is>
      </c>
    </row>
    <row r="5845">
      <c r="A5845" s="5">
        <f>HYPERLINK("https://finance.yahoo.com/quote/AIRI","AIRI")</f>
        <v/>
      </c>
      <c r="B5845" t="inlineStr">
        <is>
          <t>AIR INDUSTRIES GROUP</t>
        </is>
      </c>
      <c r="C5845" t="inlineStr">
        <is>
          <t>NYSE</t>
        </is>
      </c>
      <c r="D5845" t="n">
        <v>1009891</v>
      </c>
      <c r="E5845" t="inlineStr">
        <is>
          <t>SEC</t>
        </is>
      </c>
    </row>
    <row r="5846">
      <c r="A5846" s="5">
        <f>HYPERLINK("https://finance.yahoo.com/quote/BOLT","BOLT")</f>
        <v/>
      </c>
      <c r="B5846" t="inlineStr">
        <is>
          <t>Bolt Biotherapeutics, Inc.</t>
        </is>
      </c>
      <c r="C5846" t="inlineStr">
        <is>
          <t>Nasdaq</t>
        </is>
      </c>
      <c r="D5846" t="n">
        <v>1641281</v>
      </c>
      <c r="E5846" t="inlineStr">
        <is>
          <t>SEC</t>
        </is>
      </c>
    </row>
    <row r="5847">
      <c r="A5847" s="5">
        <f>HYPERLINK("https://finance.yahoo.com/quote/CEXYF","CEXYF")</f>
        <v/>
      </c>
      <c r="B5847" t="inlineStr">
        <is>
          <t>GIANT MINING CORP.</t>
        </is>
      </c>
      <c r="C5847" t="inlineStr">
        <is>
          <t>OTC</t>
        </is>
      </c>
      <c r="D5847" t="n">
        <v>1836503</v>
      </c>
      <c r="E5847" t="inlineStr">
        <is>
          <t>SEC</t>
        </is>
      </c>
    </row>
    <row r="5848">
      <c r="A5848" s="5">
        <f>HYPERLINK("https://finance.yahoo.com/quote/EBON","EBON")</f>
        <v/>
      </c>
      <c r="B5848" t="inlineStr">
        <is>
          <t>Ebang International Holdings Inc.</t>
        </is>
      </c>
      <c r="C5848" t="inlineStr">
        <is>
          <t>Nasdaq</t>
        </is>
      </c>
      <c r="D5848" t="n">
        <v>1799290</v>
      </c>
      <c r="E5848" t="inlineStr">
        <is>
          <t>SEC</t>
        </is>
      </c>
    </row>
    <row r="5849">
      <c r="A5849" s="5">
        <f>HYPERLINK("https://finance.yahoo.com/quote/SDOT","SDOT")</f>
        <v/>
      </c>
      <c r="B5849" t="inlineStr">
        <is>
          <t>Sadot Group Inc.</t>
        </is>
      </c>
      <c r="C5849" t="inlineStr">
        <is>
          <t>Nasdaq</t>
        </is>
      </c>
      <c r="D5849" t="n">
        <v>1701756</v>
      </c>
      <c r="E5849" t="inlineStr">
        <is>
          <t>SEC</t>
        </is>
      </c>
    </row>
    <row r="5850">
      <c r="A5850" s="5">
        <f>HYPERLINK("https://finance.yahoo.com/quote/CNSY","CNSY")</f>
        <v/>
      </c>
      <c r="B5850" t="inlineStr">
        <is>
          <t>CERENOME, INC.</t>
        </is>
      </c>
      <c r="C5850" t="inlineStr">
        <is>
          <t>Nasdaq</t>
        </is>
      </c>
      <c r="D5850" t="n">
        <v>1095981</v>
      </c>
      <c r="E5850" t="inlineStr">
        <is>
          <t>SEC</t>
        </is>
      </c>
    </row>
    <row r="5851">
      <c r="A5851" s="5">
        <f>HYPERLINK("https://finance.yahoo.com/quote/TVRD","TVRD")</f>
        <v/>
      </c>
      <c r="B5851" t="inlineStr">
        <is>
          <t>Tvardi Therapeutics, Inc.</t>
        </is>
      </c>
      <c r="C5851" t="inlineStr">
        <is>
          <t>Nasdaq</t>
        </is>
      </c>
      <c r="D5851" t="n">
        <v>1346830</v>
      </c>
      <c r="E5851" t="inlineStr">
        <is>
          <t>SEC</t>
        </is>
      </c>
    </row>
    <row r="5852">
      <c r="A5852" s="5">
        <f>HYPERLINK("https://finance.yahoo.com/quote/HIND","HIND")</f>
        <v/>
      </c>
      <c r="B5852" t="inlineStr">
        <is>
          <t>Vyome Holdings, Inc</t>
        </is>
      </c>
      <c r="C5852" t="inlineStr">
        <is>
          <t>Nasdaq</t>
        </is>
      </c>
      <c r="D5852" t="n">
        <v>1427570</v>
      </c>
      <c r="E5852" t="inlineStr">
        <is>
          <t>SEC</t>
        </is>
      </c>
    </row>
    <row r="5853">
      <c r="A5853" s="5">
        <f>HYPERLINK("https://finance.yahoo.com/quote/ELOG","ELOG")</f>
        <v/>
      </c>
      <c r="B5853" t="inlineStr">
        <is>
          <t>Eastern International Ltd.</t>
        </is>
      </c>
      <c r="C5853" t="inlineStr">
        <is>
          <t>Nasdaq</t>
        </is>
      </c>
      <c r="D5853" t="n">
        <v>2013320</v>
      </c>
      <c r="E5853" t="inlineStr">
        <is>
          <t>SEC</t>
        </is>
      </c>
    </row>
    <row r="5854">
      <c r="A5854" s="5">
        <f>HYPERLINK("https://finance.yahoo.com/quote/KSCP","KSCP")</f>
        <v/>
      </c>
      <c r="B5854" t="inlineStr">
        <is>
          <t>Knightscope, Inc.</t>
        </is>
      </c>
      <c r="C5854" t="inlineStr">
        <is>
          <t>Nasdaq</t>
        </is>
      </c>
      <c r="D5854" t="n">
        <v>1600983</v>
      </c>
      <c r="E5854" t="inlineStr">
        <is>
          <t>SEC</t>
        </is>
      </c>
    </row>
    <row r="5855">
      <c r="A5855" s="5">
        <f>HYPERLINK("https://finance.yahoo.com/quote/SYRA","SYRA")</f>
        <v/>
      </c>
      <c r="B5855" t="inlineStr">
        <is>
          <t>Syra Health Corp</t>
        </is>
      </c>
      <c r="C5855" t="inlineStr">
        <is>
          <t>OTC</t>
        </is>
      </c>
      <c r="D5855" t="n">
        <v>1922335</v>
      </c>
      <c r="E5855" t="inlineStr">
        <is>
          <t>SEC</t>
        </is>
      </c>
    </row>
    <row r="5856">
      <c r="A5856" s="5">
        <f>HYPERLINK("https://finance.yahoo.com/quote/BENF","BENF")</f>
        <v/>
      </c>
      <c r="B5856" t="inlineStr">
        <is>
          <t>Beneficient</t>
        </is>
      </c>
      <c r="C5856" t="inlineStr">
        <is>
          <t>Nasdaq</t>
        </is>
      </c>
      <c r="D5856" t="n">
        <v>1775734</v>
      </c>
      <c r="E5856" t="inlineStr">
        <is>
          <t>SEC</t>
        </is>
      </c>
    </row>
    <row r="5857">
      <c r="A5857" s="5">
        <f>HYPERLINK("https://finance.yahoo.com/quote/FXBY","FXBY")</f>
        <v/>
      </c>
      <c r="B5857" t="inlineStr">
        <is>
          <t>FOXBY CORP.</t>
        </is>
      </c>
      <c r="C5857" t="inlineStr">
        <is>
          <t>OTC</t>
        </is>
      </c>
      <c r="D5857" t="n">
        <v>1068897</v>
      </c>
      <c r="E5857" t="inlineStr">
        <is>
          <t>SEC</t>
        </is>
      </c>
    </row>
    <row r="5858">
      <c r="A5858" s="5">
        <f>HYPERLINK("https://finance.yahoo.com/quote/ONEG","ONEG")</f>
        <v/>
      </c>
      <c r="B5858" t="inlineStr">
        <is>
          <t>OneConstruction Group Ltd</t>
        </is>
      </c>
      <c r="C5858" t="inlineStr">
        <is>
          <t>Nasdaq</t>
        </is>
      </c>
      <c r="D5858" t="n">
        <v>2030834</v>
      </c>
      <c r="E5858" t="inlineStr">
        <is>
          <t>SEC</t>
        </is>
      </c>
    </row>
    <row r="5859">
      <c r="A5859" s="5">
        <f>HYPERLINK("https://finance.yahoo.com/quote/ASBP","ASBP")</f>
        <v/>
      </c>
      <c r="B5859" t="inlineStr">
        <is>
          <t>Aspire-Lakewood Holdings, Inc.</t>
        </is>
      </c>
      <c r="C5859" t="inlineStr">
        <is>
          <t>Nasdaq</t>
        </is>
      </c>
      <c r="D5859" t="n">
        <v>1847345</v>
      </c>
      <c r="E5859" t="inlineStr">
        <is>
          <t>SEC</t>
        </is>
      </c>
    </row>
    <row r="5860">
      <c r="A5860" s="5">
        <f>HYPERLINK("https://finance.yahoo.com/quote/EPSM","EPSM")</f>
        <v/>
      </c>
      <c r="B5860" t="inlineStr">
        <is>
          <t>Epsium Enterprise Ltd</t>
        </is>
      </c>
      <c r="C5860" t="inlineStr">
        <is>
          <t>Nasdaq</t>
        </is>
      </c>
      <c r="D5860" t="n">
        <v>1883437</v>
      </c>
      <c r="E5860" t="inlineStr">
        <is>
          <t>SEC</t>
        </is>
      </c>
    </row>
    <row r="5861">
      <c r="A5861" s="5">
        <f>HYPERLINK("https://finance.yahoo.com/quote/SINT","SINT")</f>
        <v/>
      </c>
      <c r="B5861" t="inlineStr">
        <is>
          <t>Sintx Technologies, Inc.</t>
        </is>
      </c>
      <c r="C5861" t="inlineStr">
        <is>
          <t>Nasdaq</t>
        </is>
      </c>
      <c r="D5861" t="n">
        <v>1269026</v>
      </c>
      <c r="E5861" t="inlineStr">
        <is>
          <t>SEC</t>
        </is>
      </c>
    </row>
    <row r="5862">
      <c r="A5862" s="5">
        <f>HYPERLINK("https://finance.yahoo.com/quote/DGCOF","DGCOF")</f>
        <v/>
      </c>
      <c r="B5862" t="inlineStr">
        <is>
          <t>Daura Gold Corp.</t>
        </is>
      </c>
      <c r="C5862" t="inlineStr">
        <is>
          <t>OTC</t>
        </is>
      </c>
      <c r="D5862" t="n">
        <v>1809267</v>
      </c>
      <c r="E5862" t="inlineStr">
        <is>
          <t>SEC</t>
        </is>
      </c>
    </row>
    <row r="5863">
      <c r="A5863" s="5">
        <f>HYPERLINK("https://finance.yahoo.com/quote/LOOP","LOOP")</f>
        <v/>
      </c>
      <c r="B5863" t="inlineStr">
        <is>
          <t>Loop Industries, Inc.</t>
        </is>
      </c>
      <c r="C5863" t="inlineStr">
        <is>
          <t>Nasdaq</t>
        </is>
      </c>
      <c r="D5863" t="n">
        <v>1504678</v>
      </c>
      <c r="E5863" t="inlineStr">
        <is>
          <t>SEC</t>
        </is>
      </c>
    </row>
    <row r="5864">
      <c r="A5864" s="5">
        <f>HYPERLINK("https://finance.yahoo.com/quote/FNGR","FNGR")</f>
        <v/>
      </c>
      <c r="B5864" t="inlineStr">
        <is>
          <t>FingerMotion, Inc.</t>
        </is>
      </c>
      <c r="C5864" t="inlineStr">
        <is>
          <t>Nasdaq</t>
        </is>
      </c>
      <c r="D5864" t="n">
        <v>1602409</v>
      </c>
      <c r="E5864" t="inlineStr">
        <is>
          <t>SEC</t>
        </is>
      </c>
    </row>
    <row r="5865">
      <c r="A5865" s="5">
        <f>HYPERLINK("https://finance.yahoo.com/quote/PRKR","PRKR")</f>
        <v/>
      </c>
      <c r="B5865" t="inlineStr">
        <is>
          <t>PARKERVISION INC</t>
        </is>
      </c>
      <c r="C5865" t="inlineStr">
        <is>
          <t>OTC</t>
        </is>
      </c>
      <c r="D5865" t="n">
        <v>914139</v>
      </c>
      <c r="E5865" t="inlineStr">
        <is>
          <t>SEC</t>
        </is>
      </c>
    </row>
    <row r="5866">
      <c r="A5866" s="5">
        <f>HYPERLINK("https://finance.yahoo.com/quote/BKUCF","BKUCF")</f>
        <v/>
      </c>
      <c r="B5866" t="inlineStr">
        <is>
          <t>BLUE SKY URANIUM CORP.</t>
        </is>
      </c>
      <c r="C5866" t="inlineStr">
        <is>
          <t>OTC</t>
        </is>
      </c>
      <c r="D5866" t="n">
        <v>1463978</v>
      </c>
      <c r="E5866" t="inlineStr">
        <is>
          <t>SEC</t>
        </is>
      </c>
    </row>
    <row r="5867">
      <c r="A5867" s="5">
        <f>HYPERLINK("https://finance.yahoo.com/quote/AEON","AEON")</f>
        <v/>
      </c>
      <c r="B5867" t="inlineStr">
        <is>
          <t>AEON Biopharma, Inc.</t>
        </is>
      </c>
      <c r="C5867" t="inlineStr">
        <is>
          <t>NYSE</t>
        </is>
      </c>
      <c r="D5867" t="n">
        <v>1837607</v>
      </c>
      <c r="E5867" t="inlineStr">
        <is>
          <t>SEC</t>
        </is>
      </c>
    </row>
    <row r="5868">
      <c r="A5868" s="5">
        <f>HYPERLINK("https://finance.yahoo.com/quote/UFG","UFG")</f>
        <v/>
      </c>
      <c r="B5868" t="inlineStr">
        <is>
          <t>Uni-Fuels Holdings Ltd</t>
        </is>
      </c>
      <c r="C5868" t="inlineStr">
        <is>
          <t>Nasdaq</t>
        </is>
      </c>
      <c r="D5868" t="n">
        <v>2021688</v>
      </c>
      <c r="E5868" t="inlineStr">
        <is>
          <t>SEC</t>
        </is>
      </c>
    </row>
    <row r="5869">
      <c r="A5869" s="5">
        <f>HYPERLINK("https://finance.yahoo.com/quote/VRRCF","VRRCF")</f>
        <v/>
      </c>
      <c r="B5869" t="inlineStr">
        <is>
          <t>VR Resources Ltd.</t>
        </is>
      </c>
      <c r="C5869" t="inlineStr">
        <is>
          <t>OTC</t>
        </is>
      </c>
      <c r="D5869" t="n">
        <v>1717695</v>
      </c>
      <c r="E5869" t="inlineStr">
        <is>
          <t>SEC</t>
        </is>
      </c>
    </row>
    <row r="5870">
      <c r="A5870" s="5">
        <f>HYPERLINK("https://finance.yahoo.com/quote/LPCN","LPCN")</f>
        <v/>
      </c>
      <c r="B5870" t="inlineStr">
        <is>
          <t>Lipocine Inc.</t>
        </is>
      </c>
      <c r="C5870" t="inlineStr">
        <is>
          <t>Nasdaq</t>
        </is>
      </c>
      <c r="D5870" t="n">
        <v>1535955</v>
      </c>
      <c r="E5870" t="inlineStr">
        <is>
          <t>SEC</t>
        </is>
      </c>
    </row>
    <row r="5871">
      <c r="A5871" s="5">
        <f>HYPERLINK("https://finance.yahoo.com/quote/PBK","PBK")</f>
        <v/>
      </c>
      <c r="B5871" t="inlineStr">
        <is>
          <t>POWERBANK Corp</t>
        </is>
      </c>
      <c r="C5871" t="inlineStr">
        <is>
          <t>Nasdaq</t>
        </is>
      </c>
      <c r="D5871" t="n">
        <v>2011053</v>
      </c>
      <c r="E5871" t="inlineStr">
        <is>
          <t>SEC</t>
        </is>
      </c>
    </row>
    <row r="5872">
      <c r="A5872" s="5">
        <f>HYPERLINK("https://finance.yahoo.com/quote/KPTI","KPTI")</f>
        <v/>
      </c>
      <c r="B5872" t="inlineStr">
        <is>
          <t>Karyopharm Therapeutics Inc.</t>
        </is>
      </c>
      <c r="C5872" t="inlineStr">
        <is>
          <t>Nasdaq</t>
        </is>
      </c>
      <c r="D5872" t="n">
        <v>1503802</v>
      </c>
      <c r="E5872" t="inlineStr">
        <is>
          <t>SEC</t>
        </is>
      </c>
    </row>
    <row r="5873">
      <c r="A5873" s="5">
        <f>HYPERLINK("https://finance.yahoo.com/quote/GMVMF","GMVMF")</f>
        <v/>
      </c>
      <c r="B5873" t="inlineStr">
        <is>
          <t>GMV Minerals Inc.</t>
        </is>
      </c>
      <c r="C5873" t="inlineStr">
        <is>
          <t>OTC</t>
        </is>
      </c>
      <c r="D5873" t="n">
        <v>1495730</v>
      </c>
      <c r="E5873" t="inlineStr">
        <is>
          <t>SEC</t>
        </is>
      </c>
    </row>
    <row r="5874">
      <c r="A5874" s="5">
        <f>HYPERLINK("https://finance.yahoo.com/quote/UPLD","UPLD")</f>
        <v/>
      </c>
      <c r="B5874" t="inlineStr">
        <is>
          <t>Upland Software, Inc.</t>
        </is>
      </c>
      <c r="C5874" t="inlineStr">
        <is>
          <t>Nasdaq</t>
        </is>
      </c>
      <c r="D5874" t="n">
        <v>1505155</v>
      </c>
      <c r="E5874" t="inlineStr">
        <is>
          <t>SEC</t>
        </is>
      </c>
    </row>
    <row r="5875">
      <c r="A5875" s="5">
        <f>HYPERLINK("https://finance.yahoo.com/quote/AUGCF","AUGCF")</f>
        <v/>
      </c>
      <c r="B5875" t="inlineStr">
        <is>
          <t>AU Gold Corp.</t>
        </is>
      </c>
      <c r="C5875" t="inlineStr">
        <is>
          <t>OTC</t>
        </is>
      </c>
      <c r="D5875" t="n">
        <v>1839290</v>
      </c>
      <c r="E5875" t="inlineStr">
        <is>
          <t>SEC</t>
        </is>
      </c>
    </row>
    <row r="5876">
      <c r="A5876" s="5">
        <f>HYPERLINK("https://finance.yahoo.com/quote/TURB","TURB")</f>
        <v/>
      </c>
      <c r="B5876" t="inlineStr">
        <is>
          <t>Turbo Energy, S.A.</t>
        </is>
      </c>
      <c r="C5876" t="inlineStr">
        <is>
          <t>Nasdaq</t>
        </is>
      </c>
      <c r="D5876" t="n">
        <v>1963439</v>
      </c>
      <c r="E5876" t="inlineStr">
        <is>
          <t>SEC</t>
        </is>
      </c>
    </row>
    <row r="5877">
      <c r="A5877" s="5">
        <f>HYPERLINK("https://finance.yahoo.com/quote/DCM","DCM")</f>
        <v/>
      </c>
      <c r="B5877" t="inlineStr">
        <is>
          <t>DeFi Capital Markets, Inc.</t>
        </is>
      </c>
      <c r="C5877" t="inlineStr">
        <is>
          <t>NYSE</t>
        </is>
      </c>
      <c r="D5877" t="n">
        <v>102109</v>
      </c>
      <c r="E5877" t="inlineStr">
        <is>
          <t>SEC</t>
        </is>
      </c>
    </row>
    <row r="5878">
      <c r="A5878" s="5">
        <f>HYPERLINK("https://finance.yahoo.com/quote/BFRI","BFRI")</f>
        <v/>
      </c>
      <c r="B5878" t="inlineStr">
        <is>
          <t>Biofrontera Inc.</t>
        </is>
      </c>
      <c r="C5878" t="inlineStr">
        <is>
          <t>Nasdaq</t>
        </is>
      </c>
      <c r="D5878" t="n">
        <v>1858685</v>
      </c>
      <c r="E5878" t="inlineStr">
        <is>
          <t>SEC</t>
        </is>
      </c>
    </row>
    <row r="5879">
      <c r="A5879" s="5">
        <f>HYPERLINK("https://finance.yahoo.com/quote/GFTFF","GFTFF")</f>
        <v/>
      </c>
      <c r="B5879" t="inlineStr">
        <is>
          <t>Grafton Resources Inc.</t>
        </is>
      </c>
      <c r="C5879" t="inlineStr">
        <is>
          <t>OTC</t>
        </is>
      </c>
      <c r="D5879" t="n">
        <v>2103596</v>
      </c>
      <c r="E5879" t="inlineStr">
        <is>
          <t>SEC</t>
        </is>
      </c>
    </row>
    <row r="5880">
      <c r="A5880" s="5">
        <f>HYPERLINK("https://finance.yahoo.com/quote/KLGDF","KLGDF")</f>
        <v/>
      </c>
      <c r="B5880" t="inlineStr">
        <is>
          <t>Kalo Gold Corp.</t>
        </is>
      </c>
      <c r="C5880" t="inlineStr">
        <is>
          <t>OTC</t>
        </is>
      </c>
      <c r="D5880" t="n">
        <v>1901931</v>
      </c>
      <c r="E5880" t="inlineStr">
        <is>
          <t>SEC</t>
        </is>
      </c>
    </row>
    <row r="5881">
      <c r="A5881" s="5">
        <f>HYPERLINK("https://finance.yahoo.com/quote/ALRTF","ALRTF")</f>
        <v/>
      </c>
      <c r="B5881" t="inlineStr">
        <is>
          <t>ALR Technologies SG Ltd.</t>
        </is>
      </c>
      <c r="C5881" t="inlineStr">
        <is>
          <t>OTC</t>
        </is>
      </c>
      <c r="D5881" t="n">
        <v>1930419</v>
      </c>
      <c r="E5881" t="inlineStr">
        <is>
          <t>SEC</t>
        </is>
      </c>
    </row>
    <row r="5882">
      <c r="A5882" s="5">
        <f>HYPERLINK("https://finance.yahoo.com/quote/TULP","TULP")</f>
        <v/>
      </c>
      <c r="B5882" t="inlineStr">
        <is>
          <t>BLOOMIA HOLDINGS, INC.</t>
        </is>
      </c>
      <c r="C5882" t="inlineStr">
        <is>
          <t>Nasdaq</t>
        </is>
      </c>
      <c r="D5882" t="n">
        <v>875355</v>
      </c>
      <c r="E5882" t="inlineStr">
        <is>
          <t>SEC</t>
        </is>
      </c>
    </row>
    <row r="5883">
      <c r="A5883" s="5">
        <f>HYPERLINK("https://finance.yahoo.com/quote/MMA","MMA")</f>
        <v/>
      </c>
      <c r="B5883" t="inlineStr">
        <is>
          <t>MIXED MARTIAL ARTS GROUP LTD</t>
        </is>
      </c>
      <c r="C5883" t="inlineStr">
        <is>
          <t>NYSE</t>
        </is>
      </c>
      <c r="D5883" t="n">
        <v>1981519</v>
      </c>
      <c r="E5883" t="inlineStr">
        <is>
          <t>SEC</t>
        </is>
      </c>
    </row>
    <row r="5884">
      <c r="A5884" s="5">
        <f>HYPERLINK("https://finance.yahoo.com/quote/PFHO","PFHO")</f>
        <v/>
      </c>
      <c r="B5884" t="inlineStr">
        <is>
          <t>PACIFIC HEALTH CARE ORGANIZATION INC</t>
        </is>
      </c>
      <c r="C5884" t="inlineStr">
        <is>
          <t>OTC</t>
        </is>
      </c>
      <c r="D5884" t="n">
        <v>1138476</v>
      </c>
      <c r="E5884" t="inlineStr">
        <is>
          <t>SEC</t>
        </is>
      </c>
    </row>
    <row r="5885">
      <c r="A5885" s="5">
        <f>HYPERLINK("https://finance.yahoo.com/quote/NGLD","NGLD")</f>
        <v/>
      </c>
      <c r="B5885" t="inlineStr">
        <is>
          <t>Nevada Canyon Gold Corp.</t>
        </is>
      </c>
      <c r="C5885" t="inlineStr">
        <is>
          <t>OTC</t>
        </is>
      </c>
      <c r="D5885" t="n">
        <v>1605481</v>
      </c>
      <c r="E5885" t="inlineStr">
        <is>
          <t>SEC</t>
        </is>
      </c>
    </row>
    <row r="5886">
      <c r="A5886" s="5">
        <f>HYPERLINK("https://finance.yahoo.com/quote/SCAG","SCAG")</f>
        <v/>
      </c>
      <c r="B5886" t="inlineStr">
        <is>
          <t>Scage Future</t>
        </is>
      </c>
      <c r="C5886" t="inlineStr">
        <is>
          <t>Nasdaq</t>
        </is>
      </c>
      <c r="D5886" t="n">
        <v>2000366</v>
      </c>
      <c r="E5886" t="inlineStr">
        <is>
          <t>SEC</t>
        </is>
      </c>
    </row>
    <row r="5887">
      <c r="A5887" s="5">
        <f>HYPERLINK("https://finance.yahoo.com/quote/MKDW","MKDW")</f>
        <v/>
      </c>
      <c r="B5887" t="inlineStr">
        <is>
          <t>MKDWELL Tech Inc.</t>
        </is>
      </c>
      <c r="C5887" t="inlineStr">
        <is>
          <t>Nasdaq</t>
        </is>
      </c>
      <c r="D5887" t="n">
        <v>1991332</v>
      </c>
      <c r="E5887" t="inlineStr">
        <is>
          <t>SEC</t>
        </is>
      </c>
    </row>
    <row r="5888">
      <c r="A5888" s="5">
        <f>HYPERLINK("https://finance.yahoo.com/quote/POM","POM")</f>
        <v/>
      </c>
      <c r="B5888" t="inlineStr">
        <is>
          <t>POMDOCTOR Ltd</t>
        </is>
      </c>
      <c r="C5888" t="inlineStr">
        <is>
          <t>Nasdaq</t>
        </is>
      </c>
      <c r="D5888" t="n">
        <v>1877971</v>
      </c>
      <c r="E5888" t="inlineStr">
        <is>
          <t>SEC</t>
        </is>
      </c>
    </row>
    <row r="5889">
      <c r="A5889" s="5">
        <f>HYPERLINK("https://finance.yahoo.com/quote/AXG","AXG")</f>
        <v/>
      </c>
      <c r="B5889" t="inlineStr">
        <is>
          <t>Solowin Holdings, Ltd.</t>
        </is>
      </c>
      <c r="C5889" t="inlineStr">
        <is>
          <t>Nasdaq</t>
        </is>
      </c>
      <c r="D5889" t="n">
        <v>1959224</v>
      </c>
      <c r="E5889" t="inlineStr">
        <is>
          <t>SEC</t>
        </is>
      </c>
    </row>
    <row r="5890">
      <c r="A5890" s="5">
        <f>HYPERLINK("https://finance.yahoo.com/quote/PLSM","PLSM")</f>
        <v/>
      </c>
      <c r="B5890" t="inlineStr">
        <is>
          <t>Pulsenmore Ltd.</t>
        </is>
      </c>
      <c r="C5890" t="inlineStr">
        <is>
          <t>Nasdaq</t>
        </is>
      </c>
      <c r="D5890" t="n">
        <v>2064764</v>
      </c>
      <c r="E5890" t="inlineStr">
        <is>
          <t>SEC</t>
        </is>
      </c>
    </row>
    <row r="5891">
      <c r="A5891" s="5">
        <f>HYPERLINK("https://finance.yahoo.com/quote/EQS","EQS")</f>
        <v/>
      </c>
      <c r="B5891" t="inlineStr">
        <is>
          <t>EQUUS TOTAL RETURN, INC.</t>
        </is>
      </c>
      <c r="C5891" t="inlineStr">
        <is>
          <t>NYSE</t>
        </is>
      </c>
      <c r="D5891" t="n">
        <v>878932</v>
      </c>
      <c r="E5891" t="inlineStr">
        <is>
          <t>SEC</t>
        </is>
      </c>
    </row>
    <row r="5892">
      <c r="A5892" s="5">
        <f>HYPERLINK("https://finance.yahoo.com/quote/GTBP","GTBP")</f>
        <v/>
      </c>
      <c r="B5892" t="inlineStr">
        <is>
          <t>GT Biopharma, Inc.</t>
        </is>
      </c>
      <c r="C5892" t="inlineStr">
        <is>
          <t>Nasdaq</t>
        </is>
      </c>
      <c r="D5892" t="n">
        <v>109657</v>
      </c>
      <c r="E5892" t="inlineStr">
        <is>
          <t>SEC</t>
        </is>
      </c>
    </row>
    <row r="5893">
      <c r="A5893" s="5">
        <f>HYPERLINK("https://finance.yahoo.com/quote/CETY","CETY")</f>
        <v/>
      </c>
      <c r="B5893" t="inlineStr">
        <is>
          <t>Clean Energy Technologies, Inc.</t>
        </is>
      </c>
      <c r="C5893" t="inlineStr">
        <is>
          <t>Nasdaq</t>
        </is>
      </c>
      <c r="D5893" t="n">
        <v>1329606</v>
      </c>
      <c r="E5893" t="inlineStr">
        <is>
          <t>SEC</t>
        </is>
      </c>
    </row>
    <row r="5894">
      <c r="A5894" s="5">
        <f>HYPERLINK("https://finance.yahoo.com/quote/CLRB","CLRB")</f>
        <v/>
      </c>
      <c r="B5894" t="inlineStr">
        <is>
          <t>Cellectar Biosciences, Inc.</t>
        </is>
      </c>
      <c r="C5894" t="inlineStr">
        <is>
          <t>Nasdaq</t>
        </is>
      </c>
      <c r="D5894" t="n">
        <v>1279704</v>
      </c>
      <c r="E5894" t="inlineStr">
        <is>
          <t>SEC</t>
        </is>
      </c>
    </row>
    <row r="5895">
      <c r="A5895" s="5">
        <f>HYPERLINK("https://finance.yahoo.com/quote/MYND","MYND")</f>
        <v/>
      </c>
      <c r="B5895" t="inlineStr">
        <is>
          <t>Mynd.ai, Inc.</t>
        </is>
      </c>
      <c r="C5895" t="inlineStr">
        <is>
          <t>NYSE</t>
        </is>
      </c>
      <c r="D5895" t="n">
        <v>1708441</v>
      </c>
      <c r="E5895" t="inlineStr">
        <is>
          <t>SEC</t>
        </is>
      </c>
    </row>
    <row r="5896">
      <c r="A5896" s="5">
        <f>HYPERLINK("https://finance.yahoo.com/quote/NIMU","NIMU")</f>
        <v/>
      </c>
      <c r="B5896" t="inlineStr">
        <is>
          <t>NON INVASIVE MONITORING SYSTEMS INC /FL/</t>
        </is>
      </c>
      <c r="C5896" t="inlineStr">
        <is>
          <t>OTC</t>
        </is>
      </c>
      <c r="D5896" t="n">
        <v>720762</v>
      </c>
      <c r="E5896" t="inlineStr">
        <is>
          <t>SEC</t>
        </is>
      </c>
    </row>
    <row r="5897">
      <c r="A5897" s="5">
        <f>HYPERLINK("https://finance.yahoo.com/quote/ZEOX","ZEOX")</f>
        <v/>
      </c>
      <c r="B5897" t="inlineStr">
        <is>
          <t>Zeo ScientifiX, Inc.</t>
        </is>
      </c>
      <c r="C5897" t="inlineStr">
        <is>
          <t>OTC</t>
        </is>
      </c>
      <c r="D5897" t="n">
        <v>1557376</v>
      </c>
      <c r="E5897" t="inlineStr">
        <is>
          <t>SEC</t>
        </is>
      </c>
    </row>
    <row r="5898">
      <c r="A5898" s="5">
        <f>HYPERLINK("https://finance.yahoo.com/quote/LIQT","LIQT")</f>
        <v/>
      </c>
      <c r="B5898" t="inlineStr">
        <is>
          <t>LIQTECH INTERNATIONAL INC</t>
        </is>
      </c>
      <c r="C5898" t="inlineStr">
        <is>
          <t>Nasdaq</t>
        </is>
      </c>
      <c r="D5898" t="n">
        <v>1307579</v>
      </c>
      <c r="E5898" t="inlineStr">
        <is>
          <t>SEC</t>
        </is>
      </c>
    </row>
    <row r="5899">
      <c r="A5899" s="5">
        <f>HYPERLINK("https://finance.yahoo.com/quote/ACTU","ACTU")</f>
        <v/>
      </c>
      <c r="B5899" t="inlineStr">
        <is>
          <t>ACTUATE THERAPEUTICS, INC.</t>
        </is>
      </c>
      <c r="C5899" t="inlineStr">
        <is>
          <t>Nasdaq</t>
        </is>
      </c>
      <c r="D5899" t="n">
        <v>1652935</v>
      </c>
      <c r="E5899" t="inlineStr">
        <is>
          <t>SEC</t>
        </is>
      </c>
    </row>
    <row r="5900">
      <c r="A5900" s="5">
        <f>HYPERLINK("https://finance.yahoo.com/quote/HPAI","HPAI")</f>
        <v/>
      </c>
      <c r="B5900" t="inlineStr">
        <is>
          <t>Helport AI Ltd</t>
        </is>
      </c>
      <c r="C5900" t="inlineStr">
        <is>
          <t>Nasdaq</t>
        </is>
      </c>
      <c r="D5900" t="n">
        <v>2001699</v>
      </c>
      <c r="E5900" t="inlineStr">
        <is>
          <t>SEC</t>
        </is>
      </c>
    </row>
    <row r="5901">
      <c r="A5901" s="5">
        <f>HYPERLINK("https://finance.yahoo.com/quote/RSMXF","RSMXF")</f>
        <v/>
      </c>
      <c r="B5901" t="inlineStr">
        <is>
          <t>Regency Silver Corp.</t>
        </is>
      </c>
      <c r="C5901" t="inlineStr">
        <is>
          <t>OTC</t>
        </is>
      </c>
      <c r="D5901" t="n">
        <v>1858994</v>
      </c>
      <c r="E5901" t="inlineStr">
        <is>
          <t>SEC</t>
        </is>
      </c>
    </row>
    <row r="5902">
      <c r="A5902" s="5">
        <f>HYPERLINK("https://finance.yahoo.com/quote/ADIL","ADIL")</f>
        <v/>
      </c>
      <c r="B5902" t="inlineStr">
        <is>
          <t>ADIAL PHARMACEUTICALS, INC.</t>
        </is>
      </c>
      <c r="C5902" t="inlineStr">
        <is>
          <t>Nasdaq</t>
        </is>
      </c>
      <c r="D5902" t="n">
        <v>1513525</v>
      </c>
      <c r="E5902" t="inlineStr">
        <is>
          <t>SEC</t>
        </is>
      </c>
    </row>
    <row r="5903">
      <c r="A5903" s="5">
        <f>HYPERLINK("https://finance.yahoo.com/quote/FUSE","FUSE")</f>
        <v/>
      </c>
      <c r="B5903" t="inlineStr">
        <is>
          <t>Fusemachines Inc.</t>
        </is>
      </c>
      <c r="C5903" t="inlineStr">
        <is>
          <t>Nasdaq</t>
        </is>
      </c>
      <c r="D5903" t="n">
        <v>2033383</v>
      </c>
      <c r="E5903" t="inlineStr">
        <is>
          <t>SEC</t>
        </is>
      </c>
    </row>
    <row r="5904">
      <c r="A5904" s="5">
        <f>HYPERLINK("https://finance.yahoo.com/quote/TANH","TANH")</f>
        <v/>
      </c>
      <c r="B5904" t="inlineStr">
        <is>
          <t>TANTECH HOLDINGS LTD</t>
        </is>
      </c>
      <c r="C5904" t="inlineStr">
        <is>
          <t>Nasdaq</t>
        </is>
      </c>
      <c r="D5904" t="n">
        <v>1588084</v>
      </c>
      <c r="E5904" t="inlineStr">
        <is>
          <t>SEC</t>
        </is>
      </c>
    </row>
    <row r="5905">
      <c r="A5905" s="5">
        <f>HYPERLINK("https://finance.yahoo.com/quote/NTZ","NTZ")</f>
        <v/>
      </c>
      <c r="B5905" t="inlineStr">
        <is>
          <t>NATUZZI S P A</t>
        </is>
      </c>
      <c r="C5905" t="inlineStr"/>
      <c r="D5905" t="n">
        <v>900391</v>
      </c>
      <c r="E5905" t="inlineStr">
        <is>
          <t>SEC</t>
        </is>
      </c>
    </row>
    <row r="5906">
      <c r="A5906" s="5">
        <f>HYPERLINK("https://finance.yahoo.com/quote/CTXR","CTXR")</f>
        <v/>
      </c>
      <c r="B5906" t="inlineStr">
        <is>
          <t>Citius Pharmaceuticals, Inc.</t>
        </is>
      </c>
      <c r="C5906" t="inlineStr">
        <is>
          <t>Nasdaq</t>
        </is>
      </c>
      <c r="D5906" t="n">
        <v>1506251</v>
      </c>
      <c r="E5906" t="inlineStr">
        <is>
          <t>SEC</t>
        </is>
      </c>
    </row>
    <row r="5907">
      <c r="A5907" s="5">
        <f>HYPERLINK("https://finance.yahoo.com/quote/NGTF","NGTF")</f>
        <v/>
      </c>
      <c r="B5907" t="inlineStr">
        <is>
          <t>NightFood Holdings, Inc.</t>
        </is>
      </c>
      <c r="C5907" t="inlineStr">
        <is>
          <t>OTC</t>
        </is>
      </c>
      <c r="D5907" t="n">
        <v>1593001</v>
      </c>
      <c r="E5907" t="inlineStr">
        <is>
          <t>SEC</t>
        </is>
      </c>
    </row>
    <row r="5908">
      <c r="A5908" s="5">
        <f>HYPERLINK("https://finance.yahoo.com/quote/CABR","CABR")</f>
        <v/>
      </c>
      <c r="B5908" t="inlineStr">
        <is>
          <t>Caring Brands, Inc.</t>
        </is>
      </c>
      <c r="C5908" t="inlineStr">
        <is>
          <t>Nasdaq</t>
        </is>
      </c>
      <c r="D5908" t="n">
        <v>2020737</v>
      </c>
      <c r="E5908" t="inlineStr">
        <is>
          <t>SEC</t>
        </is>
      </c>
    </row>
    <row r="5909">
      <c r="A5909" s="5">
        <f>HYPERLINK("https://finance.yahoo.com/quote/WIMI","WIMI")</f>
        <v/>
      </c>
      <c r="B5909" t="inlineStr">
        <is>
          <t>WiMi Hologram Cloud Inc.</t>
        </is>
      </c>
      <c r="C5909" t="inlineStr">
        <is>
          <t>Nasdaq</t>
        </is>
      </c>
      <c r="D5909" t="n">
        <v>1770088</v>
      </c>
      <c r="E5909" t="inlineStr">
        <is>
          <t>SEC</t>
        </is>
      </c>
    </row>
    <row r="5910">
      <c r="A5910" s="5">
        <f>HYPERLINK("https://finance.yahoo.com/quote/PRPL","PRPL")</f>
        <v/>
      </c>
      <c r="B5910" t="inlineStr">
        <is>
          <t>Purple Innovation, Inc.</t>
        </is>
      </c>
      <c r="C5910" t="inlineStr">
        <is>
          <t>Nasdaq</t>
        </is>
      </c>
      <c r="D5910" t="n">
        <v>1643953</v>
      </c>
      <c r="E5910" t="inlineStr">
        <is>
          <t>SEC</t>
        </is>
      </c>
    </row>
    <row r="5911">
      <c r="A5911" s="5">
        <f>HYPERLINK("https://finance.yahoo.com/quote/LCTC","LCTC")</f>
        <v/>
      </c>
      <c r="B5911" t="inlineStr">
        <is>
          <t>Lifeloc Technologies, Inc</t>
        </is>
      </c>
      <c r="C5911" t="inlineStr">
        <is>
          <t>OTC</t>
        </is>
      </c>
      <c r="D5911" t="n">
        <v>1493137</v>
      </c>
      <c r="E5911" t="inlineStr">
        <is>
          <t>SEC</t>
        </is>
      </c>
    </row>
    <row r="5912">
      <c r="A5912" s="5">
        <f>HYPERLINK("https://finance.yahoo.com/quote/NSURF","NSURF")</f>
        <v/>
      </c>
      <c r="B5912" t="inlineStr">
        <is>
          <t>North Shore Uranium Ltd.</t>
        </is>
      </c>
      <c r="C5912" t="inlineStr">
        <is>
          <t>OTC</t>
        </is>
      </c>
      <c r="D5912" t="n">
        <v>2002326</v>
      </c>
      <c r="E5912" t="inlineStr">
        <is>
          <t>SEC</t>
        </is>
      </c>
    </row>
    <row r="5913">
      <c r="A5913" s="5">
        <f>HYPERLINK("https://finance.yahoo.com/quote/GDTC","GDTC")</f>
        <v/>
      </c>
      <c r="B5913" t="inlineStr">
        <is>
          <t>CytoMed Therapeutics Ltd</t>
        </is>
      </c>
      <c r="C5913" t="inlineStr">
        <is>
          <t>Nasdaq</t>
        </is>
      </c>
      <c r="D5913" t="n">
        <v>1873093</v>
      </c>
      <c r="E5913" t="inlineStr">
        <is>
          <t>SEC</t>
        </is>
      </c>
    </row>
    <row r="5914">
      <c r="A5914" s="5">
        <f>HYPERLINK("https://finance.yahoo.com/quote/ASTC","ASTC")</f>
        <v/>
      </c>
      <c r="B5914" t="inlineStr">
        <is>
          <t>ASTROTECH Corp</t>
        </is>
      </c>
      <c r="C5914" t="inlineStr">
        <is>
          <t>Nasdaq</t>
        </is>
      </c>
      <c r="D5914" t="n">
        <v>1001907</v>
      </c>
      <c r="E5914" t="inlineStr">
        <is>
          <t>SEC</t>
        </is>
      </c>
    </row>
    <row r="5915">
      <c r="A5915" s="5">
        <f>HYPERLINK("https://finance.yahoo.com/quote/PASG","PASG")</f>
        <v/>
      </c>
      <c r="B5915" t="inlineStr">
        <is>
          <t>Passage BIO, Inc.</t>
        </is>
      </c>
      <c r="C5915" t="inlineStr">
        <is>
          <t>Nasdaq</t>
        </is>
      </c>
      <c r="D5915" t="n">
        <v>1787297</v>
      </c>
      <c r="E5915" t="inlineStr">
        <is>
          <t>SEC</t>
        </is>
      </c>
    </row>
    <row r="5916">
      <c r="A5916" s="5">
        <f>HYPERLINK("https://finance.yahoo.com/quote/GETYQ","GETYQ")</f>
        <v/>
      </c>
      <c r="B5916" t="inlineStr">
        <is>
          <t>Getty Images Holdings, Inc.</t>
        </is>
      </c>
      <c r="C5916" t="inlineStr">
        <is>
          <t>OTC</t>
        </is>
      </c>
      <c r="D5916" t="n">
        <v>1898496</v>
      </c>
      <c r="E5916" t="inlineStr">
        <is>
          <t>SEC</t>
        </is>
      </c>
    </row>
    <row r="5917">
      <c r="A5917" s="5">
        <f>HYPERLINK("https://finance.yahoo.com/quote/PSQH","PSQH")</f>
        <v/>
      </c>
      <c r="B5917" t="inlineStr">
        <is>
          <t>PSQ Holdings, Inc.</t>
        </is>
      </c>
      <c r="C5917" t="inlineStr">
        <is>
          <t>NYSE</t>
        </is>
      </c>
      <c r="D5917" t="n">
        <v>1847064</v>
      </c>
      <c r="E5917" t="inlineStr">
        <is>
          <t>SEC</t>
        </is>
      </c>
    </row>
    <row r="5918">
      <c r="A5918" s="5">
        <f>HYPERLINK("https://finance.yahoo.com/quote/BITTF","BITTF")</f>
        <v/>
      </c>
      <c r="B5918" t="inlineStr">
        <is>
          <t>BITTERROOT RESOURCES LTD</t>
        </is>
      </c>
      <c r="C5918" t="inlineStr">
        <is>
          <t>OTC</t>
        </is>
      </c>
      <c r="D5918" t="n">
        <v>1028357</v>
      </c>
      <c r="E5918" t="inlineStr">
        <is>
          <t>SEC</t>
        </is>
      </c>
    </row>
    <row r="5919">
      <c r="A5919" s="5">
        <f>HYPERLINK("https://finance.yahoo.com/quote/BIVI","BIVI")</f>
        <v/>
      </c>
      <c r="B5919" t="inlineStr">
        <is>
          <t>BIOVIE INC.</t>
        </is>
      </c>
      <c r="C5919" t="inlineStr">
        <is>
          <t>Nasdaq</t>
        </is>
      </c>
      <c r="D5919" t="n">
        <v>1580149</v>
      </c>
      <c r="E5919" t="inlineStr">
        <is>
          <t>SEC</t>
        </is>
      </c>
    </row>
    <row r="5920">
      <c r="A5920" s="5">
        <f>HYPERLINK("https://finance.yahoo.com/quote/RYOOF","RYOOF")</f>
        <v/>
      </c>
      <c r="B5920" t="inlineStr">
        <is>
          <t>Rio Silver Inc.</t>
        </is>
      </c>
      <c r="C5920" t="inlineStr">
        <is>
          <t>OTC</t>
        </is>
      </c>
      <c r="D5920" t="n">
        <v>1683274</v>
      </c>
      <c r="E5920" t="inlineStr">
        <is>
          <t>SEC</t>
        </is>
      </c>
    </row>
    <row r="5921">
      <c r="A5921" s="5">
        <f>HYPERLINK("https://finance.yahoo.com/quote/ALAR","ALAR")</f>
        <v/>
      </c>
      <c r="B5921" t="inlineStr">
        <is>
          <t>Alarum Technologies Ltd.</t>
        </is>
      </c>
      <c r="C5921" t="inlineStr">
        <is>
          <t>Nasdaq</t>
        </is>
      </c>
      <c r="D5921" t="n">
        <v>1725332</v>
      </c>
      <c r="E5921" t="inlineStr">
        <is>
          <t>SEC</t>
        </is>
      </c>
    </row>
    <row r="5922">
      <c r="A5922" s="5">
        <f>HYPERLINK("https://finance.yahoo.com/quote/AUST","AUST")</f>
        <v/>
      </c>
      <c r="B5922" t="inlineStr">
        <is>
          <t>Austin Gold Corp.</t>
        </is>
      </c>
      <c r="C5922" t="inlineStr">
        <is>
          <t>NYSE</t>
        </is>
      </c>
      <c r="D5922" t="n">
        <v>1817740</v>
      </c>
      <c r="E5922" t="inlineStr">
        <is>
          <t>SEC</t>
        </is>
      </c>
    </row>
    <row r="5923">
      <c r="A5923" s="5">
        <f>HYPERLINK("https://finance.yahoo.com/quote/TRUFF","TRUFF")</f>
        <v/>
      </c>
      <c r="B5923" t="inlineStr">
        <is>
          <t>Red Light Holland Corp.</t>
        </is>
      </c>
      <c r="C5923" t="inlineStr">
        <is>
          <t>OTC</t>
        </is>
      </c>
      <c r="D5923" t="n">
        <v>1836747</v>
      </c>
      <c r="E5923" t="inlineStr">
        <is>
          <t>SEC</t>
        </is>
      </c>
    </row>
    <row r="5924">
      <c r="A5924" s="5">
        <f>HYPERLINK("https://finance.yahoo.com/quote/INTS","INTS")</f>
        <v/>
      </c>
      <c r="B5924" t="inlineStr">
        <is>
          <t>INTENSITY THERAPEUTICS, INC.</t>
        </is>
      </c>
      <c r="C5924" t="inlineStr">
        <is>
          <t>Nasdaq</t>
        </is>
      </c>
      <c r="D5924" t="n">
        <v>1567264</v>
      </c>
      <c r="E5924" t="inlineStr">
        <is>
          <t>SEC</t>
        </is>
      </c>
    </row>
    <row r="5925">
      <c r="A5925" s="5">
        <f>HYPERLINK("https://finance.yahoo.com/quote/ATCX","ATCX")</f>
        <v/>
      </c>
      <c r="B5925" t="inlineStr">
        <is>
          <t>ATLAS CRITICAL MINERALS Corp</t>
        </is>
      </c>
      <c r="C5925" t="inlineStr">
        <is>
          <t>Nasdaq</t>
        </is>
      </c>
      <c r="D5925" t="n">
        <v>1684688</v>
      </c>
      <c r="E5925" t="inlineStr">
        <is>
          <t>SEC</t>
        </is>
      </c>
    </row>
    <row r="5926">
      <c r="A5926" s="5">
        <f>HYPERLINK("https://finance.yahoo.com/quote/CDLX","CDLX")</f>
        <v/>
      </c>
      <c r="B5926" t="inlineStr">
        <is>
          <t>Cardlytics, Inc.</t>
        </is>
      </c>
      <c r="C5926" t="inlineStr">
        <is>
          <t>Nasdaq</t>
        </is>
      </c>
      <c r="D5926" t="n">
        <v>1666071</v>
      </c>
      <c r="E5926" t="inlineStr">
        <is>
          <t>SEC</t>
        </is>
      </c>
    </row>
    <row r="5927">
      <c r="A5927" s="5">
        <f>HYPERLINK("https://finance.yahoo.com/quote/ZDAI","ZDAI")</f>
        <v/>
      </c>
      <c r="B5927" t="inlineStr">
        <is>
          <t>DirectBooking Technology Co., Ltd.</t>
        </is>
      </c>
      <c r="C5927" t="inlineStr">
        <is>
          <t>Nasdaq</t>
        </is>
      </c>
      <c r="D5927" t="n">
        <v>1966678</v>
      </c>
      <c r="E5927" t="inlineStr">
        <is>
          <t>SEC</t>
        </is>
      </c>
    </row>
    <row r="5928">
      <c r="A5928" s="5">
        <f>HYPERLINK("https://finance.yahoo.com/quote/LSTA","LSTA")</f>
        <v/>
      </c>
      <c r="B5928" t="inlineStr">
        <is>
          <t>LISATA THERAPEUTICS, INC.</t>
        </is>
      </c>
      <c r="C5928" t="inlineStr">
        <is>
          <t>Nasdaq</t>
        </is>
      </c>
      <c r="D5928" t="n">
        <v>320017</v>
      </c>
      <c r="E5928" t="inlineStr">
        <is>
          <t>SEC</t>
        </is>
      </c>
    </row>
    <row r="5929">
      <c r="A5929" s="5">
        <f>HYPERLINK("https://finance.yahoo.com/quote/GIXI","GIXI")</f>
        <v/>
      </c>
      <c r="B5929" t="inlineStr">
        <is>
          <t>Gix Internet Ltd.</t>
        </is>
      </c>
      <c r="C5929" t="inlineStr">
        <is>
          <t>Nasdaq</t>
        </is>
      </c>
      <c r="D5929" t="n">
        <v>1782265</v>
      </c>
      <c r="E5929" t="inlineStr">
        <is>
          <t>SEC</t>
        </is>
      </c>
    </row>
    <row r="5930">
      <c r="A5930" s="5">
        <f>HYPERLINK("https://finance.yahoo.com/quote/FRECF","FRECF")</f>
        <v/>
      </c>
      <c r="B5930" t="inlineStr">
        <is>
          <t>Frequency Exchange Corp.</t>
        </is>
      </c>
      <c r="C5930" t="inlineStr">
        <is>
          <t>OTC</t>
        </is>
      </c>
      <c r="D5930" t="n">
        <v>1816133</v>
      </c>
      <c r="E5930" t="inlineStr">
        <is>
          <t>SEC</t>
        </is>
      </c>
    </row>
    <row r="5931">
      <c r="A5931" s="5">
        <f>HYPERLINK("https://finance.yahoo.com/quote/EWSB","EWSB")</f>
        <v/>
      </c>
      <c r="B5931" t="inlineStr">
        <is>
          <t>EWSB Bancorp, Inc. /MD/</t>
        </is>
      </c>
      <c r="C5931" t="inlineStr">
        <is>
          <t>OTC</t>
        </is>
      </c>
      <c r="D5931" t="n">
        <v>2013792</v>
      </c>
      <c r="E5931" t="inlineStr">
        <is>
          <t>SEC</t>
        </is>
      </c>
    </row>
    <row r="5932">
      <c r="A5932" s="5">
        <f>HYPERLINK("https://finance.yahoo.com/quote/ADIA","ADIA")</f>
        <v/>
      </c>
      <c r="B5932" t="inlineStr">
        <is>
          <t>Adia Med, Inc.</t>
        </is>
      </c>
      <c r="C5932" t="inlineStr">
        <is>
          <t>OTC</t>
        </is>
      </c>
      <c r="D5932" t="n">
        <v>1160420</v>
      </c>
      <c r="E5932" t="inlineStr">
        <is>
          <t>SEC</t>
        </is>
      </c>
    </row>
    <row r="5933">
      <c r="A5933" s="5">
        <f>HYPERLINK("https://finance.yahoo.com/quote/SUND","SUND")</f>
        <v/>
      </c>
      <c r="B5933" t="inlineStr">
        <is>
          <t>Sundance Strategies, Inc.</t>
        </is>
      </c>
      <c r="C5933" t="inlineStr">
        <is>
          <t>OTC</t>
        </is>
      </c>
      <c r="D5933" t="n">
        <v>1171838</v>
      </c>
      <c r="E5933" t="inlineStr">
        <is>
          <t>SEC</t>
        </is>
      </c>
    </row>
    <row r="5934">
      <c r="A5934" s="5">
        <f>HYPERLINK("https://finance.yahoo.com/quote/KPRX","KPRX")</f>
        <v/>
      </c>
      <c r="B5934" t="inlineStr">
        <is>
          <t>KIORA PHARMACEUTICALS INC</t>
        </is>
      </c>
      <c r="C5934" t="inlineStr">
        <is>
          <t>Nasdaq</t>
        </is>
      </c>
      <c r="D5934" t="n">
        <v>1372514</v>
      </c>
      <c r="E5934" t="inlineStr">
        <is>
          <t>SEC</t>
        </is>
      </c>
    </row>
    <row r="5935">
      <c r="A5935" s="5">
        <f>HYPERLINK("https://finance.yahoo.com/quote/BLRX","BLRX")</f>
        <v/>
      </c>
      <c r="B5935" t="inlineStr">
        <is>
          <t>BioLineRx Ltd.</t>
        </is>
      </c>
      <c r="C5935" t="inlineStr">
        <is>
          <t>Nasdaq</t>
        </is>
      </c>
      <c r="D5935" t="n">
        <v>1498403</v>
      </c>
      <c r="E5935" t="inlineStr">
        <is>
          <t>SEC</t>
        </is>
      </c>
    </row>
    <row r="5936">
      <c r="A5936" s="5">
        <f>HYPERLINK("https://finance.yahoo.com/quote/BNET","BNET")</f>
        <v/>
      </c>
      <c r="B5936" t="inlineStr">
        <is>
          <t>BION ENVIRONMENTAL TECHNOLOGIES INC</t>
        </is>
      </c>
      <c r="C5936" t="inlineStr">
        <is>
          <t>OTC</t>
        </is>
      </c>
      <c r="D5936" t="n">
        <v>875729</v>
      </c>
      <c r="E5936" t="inlineStr">
        <is>
          <t>SEC</t>
        </is>
      </c>
    </row>
    <row r="5937">
      <c r="A5937" s="5">
        <f>HYPERLINK("https://finance.yahoo.com/quote/FRTT","FRTT")</f>
        <v/>
      </c>
      <c r="B5937" t="inlineStr">
        <is>
          <t>Fort Technology Inc</t>
        </is>
      </c>
      <c r="C5937" t="inlineStr">
        <is>
          <t>Nasdaq</t>
        </is>
      </c>
      <c r="D5937" t="n">
        <v>2092967</v>
      </c>
      <c r="E5937" t="inlineStr">
        <is>
          <t>SEC</t>
        </is>
      </c>
    </row>
    <row r="5938">
      <c r="A5938" s="5">
        <f>HYPERLINK("https://finance.yahoo.com/quote/SEED","SEED")</f>
        <v/>
      </c>
      <c r="B5938" t="inlineStr">
        <is>
          <t>Origin Agritech LTD</t>
        </is>
      </c>
      <c r="C5938" t="inlineStr">
        <is>
          <t>Nasdaq</t>
        </is>
      </c>
      <c r="D5938" t="n">
        <v>1321851</v>
      </c>
      <c r="E5938" t="inlineStr">
        <is>
          <t>SEC</t>
        </is>
      </c>
    </row>
    <row r="5939">
      <c r="A5939" s="5">
        <f>HYPERLINK("https://finance.yahoo.com/quote/PBSV","PBSV")</f>
        <v/>
      </c>
      <c r="B5939" t="inlineStr">
        <is>
          <t>Pharma-Bio Serv, Inc.</t>
        </is>
      </c>
      <c r="C5939" t="inlineStr">
        <is>
          <t>OTC</t>
        </is>
      </c>
      <c r="D5939" t="n">
        <v>1304161</v>
      </c>
      <c r="E5939" t="inlineStr">
        <is>
          <t>SEC</t>
        </is>
      </c>
    </row>
    <row r="5940">
      <c r="A5940" s="5">
        <f>HYPERLINK("https://finance.yahoo.com/quote/XCRT","XCRT")</f>
        <v/>
      </c>
      <c r="B5940" t="inlineStr">
        <is>
          <t>Xcelerate, Inc.</t>
        </is>
      </c>
      <c r="C5940" t="inlineStr">
        <is>
          <t>OTC</t>
        </is>
      </c>
      <c r="D5940" t="n">
        <v>1138586</v>
      </c>
      <c r="E5940" t="inlineStr">
        <is>
          <t>SEC</t>
        </is>
      </c>
    </row>
    <row r="5941">
      <c r="A5941" s="5">
        <f>HYPERLINK("https://finance.yahoo.com/quote/NCPL","NCPL")</f>
        <v/>
      </c>
      <c r="B5941" t="inlineStr">
        <is>
          <t>Netcapital Inc.</t>
        </is>
      </c>
      <c r="C5941" t="inlineStr">
        <is>
          <t>Nasdaq</t>
        </is>
      </c>
      <c r="D5941" t="n">
        <v>1414767</v>
      </c>
      <c r="E5941" t="inlineStr">
        <is>
          <t>SEC</t>
        </is>
      </c>
    </row>
    <row r="5942">
      <c r="A5942" s="5">
        <f>HYPERLINK("https://finance.yahoo.com/quote/CNTMF","CNTMF")</f>
        <v/>
      </c>
      <c r="B5942" t="inlineStr">
        <is>
          <t>Fluent Corp.</t>
        </is>
      </c>
      <c r="C5942" t="inlineStr">
        <is>
          <t>OTC</t>
        </is>
      </c>
      <c r="D5942" t="n">
        <v>1758124</v>
      </c>
      <c r="E5942" t="inlineStr">
        <is>
          <t>SEC</t>
        </is>
      </c>
    </row>
    <row r="5943">
      <c r="A5943" s="5">
        <f>HYPERLINK("https://finance.yahoo.com/quote/CVAT","CVAT")</f>
        <v/>
      </c>
      <c r="B5943" t="inlineStr">
        <is>
          <t>Cavitation Technologies, Inc.</t>
        </is>
      </c>
      <c r="C5943" t="inlineStr">
        <is>
          <t>OTC</t>
        </is>
      </c>
      <c r="D5943" t="n">
        <v>1376793</v>
      </c>
      <c r="E5943" t="inlineStr">
        <is>
          <t>SEC</t>
        </is>
      </c>
    </row>
    <row r="5944">
      <c r="A5944" s="5">
        <f>HYPERLINK("https://finance.yahoo.com/quote/VGTK","VGTK")</f>
        <v/>
      </c>
      <c r="B5944" t="inlineStr">
        <is>
          <t>Viking Global Technologies, Inc.</t>
        </is>
      </c>
      <c r="C5944" t="inlineStr">
        <is>
          <t>OTC</t>
        </is>
      </c>
      <c r="D5944" t="n">
        <v>1309082</v>
      </c>
      <c r="E5944" t="inlineStr">
        <is>
          <t>SEC</t>
        </is>
      </c>
    </row>
    <row r="5945">
      <c r="A5945" s="5">
        <f>HYPERLINK("https://finance.yahoo.com/quote/BTBD","BTBD")</f>
        <v/>
      </c>
      <c r="B5945" t="inlineStr">
        <is>
          <t>BT Brands, Inc.</t>
        </is>
      </c>
      <c r="C5945" t="inlineStr">
        <is>
          <t>Nasdaq</t>
        </is>
      </c>
      <c r="D5945" t="n">
        <v>1718224</v>
      </c>
      <c r="E5945" t="inlineStr">
        <is>
          <t>SEC</t>
        </is>
      </c>
    </row>
    <row r="5946">
      <c r="A5946" s="5">
        <f>HYPERLINK("https://finance.yahoo.com/quote/PHIO","PHIO")</f>
        <v/>
      </c>
      <c r="B5946" t="inlineStr">
        <is>
          <t>Phio Pharmaceuticals Corp.</t>
        </is>
      </c>
      <c r="C5946" t="inlineStr">
        <is>
          <t>Nasdaq</t>
        </is>
      </c>
      <c r="D5946" t="n">
        <v>1533040</v>
      </c>
      <c r="E5946" t="inlineStr">
        <is>
          <t>SEC</t>
        </is>
      </c>
    </row>
    <row r="5947">
      <c r="A5947" s="5">
        <f>HYPERLINK("https://finance.yahoo.com/quote/MEDS","MEDS")</f>
        <v/>
      </c>
      <c r="B5947" t="inlineStr">
        <is>
          <t>DataMeds AI, Inc.</t>
        </is>
      </c>
      <c r="C5947" t="inlineStr">
        <is>
          <t>Nasdaq</t>
        </is>
      </c>
      <c r="D5947" t="n">
        <v>2030763</v>
      </c>
      <c r="E5947" t="inlineStr">
        <is>
          <t>SEC</t>
        </is>
      </c>
    </row>
    <row r="5948">
      <c r="A5948" s="5">
        <f>HYPERLINK("https://finance.yahoo.com/quote/CRWE","CRWE")</f>
        <v/>
      </c>
      <c r="B5948" t="inlineStr">
        <is>
          <t>Crown Equity Holdings, Inc.</t>
        </is>
      </c>
      <c r="C5948" t="inlineStr">
        <is>
          <t>OTC</t>
        </is>
      </c>
      <c r="D5948" t="n">
        <v>1103833</v>
      </c>
      <c r="E5948" t="inlineStr">
        <is>
          <t>SEC</t>
        </is>
      </c>
    </row>
    <row r="5949">
      <c r="A5949" s="5">
        <f>HYPERLINK("https://finance.yahoo.com/quote/OST","OST")</f>
        <v/>
      </c>
      <c r="B5949" t="inlineStr">
        <is>
          <t>Ostin Technology Group Co., Ltd.</t>
        </is>
      </c>
      <c r="C5949" t="inlineStr">
        <is>
          <t>Nasdaq</t>
        </is>
      </c>
      <c r="D5949" t="n">
        <v>1803407</v>
      </c>
      <c r="E5949" t="inlineStr">
        <is>
          <t>SEC</t>
        </is>
      </c>
    </row>
    <row r="5950">
      <c r="A5950" s="5">
        <f>HYPERLINK("https://finance.yahoo.com/quote/AETN","AETN")</f>
        <v/>
      </c>
      <c r="B5950" t="inlineStr">
        <is>
          <t>AETERNUM HEALTH, INC.</t>
        </is>
      </c>
      <c r="C5950" t="inlineStr">
        <is>
          <t>OTC</t>
        </is>
      </c>
      <c r="D5950" t="n">
        <v>764630</v>
      </c>
      <c r="E5950" t="inlineStr">
        <is>
          <t>SEC</t>
        </is>
      </c>
    </row>
    <row r="5951">
      <c r="A5951" s="5">
        <f>HYPERLINK("https://finance.yahoo.com/quote/GARWF","GARWF")</f>
        <v/>
      </c>
      <c r="B5951" t="inlineStr">
        <is>
          <t>Golden Arrow Resources Corp</t>
        </is>
      </c>
      <c r="C5951" t="inlineStr">
        <is>
          <t>OTC</t>
        </is>
      </c>
      <c r="D5951" t="n">
        <v>1403870</v>
      </c>
      <c r="E5951" t="inlineStr">
        <is>
          <t>SEC</t>
        </is>
      </c>
    </row>
    <row r="5952">
      <c r="A5952" s="5">
        <f>HYPERLINK("https://finance.yahoo.com/quote/CMCT","CMCT")</f>
        <v/>
      </c>
      <c r="B5952" t="inlineStr">
        <is>
          <t>Creative Media &amp; Community Trust Corp</t>
        </is>
      </c>
      <c r="C5952" t="inlineStr">
        <is>
          <t>Nasdaq</t>
        </is>
      </c>
      <c r="D5952" t="n">
        <v>908311</v>
      </c>
      <c r="E5952" t="inlineStr">
        <is>
          <t>SEC</t>
        </is>
      </c>
    </row>
    <row r="5953">
      <c r="A5953" s="5">
        <f>HYPERLINK("https://finance.yahoo.com/quote/INAB","INAB")</f>
        <v/>
      </c>
      <c r="B5953" t="inlineStr">
        <is>
          <t>IN8BIO, INC.</t>
        </is>
      </c>
      <c r="C5953" t="inlineStr">
        <is>
          <t>Nasdaq</t>
        </is>
      </c>
      <c r="D5953" t="n">
        <v>1740279</v>
      </c>
      <c r="E5953" t="inlineStr">
        <is>
          <t>SEC</t>
        </is>
      </c>
    </row>
    <row r="5954">
      <c r="A5954" s="5">
        <f>HYPERLINK("https://finance.yahoo.com/quote/AWHL","AWHL")</f>
        <v/>
      </c>
      <c r="B5954" t="inlineStr">
        <is>
          <t>Aspira Women's Health Inc.</t>
        </is>
      </c>
      <c r="C5954" t="inlineStr">
        <is>
          <t>OTC</t>
        </is>
      </c>
      <c r="D5954" t="n">
        <v>926617</v>
      </c>
      <c r="E5954" t="inlineStr">
        <is>
          <t>SEC</t>
        </is>
      </c>
    </row>
    <row r="5955">
      <c r="A5955" s="5">
        <f>HYPERLINK("https://finance.yahoo.com/quote/IOTR","IOTR")</f>
        <v/>
      </c>
      <c r="B5955" t="inlineStr">
        <is>
          <t>iOThree Ltd</t>
        </is>
      </c>
      <c r="C5955" t="inlineStr">
        <is>
          <t>Nasdaq</t>
        </is>
      </c>
      <c r="D5955" t="n">
        <v>1997637</v>
      </c>
      <c r="E5955" t="inlineStr">
        <is>
          <t>SEC</t>
        </is>
      </c>
    </row>
    <row r="5956">
      <c r="A5956" s="5">
        <f>HYPERLINK("https://finance.yahoo.com/quote/MMCP","MMCP")</f>
        <v/>
      </c>
      <c r="B5956" t="inlineStr">
        <is>
          <t>Mag Mile Capital, Inc.</t>
        </is>
      </c>
      <c r="C5956" t="inlineStr">
        <is>
          <t>OTC</t>
        </is>
      </c>
      <c r="D5956" t="n">
        <v>1879293</v>
      </c>
      <c r="E5956" t="inlineStr">
        <is>
          <t>SEC</t>
        </is>
      </c>
    </row>
    <row r="5957">
      <c r="A5957" s="5">
        <f>HYPERLINK("https://finance.yahoo.com/quote/CLWT","CLWT")</f>
        <v/>
      </c>
      <c r="B5957" t="inlineStr">
        <is>
          <t>EURO TECH HOLDINGS CO LTD</t>
        </is>
      </c>
      <c r="C5957" t="inlineStr">
        <is>
          <t>Nasdaq</t>
        </is>
      </c>
      <c r="D5957" t="n">
        <v>1026662</v>
      </c>
      <c r="E5957" t="inlineStr">
        <is>
          <t>SEC</t>
        </is>
      </c>
    </row>
    <row r="5958">
      <c r="A5958" s="5">
        <f>HYPERLINK("https://finance.yahoo.com/quote/AWX","AWX")</f>
        <v/>
      </c>
      <c r="B5958" t="inlineStr">
        <is>
          <t>AVALON HOLDINGS CORP</t>
        </is>
      </c>
      <c r="C5958" t="inlineStr">
        <is>
          <t>NYSE</t>
        </is>
      </c>
      <c r="D5958" t="n">
        <v>1061069</v>
      </c>
      <c r="E5958" t="inlineStr">
        <is>
          <t>SEC</t>
        </is>
      </c>
    </row>
    <row r="5959">
      <c r="A5959" s="5">
        <f>HYPERLINK("https://finance.yahoo.com/quote/IQST","IQST")</f>
        <v/>
      </c>
      <c r="B5959" t="inlineStr">
        <is>
          <t>iQSTEL Inc</t>
        </is>
      </c>
      <c r="C5959" t="inlineStr">
        <is>
          <t>Nasdaq</t>
        </is>
      </c>
      <c r="D5959" t="n">
        <v>1527702</v>
      </c>
      <c r="E5959" t="inlineStr">
        <is>
          <t>SEC</t>
        </is>
      </c>
    </row>
    <row r="5960">
      <c r="A5960" s="5">
        <f>HYPERLINK("https://finance.yahoo.com/quote/BRFH","BRFH")</f>
        <v/>
      </c>
      <c r="B5960" t="inlineStr">
        <is>
          <t>BARFRESH FOOD GROUP INC.</t>
        </is>
      </c>
      <c r="C5960" t="inlineStr">
        <is>
          <t>Nasdaq</t>
        </is>
      </c>
      <c r="D5960" t="n">
        <v>1487197</v>
      </c>
      <c r="E5960" t="inlineStr">
        <is>
          <t>SEC</t>
        </is>
      </c>
    </row>
    <row r="5961">
      <c r="A5961" s="5">
        <f>HYPERLINK("https://finance.yahoo.com/quote/XHLD","XHLD")</f>
        <v/>
      </c>
      <c r="B5961" t="inlineStr">
        <is>
          <t>TEN Holdings, Inc.</t>
        </is>
      </c>
      <c r="C5961" t="inlineStr">
        <is>
          <t>Nasdaq</t>
        </is>
      </c>
      <c r="D5961" t="n">
        <v>2030954</v>
      </c>
      <c r="E5961" t="inlineStr">
        <is>
          <t>SEC</t>
        </is>
      </c>
    </row>
    <row r="5962">
      <c r="A5962" s="5">
        <f>HYPERLINK("https://finance.yahoo.com/quote/THURF","THURF")</f>
        <v/>
      </c>
      <c r="B5962" t="inlineStr">
        <is>
          <t>Thunderstruck Resources Ltd.</t>
        </is>
      </c>
      <c r="C5962" t="inlineStr">
        <is>
          <t>OTC</t>
        </is>
      </c>
      <c r="D5962" t="n">
        <v>1536811</v>
      </c>
      <c r="E5962" t="inlineStr">
        <is>
          <t>SEC</t>
        </is>
      </c>
    </row>
    <row r="5963">
      <c r="A5963" s="5">
        <f>HYPERLINK("https://finance.yahoo.com/quote/MTTAF","MTTAF")</f>
        <v/>
      </c>
      <c r="B5963" t="inlineStr">
        <is>
          <t>Meta Critical Minerals Inc.</t>
        </is>
      </c>
      <c r="C5963" t="inlineStr">
        <is>
          <t>OTC</t>
        </is>
      </c>
      <c r="D5963" t="n">
        <v>1999111</v>
      </c>
      <c r="E5963" t="inlineStr">
        <is>
          <t>SEC</t>
        </is>
      </c>
    </row>
    <row r="5964">
      <c r="A5964" s="5">
        <f>HYPERLINK("https://finance.yahoo.com/quote/PURE","PURE")</f>
        <v/>
      </c>
      <c r="B5964" t="inlineStr">
        <is>
          <t>PURE BIOSCIENCE, INC.</t>
        </is>
      </c>
      <c r="C5964" t="inlineStr">
        <is>
          <t>OTC</t>
        </is>
      </c>
      <c r="D5964" t="n">
        <v>1006028</v>
      </c>
      <c r="E5964" t="inlineStr">
        <is>
          <t>SEC</t>
        </is>
      </c>
    </row>
    <row r="5965">
      <c r="A5965" s="5">
        <f>HYPERLINK("https://finance.yahoo.com/quote/GYRO","GYRO")</f>
        <v/>
      </c>
      <c r="B5965" t="inlineStr">
        <is>
          <t>Gyrodyne, LLC</t>
        </is>
      </c>
      <c r="C5965" t="inlineStr">
        <is>
          <t>Nasdaq</t>
        </is>
      </c>
      <c r="D5965" t="n">
        <v>1589061</v>
      </c>
      <c r="E5965" t="inlineStr">
        <is>
          <t>SEC</t>
        </is>
      </c>
    </row>
    <row r="5966">
      <c r="A5966" s="5">
        <f>HYPERLINK("https://finance.yahoo.com/quote/ELECF","ELECF")</f>
        <v/>
      </c>
      <c r="B5966" t="inlineStr">
        <is>
          <t>Electric Royalties Ltd.</t>
        </is>
      </c>
      <c r="C5966" t="inlineStr">
        <is>
          <t>OTC</t>
        </is>
      </c>
      <c r="D5966" t="n">
        <v>1817083</v>
      </c>
      <c r="E5966" t="inlineStr">
        <is>
          <t>SEC</t>
        </is>
      </c>
    </row>
    <row r="5967">
      <c r="A5967" s="5">
        <f>HYPERLINK("https://finance.yahoo.com/quote/SLGB","SLGB")</f>
        <v/>
      </c>
      <c r="B5967" t="inlineStr">
        <is>
          <t>Smart Logistics Global Ltd</t>
        </is>
      </c>
      <c r="C5967" t="inlineStr">
        <is>
          <t>Nasdaq</t>
        </is>
      </c>
      <c r="D5967" t="n">
        <v>1987189</v>
      </c>
      <c r="E5967" t="inlineStr">
        <is>
          <t>SEC</t>
        </is>
      </c>
    </row>
    <row r="5968">
      <c r="A5968" s="5">
        <f>HYPERLINK("https://finance.yahoo.com/quote/XERI","XERI")</f>
        <v/>
      </c>
      <c r="B5968" t="inlineStr">
        <is>
          <t>XERIANT, INC.</t>
        </is>
      </c>
      <c r="C5968" t="inlineStr">
        <is>
          <t>OTC</t>
        </is>
      </c>
      <c r="D5968" t="n">
        <v>1481504</v>
      </c>
      <c r="E5968" t="inlineStr">
        <is>
          <t>SEC</t>
        </is>
      </c>
    </row>
    <row r="5969">
      <c r="A5969" s="5">
        <f>HYPERLINK("https://finance.yahoo.com/quote/WVVI","WVVI")</f>
        <v/>
      </c>
      <c r="B5969" t="inlineStr">
        <is>
          <t>WILLAMETTE VALLEY VINEYARDS INC</t>
        </is>
      </c>
      <c r="C5969" t="inlineStr">
        <is>
          <t>Nasdaq</t>
        </is>
      </c>
      <c r="D5969" t="n">
        <v>838875</v>
      </c>
      <c r="E5969" t="inlineStr">
        <is>
          <t>SEC</t>
        </is>
      </c>
    </row>
    <row r="5970">
      <c r="A5970" s="5">
        <f>HYPERLINK("https://finance.yahoo.com/quote/CLRO","CLRO")</f>
        <v/>
      </c>
      <c r="B5970" t="inlineStr">
        <is>
          <t>CLEARONE INC</t>
        </is>
      </c>
      <c r="C5970" t="inlineStr">
        <is>
          <t>Nasdaq</t>
        </is>
      </c>
      <c r="D5970" t="n">
        <v>840715</v>
      </c>
      <c r="E5970" t="inlineStr">
        <is>
          <t>SEC</t>
        </is>
      </c>
    </row>
    <row r="5971">
      <c r="A5971" s="5">
        <f>HYPERLINK("https://finance.yahoo.com/quote/CVR","CVR")</f>
        <v/>
      </c>
      <c r="B5971" t="inlineStr">
        <is>
          <t>CHICAGO RIVET &amp; MACHINE CO</t>
        </is>
      </c>
      <c r="C5971" t="inlineStr">
        <is>
          <t>NYSE</t>
        </is>
      </c>
      <c r="D5971" t="n">
        <v>19871</v>
      </c>
      <c r="E5971" t="inlineStr">
        <is>
          <t>SEC</t>
        </is>
      </c>
    </row>
    <row r="5972">
      <c r="A5972" s="5">
        <f>HYPERLINK("https://finance.yahoo.com/quote/MAUUF","MAUUF")</f>
        <v/>
      </c>
      <c r="B5972" t="inlineStr">
        <is>
          <t>AERO ENERGY Ltd</t>
        </is>
      </c>
      <c r="C5972" t="inlineStr">
        <is>
          <t>OTC</t>
        </is>
      </c>
      <c r="D5972" t="n">
        <v>1905688</v>
      </c>
      <c r="E5972" t="inlineStr">
        <is>
          <t>SEC</t>
        </is>
      </c>
    </row>
    <row r="5973">
      <c r="A5973" s="5">
        <f>HYPERLINK("https://finance.yahoo.com/quote/BBBMF","BBBMF")</f>
        <v/>
      </c>
      <c r="B5973" t="inlineStr">
        <is>
          <t>Lux Metals Corp.</t>
        </is>
      </c>
      <c r="C5973" t="inlineStr">
        <is>
          <t>OTC</t>
        </is>
      </c>
      <c r="D5973" t="n">
        <v>1829809</v>
      </c>
      <c r="E5973" t="inlineStr">
        <is>
          <t>SEC</t>
        </is>
      </c>
    </row>
    <row r="5974">
      <c r="A5974" s="5">
        <f>HYPERLINK("https://finance.yahoo.com/quote/SKTG","SKTG")</f>
        <v/>
      </c>
      <c r="B5974" t="inlineStr">
        <is>
          <t>SKYTECH ORION GLOBAL CORP.</t>
        </is>
      </c>
      <c r="C5974" t="inlineStr">
        <is>
          <t>OTC</t>
        </is>
      </c>
      <c r="D5974" t="n">
        <v>1498067</v>
      </c>
      <c r="E5974" t="inlineStr">
        <is>
          <t>SEC</t>
        </is>
      </c>
    </row>
    <row r="5975">
      <c r="A5975" s="5">
        <f>HYPERLINK("https://finance.yahoo.com/quote/WLFFF","WLFFF")</f>
        <v/>
      </c>
      <c r="B5975" t="inlineStr">
        <is>
          <t>Wolfden Resources Corp</t>
        </is>
      </c>
      <c r="C5975" t="inlineStr">
        <is>
          <t>OTC</t>
        </is>
      </c>
      <c r="D5975" t="n">
        <v>1544883</v>
      </c>
      <c r="E5975" t="inlineStr">
        <is>
          <t>SEC</t>
        </is>
      </c>
    </row>
    <row r="5976">
      <c r="A5976" s="5">
        <f>HYPERLINK("https://finance.yahoo.com/quote/TBLLF","TBLLF")</f>
        <v/>
      </c>
      <c r="B5976" t="inlineStr">
        <is>
          <t>Tombill Mines Ltd</t>
        </is>
      </c>
      <c r="C5976" t="inlineStr">
        <is>
          <t>OTC</t>
        </is>
      </c>
      <c r="D5976" t="n">
        <v>1854257</v>
      </c>
      <c r="E5976" t="inlineStr">
        <is>
          <t>SEC</t>
        </is>
      </c>
    </row>
    <row r="5977">
      <c r="A5977" s="5">
        <f>HYPERLINK("https://finance.yahoo.com/quote/JCTC","JCTC")</f>
        <v/>
      </c>
      <c r="B5977" t="inlineStr">
        <is>
          <t>JEWETT CAMERON TRADING CO LTD</t>
        </is>
      </c>
      <c r="C5977" t="inlineStr">
        <is>
          <t>Nasdaq</t>
        </is>
      </c>
      <c r="D5977" t="n">
        <v>885307</v>
      </c>
      <c r="E5977" t="inlineStr">
        <is>
          <t>SEC</t>
        </is>
      </c>
    </row>
    <row r="5978">
      <c r="A5978" s="5">
        <f>HYPERLINK("https://finance.yahoo.com/quote/ICGSF","ICGSF")</f>
        <v/>
      </c>
      <c r="B5978" t="inlineStr">
        <is>
          <t>ICG Silver &amp; Gold Ltd.</t>
        </is>
      </c>
      <c r="C5978" t="inlineStr">
        <is>
          <t>OTC</t>
        </is>
      </c>
      <c r="D5978" t="n">
        <v>2123553</v>
      </c>
      <c r="E5978" t="inlineStr">
        <is>
          <t>SEC</t>
        </is>
      </c>
    </row>
    <row r="5979">
      <c r="A5979" s="5">
        <f>HYPERLINK("https://finance.yahoo.com/quote/GMM","GMM")</f>
        <v/>
      </c>
      <c r="B5979" t="inlineStr">
        <is>
          <t>Global Mofy AI Ltd</t>
        </is>
      </c>
      <c r="C5979" t="inlineStr">
        <is>
          <t>Nasdaq</t>
        </is>
      </c>
      <c r="D5979" t="n">
        <v>1913749</v>
      </c>
      <c r="E5979" t="inlineStr">
        <is>
          <t>SEC</t>
        </is>
      </c>
    </row>
    <row r="5980">
      <c r="A5980" s="5">
        <f>HYPERLINK("https://finance.yahoo.com/quote/BRRN","BRRN")</f>
        <v/>
      </c>
      <c r="B5980" t="inlineStr">
        <is>
          <t>Bryn Inc.</t>
        </is>
      </c>
      <c r="C5980" t="inlineStr"/>
      <c r="D5980" t="n">
        <v>1397795</v>
      </c>
      <c r="E5980" t="inlineStr">
        <is>
          <t>SEC</t>
        </is>
      </c>
    </row>
    <row r="5981">
      <c r="A5981" s="5">
        <f>HYPERLINK("https://finance.yahoo.com/quote/GULTU","GULTU")</f>
        <v/>
      </c>
      <c r="B5981" t="inlineStr">
        <is>
          <t>Gulf Coast Ultra Deep Royalty Trust</t>
        </is>
      </c>
      <c r="C5981" t="inlineStr">
        <is>
          <t>OTC</t>
        </is>
      </c>
      <c r="D5981" t="n">
        <v>1565146</v>
      </c>
      <c r="E5981" t="inlineStr">
        <is>
          <t>SEC</t>
        </is>
      </c>
    </row>
    <row r="5982">
      <c r="A5982" s="5">
        <f>HYPERLINK("https://finance.yahoo.com/quote/BON","BON")</f>
        <v/>
      </c>
      <c r="B5982" t="inlineStr">
        <is>
          <t>Bon Natural Life Ltd</t>
        </is>
      </c>
      <c r="C5982" t="inlineStr">
        <is>
          <t>Nasdaq</t>
        </is>
      </c>
      <c r="D5982" t="n">
        <v>1816815</v>
      </c>
      <c r="E5982" t="inlineStr">
        <is>
          <t>SEC</t>
        </is>
      </c>
    </row>
    <row r="5983">
      <c r="A5983" s="5">
        <f>HYPERLINK("https://finance.yahoo.com/quote/DETX","DETX")</f>
        <v/>
      </c>
      <c r="B5983" t="inlineStr">
        <is>
          <t>LIBERTY DEFENSE HOLDINGS, LTD.</t>
        </is>
      </c>
      <c r="C5983" t="inlineStr">
        <is>
          <t>Nasdaq</t>
        </is>
      </c>
      <c r="D5983" t="n">
        <v>1919776</v>
      </c>
      <c r="E5983" t="inlineStr">
        <is>
          <t>SEC</t>
        </is>
      </c>
    </row>
    <row r="5984">
      <c r="A5984" s="5">
        <f>HYPERLINK("https://finance.yahoo.com/quote/NUR","NUR")</f>
        <v/>
      </c>
      <c r="B5984" t="inlineStr">
        <is>
          <t>Nuran Wireless Inc.</t>
        </is>
      </c>
      <c r="C5984" t="inlineStr">
        <is>
          <t>Nasdaq</t>
        </is>
      </c>
      <c r="D5984" t="n">
        <v>1680637</v>
      </c>
      <c r="E5984" t="inlineStr">
        <is>
          <t>SEC</t>
        </is>
      </c>
    </row>
    <row r="5985">
      <c r="A5985" s="5">
        <f>HYPERLINK("https://finance.yahoo.com/quote/FMST","FMST")</f>
        <v/>
      </c>
      <c r="B5985" t="inlineStr">
        <is>
          <t>Foremost Clean Energy Ltd.</t>
        </is>
      </c>
      <c r="C5985" t="inlineStr">
        <is>
          <t>Nasdaq</t>
        </is>
      </c>
      <c r="D5985" t="n">
        <v>1935418</v>
      </c>
      <c r="E5985" t="inlineStr">
        <is>
          <t>SEC</t>
        </is>
      </c>
    </row>
    <row r="5986">
      <c r="A5986" s="5">
        <f>HYPERLINK("https://finance.yahoo.com/quote/ENSC","ENSC")</f>
        <v/>
      </c>
      <c r="B5986" t="inlineStr">
        <is>
          <t>Ensysce Biosciences, Inc.</t>
        </is>
      </c>
      <c r="C5986" t="inlineStr">
        <is>
          <t>Nasdaq</t>
        </is>
      </c>
      <c r="D5986" t="n">
        <v>1716947</v>
      </c>
      <c r="E5986" t="inlineStr">
        <is>
          <t>SEC</t>
        </is>
      </c>
    </row>
    <row r="5987">
      <c r="A5987" s="5">
        <f>HYPERLINK("https://finance.yahoo.com/quote/TPET","TPET")</f>
        <v/>
      </c>
      <c r="B5987" t="inlineStr">
        <is>
          <t>Trio Petroleum Corp</t>
        </is>
      </c>
      <c r="C5987" t="inlineStr">
        <is>
          <t>NYSE</t>
        </is>
      </c>
      <c r="D5987" t="n">
        <v>1898766</v>
      </c>
      <c r="E5987" t="inlineStr">
        <is>
          <t>SEC</t>
        </is>
      </c>
    </row>
    <row r="5988">
      <c r="A5988" s="5">
        <f>HYPERLINK("https://finance.yahoo.com/quote/MTVA","MTVA")</f>
        <v/>
      </c>
      <c r="B5988" t="inlineStr">
        <is>
          <t>MetaVia Inc.</t>
        </is>
      </c>
      <c r="C5988" t="inlineStr">
        <is>
          <t>Nasdaq</t>
        </is>
      </c>
      <c r="D5988" t="n">
        <v>1638287</v>
      </c>
      <c r="E5988" t="inlineStr">
        <is>
          <t>SEC</t>
        </is>
      </c>
    </row>
    <row r="5989">
      <c r="A5989" s="5">
        <f>HYPERLINK("https://finance.yahoo.com/quote/INHD","INHD")</f>
        <v/>
      </c>
      <c r="B5989" t="inlineStr">
        <is>
          <t>INNO HOLDINGS INC.</t>
        </is>
      </c>
      <c r="C5989" t="inlineStr">
        <is>
          <t>Nasdaq</t>
        </is>
      </c>
      <c r="D5989" t="n">
        <v>1961847</v>
      </c>
      <c r="E5989" t="inlineStr">
        <is>
          <t>SEC</t>
        </is>
      </c>
    </row>
    <row r="5990">
      <c r="A5990" s="5">
        <f>HYPERLINK("https://finance.yahoo.com/quote/ENDMF","ENDMF")</f>
        <v/>
      </c>
      <c r="B5990" t="inlineStr">
        <is>
          <t>Enduro Metals Corp.</t>
        </is>
      </c>
      <c r="C5990" t="inlineStr">
        <is>
          <t>OTC</t>
        </is>
      </c>
      <c r="D5990" t="n">
        <v>1524326</v>
      </c>
      <c r="E5990" t="inlineStr">
        <is>
          <t>SEC</t>
        </is>
      </c>
    </row>
    <row r="5991">
      <c r="A5991" s="5">
        <f>HYPERLINK("https://finance.yahoo.com/quote/LTRN","LTRN")</f>
        <v/>
      </c>
      <c r="B5991" t="inlineStr">
        <is>
          <t>Lantern Pharma Inc.</t>
        </is>
      </c>
      <c r="C5991" t="inlineStr">
        <is>
          <t>Nasdaq</t>
        </is>
      </c>
      <c r="D5991" t="n">
        <v>1763950</v>
      </c>
      <c r="E5991" t="inlineStr">
        <is>
          <t>SEC</t>
        </is>
      </c>
    </row>
    <row r="5992">
      <c r="A5992" s="5">
        <f>HYPERLINK("https://finance.yahoo.com/quote/RGNT","RGNT")</f>
        <v/>
      </c>
      <c r="B5992" t="inlineStr">
        <is>
          <t>REGENTIS BIOMATERIALS LTD.</t>
        </is>
      </c>
      <c r="C5992" t="inlineStr">
        <is>
          <t>NYSE</t>
        </is>
      </c>
      <c r="D5992" t="n">
        <v>1912966</v>
      </c>
      <c r="E5992" t="inlineStr">
        <is>
          <t>SEC</t>
        </is>
      </c>
    </row>
    <row r="5993">
      <c r="A5993" s="5">
        <f>HYPERLINK("https://finance.yahoo.com/quote/UEEC","UEEC")</f>
        <v/>
      </c>
      <c r="B5993" t="inlineStr">
        <is>
          <t>United Health Products, Inc.</t>
        </is>
      </c>
      <c r="C5993" t="inlineStr">
        <is>
          <t>OTC</t>
        </is>
      </c>
      <c r="D5993" t="n">
        <v>1096938</v>
      </c>
      <c r="E5993" t="inlineStr">
        <is>
          <t>SEC</t>
        </is>
      </c>
    </row>
    <row r="5994">
      <c r="A5994" s="5">
        <f>HYPERLINK("https://finance.yahoo.com/quote/MERC","MERC")</f>
        <v/>
      </c>
      <c r="B5994" t="inlineStr">
        <is>
          <t>MERCER INTERNATIONAL INC.</t>
        </is>
      </c>
      <c r="C5994" t="inlineStr">
        <is>
          <t>Nasdaq</t>
        </is>
      </c>
      <c r="D5994" t="n">
        <v>1333274</v>
      </c>
      <c r="E5994" t="inlineStr">
        <is>
          <t>SEC</t>
        </is>
      </c>
    </row>
    <row r="5995">
      <c r="A5995" s="5">
        <f>HYPERLINK("https://finance.yahoo.com/quote/LILIF","LILIF")</f>
        <v/>
      </c>
      <c r="B5995" t="inlineStr">
        <is>
          <t>Argentina Lithium &amp; Energy Corp.</t>
        </is>
      </c>
      <c r="C5995" t="inlineStr">
        <is>
          <t>OTC</t>
        </is>
      </c>
      <c r="D5995" t="n">
        <v>1689448</v>
      </c>
      <c r="E5995" t="inlineStr">
        <is>
          <t>SEC</t>
        </is>
      </c>
    </row>
    <row r="5996">
      <c r="A5996" s="5">
        <f>HYPERLINK("https://finance.yahoo.com/quote/ICMB","ICMB")</f>
        <v/>
      </c>
      <c r="B5996" t="inlineStr">
        <is>
          <t>Investcorp Credit Management BDC, Inc.</t>
        </is>
      </c>
      <c r="C5996" t="inlineStr">
        <is>
          <t>Nasdaq</t>
        </is>
      </c>
      <c r="D5996" t="n">
        <v>1578348</v>
      </c>
      <c r="E5996" t="inlineStr">
        <is>
          <t>SEC</t>
        </is>
      </c>
    </row>
    <row r="5997">
      <c r="A5997" s="5">
        <f>HYPERLINK("https://finance.yahoo.com/quote/NXXT","NXXT")</f>
        <v/>
      </c>
      <c r="B5997" t="inlineStr">
        <is>
          <t>NEXTNRG, INC.</t>
        </is>
      </c>
      <c r="C5997" t="inlineStr">
        <is>
          <t>Nasdaq</t>
        </is>
      </c>
      <c r="D5997" t="n">
        <v>1817004</v>
      </c>
      <c r="E5997" t="inlineStr">
        <is>
          <t>SEC</t>
        </is>
      </c>
    </row>
    <row r="5998">
      <c r="A5998" s="5">
        <f>HYPERLINK("https://finance.yahoo.com/quote/SPFX","SPFX")</f>
        <v/>
      </c>
      <c r="B5998" t="inlineStr">
        <is>
          <t>STANDARD PREMIUM FINANCE HOLDINGS, INC.</t>
        </is>
      </c>
      <c r="C5998" t="inlineStr">
        <is>
          <t>OTC</t>
        </is>
      </c>
      <c r="D5998" t="n">
        <v>1807893</v>
      </c>
      <c r="E5998" t="inlineStr">
        <is>
          <t>SEC</t>
        </is>
      </c>
    </row>
    <row r="5999">
      <c r="A5999" s="5">
        <f>HYPERLINK("https://finance.yahoo.com/quote/BFRG","BFRG")</f>
        <v/>
      </c>
      <c r="B5999" t="inlineStr">
        <is>
          <t>BullFrog AI Holdings, Inc.</t>
        </is>
      </c>
      <c r="C5999" t="inlineStr">
        <is>
          <t>Nasdaq</t>
        </is>
      </c>
      <c r="D5999" t="n">
        <v>1829247</v>
      </c>
      <c r="E5999" t="inlineStr">
        <is>
          <t>SEC</t>
        </is>
      </c>
    </row>
    <row r="6000">
      <c r="A6000" s="5">
        <f>HYPERLINK("https://finance.yahoo.com/quote/GWTI","GWTI")</f>
        <v/>
      </c>
      <c r="B6000" t="inlineStr">
        <is>
          <t>GREENWAY TECHNOLOGIES, INC. &amp; SUBSIDIARIES</t>
        </is>
      </c>
      <c r="C6000" t="inlineStr">
        <is>
          <t>OTC</t>
        </is>
      </c>
      <c r="D6000" t="n">
        <v>1572386</v>
      </c>
      <c r="E6000" t="inlineStr">
        <is>
          <t>SEC</t>
        </is>
      </c>
    </row>
    <row r="6001">
      <c r="A6001" s="5">
        <f>HYPERLINK("https://finance.yahoo.com/quote/WXM","WXM")</f>
        <v/>
      </c>
      <c r="B6001" t="inlineStr">
        <is>
          <t>WF International Ltd.</t>
        </is>
      </c>
      <c r="C6001" t="inlineStr">
        <is>
          <t>Nasdaq</t>
        </is>
      </c>
      <c r="D6001" t="n">
        <v>1979610</v>
      </c>
      <c r="E6001" t="inlineStr">
        <is>
          <t>SEC</t>
        </is>
      </c>
    </row>
    <row r="6002">
      <c r="A6002" s="5">
        <f>HYPERLINK("https://finance.yahoo.com/quote/BLIN","BLIN")</f>
        <v/>
      </c>
      <c r="B6002" t="inlineStr">
        <is>
          <t>Bridgeline Digital, Inc.</t>
        </is>
      </c>
      <c r="C6002" t="inlineStr">
        <is>
          <t>Nasdaq</t>
        </is>
      </c>
      <c r="D6002" t="n">
        <v>1378590</v>
      </c>
      <c r="E6002" t="inlineStr">
        <is>
          <t>SEC</t>
        </is>
      </c>
    </row>
    <row r="6003">
      <c r="A6003" s="5">
        <f>HYPERLINK("https://finance.yahoo.com/quote/SNTW","SNTW")</f>
        <v/>
      </c>
      <c r="B6003" t="inlineStr">
        <is>
          <t>Summit Networks Inc.</t>
        </is>
      </c>
      <c r="C6003" t="inlineStr">
        <is>
          <t>OTC</t>
        </is>
      </c>
      <c r="D6003" t="n">
        <v>1619096</v>
      </c>
      <c r="E6003" t="inlineStr">
        <is>
          <t>SEC</t>
        </is>
      </c>
    </row>
    <row r="6004">
      <c r="A6004" s="5">
        <f>HYPERLINK("https://finance.yahoo.com/quote/NIXX","NIXX")</f>
        <v/>
      </c>
      <c r="B6004" t="inlineStr">
        <is>
          <t>Nixxy, Inc.</t>
        </is>
      </c>
      <c r="C6004" t="inlineStr">
        <is>
          <t>Nasdaq</t>
        </is>
      </c>
      <c r="D6004" t="n">
        <v>1462223</v>
      </c>
      <c r="E6004" t="inlineStr">
        <is>
          <t>SEC</t>
        </is>
      </c>
    </row>
    <row r="6005">
      <c r="A6005" s="5">
        <f>HYPERLINK("https://finance.yahoo.com/quote/TOVX","TOVX")</f>
        <v/>
      </c>
      <c r="B6005" t="inlineStr">
        <is>
          <t>Theriva Biologics, Inc.</t>
        </is>
      </c>
      <c r="C6005" t="inlineStr">
        <is>
          <t>NYSE</t>
        </is>
      </c>
      <c r="D6005" t="n">
        <v>894158</v>
      </c>
      <c r="E6005" t="inlineStr">
        <is>
          <t>SEC</t>
        </is>
      </c>
    </row>
    <row r="6006">
      <c r="A6006" s="5">
        <f>HYPERLINK("https://finance.yahoo.com/quote/ALTUF","ALTUF")</f>
        <v/>
      </c>
      <c r="B6006" t="inlineStr">
        <is>
          <t>Altura Energy Corp.</t>
        </is>
      </c>
      <c r="C6006" t="inlineStr">
        <is>
          <t>OTC</t>
        </is>
      </c>
      <c r="D6006" t="n">
        <v>1977971</v>
      </c>
      <c r="E6006" t="inlineStr">
        <is>
          <t>SEC</t>
        </is>
      </c>
    </row>
    <row r="6007">
      <c r="A6007" s="5">
        <f>HYPERLINK("https://finance.yahoo.com/quote/XCH","XCH")</f>
        <v/>
      </c>
      <c r="B6007" t="inlineStr">
        <is>
          <t>XCHG Ltd</t>
        </is>
      </c>
      <c r="C6007" t="inlineStr">
        <is>
          <t>Nasdaq</t>
        </is>
      </c>
      <c r="D6007" t="n">
        <v>1979887</v>
      </c>
      <c r="E6007" t="inlineStr">
        <is>
          <t>SEC</t>
        </is>
      </c>
    </row>
    <row r="6008">
      <c r="A6008" s="5">
        <f>HYPERLINK("https://finance.yahoo.com/quote/FLUX","FLUX")</f>
        <v/>
      </c>
      <c r="B6008" t="inlineStr">
        <is>
          <t>Flux Power Holdings, Inc.</t>
        </is>
      </c>
      <c r="C6008" t="inlineStr">
        <is>
          <t>Nasdaq</t>
        </is>
      </c>
      <c r="D6008" t="n">
        <v>1083743</v>
      </c>
      <c r="E6008" t="inlineStr">
        <is>
          <t>SEC</t>
        </is>
      </c>
    </row>
    <row r="6009">
      <c r="A6009" s="5">
        <f>HYPERLINK("https://finance.yahoo.com/quote/PTN","PTN")</f>
        <v/>
      </c>
      <c r="B6009" t="inlineStr">
        <is>
          <t>PALATIN TECHNOLOGIES INC</t>
        </is>
      </c>
      <c r="C6009" t="inlineStr">
        <is>
          <t>Nasdaq</t>
        </is>
      </c>
      <c r="D6009" t="n">
        <v>911216</v>
      </c>
      <c r="E6009" t="inlineStr">
        <is>
          <t>SEC</t>
        </is>
      </c>
    </row>
    <row r="6010">
      <c r="A6010" s="5">
        <f>HYPERLINK("https://finance.yahoo.com/quote/ECTM","ECTM")</f>
        <v/>
      </c>
      <c r="B6010" t="inlineStr">
        <is>
          <t>ECA Marcellus Trust I</t>
        </is>
      </c>
      <c r="C6010" t="inlineStr">
        <is>
          <t>OTC</t>
        </is>
      </c>
      <c r="D6010" t="n">
        <v>1487798</v>
      </c>
      <c r="E6010" t="inlineStr">
        <is>
          <t>SEC</t>
        </is>
      </c>
    </row>
    <row r="6011">
      <c r="A6011" s="5">
        <f>HYPERLINK("https://finance.yahoo.com/quote/INEO","INEO")</f>
        <v/>
      </c>
      <c r="B6011" t="inlineStr">
        <is>
          <t>INNEOVA Holdings Ltd</t>
        </is>
      </c>
      <c r="C6011" t="inlineStr">
        <is>
          <t>Nasdaq</t>
        </is>
      </c>
      <c r="D6011" t="n">
        <v>1933951</v>
      </c>
      <c r="E6011" t="inlineStr">
        <is>
          <t>SEC</t>
        </is>
      </c>
    </row>
    <row r="6012">
      <c r="A6012" s="5">
        <f>HYPERLINK("https://finance.yahoo.com/quote/TPST","TPST")</f>
        <v/>
      </c>
      <c r="B6012" t="inlineStr">
        <is>
          <t>Tempest Therapeutics, Inc.</t>
        </is>
      </c>
      <c r="C6012" t="inlineStr">
        <is>
          <t>Nasdaq</t>
        </is>
      </c>
      <c r="D6012" t="n">
        <v>1544227</v>
      </c>
      <c r="E6012" t="inlineStr">
        <is>
          <t>SEC</t>
        </is>
      </c>
    </row>
    <row r="6013">
      <c r="A6013" s="5">
        <f>HYPERLINK("https://finance.yahoo.com/quote/AMS","AMS")</f>
        <v/>
      </c>
      <c r="B6013" t="inlineStr">
        <is>
          <t>AMERICAN SHARED HOSPITAL SERVICES</t>
        </is>
      </c>
      <c r="C6013" t="inlineStr">
        <is>
          <t>NYSE</t>
        </is>
      </c>
      <c r="D6013" t="n">
        <v>744825</v>
      </c>
      <c r="E6013" t="inlineStr">
        <is>
          <t>SEC</t>
        </is>
      </c>
    </row>
    <row r="6014">
      <c r="A6014" s="5">
        <f>HYPERLINK("https://finance.yahoo.com/quote/IVFH","IVFH")</f>
        <v/>
      </c>
      <c r="B6014" t="inlineStr">
        <is>
          <t>INNOVATIVE FOOD HOLDINGS INC</t>
        </is>
      </c>
      <c r="C6014" t="inlineStr">
        <is>
          <t>OTC</t>
        </is>
      </c>
      <c r="D6014" t="n">
        <v>312257</v>
      </c>
      <c r="E6014" t="inlineStr">
        <is>
          <t>SEC</t>
        </is>
      </c>
    </row>
    <row r="6015">
      <c r="A6015" s="5">
        <f>HYPERLINK("https://finance.yahoo.com/quote/NMTC","NMTC")</f>
        <v/>
      </c>
      <c r="B6015" t="inlineStr">
        <is>
          <t>NEUROONE MEDICAL TECHNOLOGIES Corp</t>
        </is>
      </c>
      <c r="C6015" t="inlineStr">
        <is>
          <t>Nasdaq</t>
        </is>
      </c>
      <c r="D6015" t="n">
        <v>1500198</v>
      </c>
      <c r="E6015" t="inlineStr">
        <is>
          <t>SEC</t>
        </is>
      </c>
    </row>
    <row r="6016">
      <c r="A6016" s="5">
        <f>HYPERLINK("https://finance.yahoo.com/quote/RMCF","RMCF")</f>
        <v/>
      </c>
      <c r="B6016" t="inlineStr">
        <is>
          <t>Rocky Mountain Chocolate Factory, Inc.</t>
        </is>
      </c>
      <c r="C6016" t="inlineStr">
        <is>
          <t>Nasdaq</t>
        </is>
      </c>
      <c r="D6016" t="n">
        <v>1616262</v>
      </c>
      <c r="E6016" t="inlineStr">
        <is>
          <t>SEC</t>
        </is>
      </c>
    </row>
    <row r="6017">
      <c r="A6017" s="5">
        <f>HYPERLINK("https://finance.yahoo.com/quote/LGVT","LGVT")</f>
        <v/>
      </c>
      <c r="B6017" t="inlineStr">
        <is>
          <t>Longevity Diversified Holdings, Inc.</t>
        </is>
      </c>
      <c r="C6017" t="inlineStr">
        <is>
          <t>OTC</t>
        </is>
      </c>
      <c r="D6017" t="n">
        <v>787496</v>
      </c>
      <c r="E6017" t="inlineStr">
        <is>
          <t>SEC</t>
        </is>
      </c>
    </row>
    <row r="6018">
      <c r="A6018" s="5">
        <f>HYPERLINK("https://finance.yahoo.com/quote/EDUC","EDUC")</f>
        <v/>
      </c>
      <c r="B6018" t="inlineStr">
        <is>
          <t>EDUCATIONAL DEVELOPMENT CORP</t>
        </is>
      </c>
      <c r="C6018" t="inlineStr">
        <is>
          <t>Nasdaq</t>
        </is>
      </c>
      <c r="D6018" t="n">
        <v>31667</v>
      </c>
      <c r="E6018" t="inlineStr">
        <is>
          <t>SEC</t>
        </is>
      </c>
    </row>
    <row r="6019">
      <c r="A6019" s="5">
        <f>HYPERLINK("https://finance.yahoo.com/quote/ROYL","ROYL")</f>
        <v/>
      </c>
      <c r="B6019" t="inlineStr">
        <is>
          <t>Royale Energy, Inc.</t>
        </is>
      </c>
      <c r="C6019" t="inlineStr">
        <is>
          <t>OTC</t>
        </is>
      </c>
      <c r="D6019" t="n">
        <v>1694617</v>
      </c>
      <c r="E6019" t="inlineStr">
        <is>
          <t>SEC</t>
        </is>
      </c>
    </row>
    <row r="6020">
      <c r="A6020" s="5">
        <f>HYPERLINK("https://finance.yahoo.com/quote/PEXZF","PEXZF")</f>
        <v/>
      </c>
      <c r="B6020" t="inlineStr">
        <is>
          <t>PACIFIC RIDGE EXPLORATION LTD</t>
        </is>
      </c>
      <c r="C6020" t="inlineStr">
        <is>
          <t>OTC</t>
        </is>
      </c>
      <c r="D6020" t="n">
        <v>1254435</v>
      </c>
      <c r="E6020" t="inlineStr">
        <is>
          <t>SEC</t>
        </is>
      </c>
    </row>
    <row r="6021">
      <c r="A6021" s="5">
        <f>HYPERLINK("https://finance.yahoo.com/quote/UCL","UCL")</f>
        <v/>
      </c>
      <c r="B6021" t="inlineStr">
        <is>
          <t>uCloudlink Group Inc.</t>
        </is>
      </c>
      <c r="C6021" t="inlineStr">
        <is>
          <t>Nasdaq</t>
        </is>
      </c>
      <c r="D6021" t="n">
        <v>1775898</v>
      </c>
      <c r="E6021" t="inlineStr">
        <is>
          <t>SEC</t>
        </is>
      </c>
    </row>
    <row r="6022">
      <c r="A6022" s="5">
        <f>HYPERLINK("https://finance.yahoo.com/quote/BIYA","BIYA")</f>
        <v/>
      </c>
      <c r="B6022" t="inlineStr">
        <is>
          <t>Baiya International Group Inc.</t>
        </is>
      </c>
      <c r="C6022" t="inlineStr">
        <is>
          <t>Nasdaq</t>
        </is>
      </c>
      <c r="D6022" t="n">
        <v>1944712</v>
      </c>
      <c r="E6022" t="inlineStr">
        <is>
          <t>SEC</t>
        </is>
      </c>
    </row>
    <row r="6023">
      <c r="A6023" s="5">
        <f>HYPERLINK("https://finance.yahoo.com/quote/SFHG","SFHG")</f>
        <v/>
      </c>
      <c r="B6023" t="inlineStr">
        <is>
          <t>SAMFINE CREATION HOLDINGS GROUP Ltd</t>
        </is>
      </c>
      <c r="C6023" t="inlineStr">
        <is>
          <t>Nasdaq</t>
        </is>
      </c>
      <c r="D6023" t="n">
        <v>1926792</v>
      </c>
      <c r="E6023" t="inlineStr">
        <is>
          <t>SEC</t>
        </is>
      </c>
    </row>
    <row r="6024">
      <c r="A6024" s="5">
        <f>HYPERLINK("https://finance.yahoo.com/quote/CLEV","CLEV")</f>
        <v/>
      </c>
      <c r="B6024" t="inlineStr">
        <is>
          <t>Concrete Leveling Systems Inc</t>
        </is>
      </c>
      <c r="C6024" t="inlineStr">
        <is>
          <t>OTC</t>
        </is>
      </c>
      <c r="D6024" t="n">
        <v>1414382</v>
      </c>
      <c r="E6024" t="inlineStr">
        <is>
          <t>SEC</t>
        </is>
      </c>
    </row>
    <row r="6025">
      <c r="A6025" s="5">
        <f>HYPERLINK("https://finance.yahoo.com/quote/EPOW","EPOW")</f>
        <v/>
      </c>
      <c r="B6025" t="inlineStr">
        <is>
          <t>E-Power Inc.</t>
        </is>
      </c>
      <c r="C6025" t="inlineStr">
        <is>
          <t>Nasdaq</t>
        </is>
      </c>
      <c r="D6025" t="n">
        <v>1780731</v>
      </c>
      <c r="E6025" t="inlineStr">
        <is>
          <t>SEC</t>
        </is>
      </c>
    </row>
    <row r="6026">
      <c r="A6026" s="5">
        <f>HYPERLINK("https://finance.yahoo.com/quote/NCL","NCL")</f>
        <v/>
      </c>
      <c r="B6026" t="inlineStr">
        <is>
          <t>Northann Corp.</t>
        </is>
      </c>
      <c r="C6026" t="inlineStr"/>
      <c r="D6026" t="n">
        <v>1923780</v>
      </c>
      <c r="E6026" t="inlineStr">
        <is>
          <t>SEC</t>
        </is>
      </c>
    </row>
    <row r="6027">
      <c r="A6027" s="5">
        <f>HYPERLINK("https://finance.yahoo.com/quote/MARPS","MARPS")</f>
        <v/>
      </c>
      <c r="B6027" t="inlineStr">
        <is>
          <t>MARINE PETROLEUM TRUST</t>
        </is>
      </c>
      <c r="C6027" t="inlineStr">
        <is>
          <t>Nasdaq</t>
        </is>
      </c>
      <c r="D6027" t="n">
        <v>62362</v>
      </c>
      <c r="E6027" t="inlineStr">
        <is>
          <t>SEC</t>
        </is>
      </c>
    </row>
    <row r="6028">
      <c r="A6028" s="5">
        <f>HYPERLINK("https://finance.yahoo.com/quote/CALC","CALC")</f>
        <v/>
      </c>
      <c r="B6028" t="inlineStr">
        <is>
          <t>CalciMedica, Inc.</t>
        </is>
      </c>
      <c r="C6028" t="inlineStr">
        <is>
          <t>Nasdaq</t>
        </is>
      </c>
      <c r="D6028" t="n">
        <v>1534133</v>
      </c>
      <c r="E6028" t="inlineStr">
        <is>
          <t>SEC</t>
        </is>
      </c>
    </row>
    <row r="6029">
      <c r="A6029" s="5">
        <f>HYPERLINK("https://finance.yahoo.com/quote/IVDN","IVDN")</f>
        <v/>
      </c>
      <c r="B6029" t="inlineStr">
        <is>
          <t>INNOVATIVE DESIGNS INC</t>
        </is>
      </c>
      <c r="C6029" t="inlineStr">
        <is>
          <t>OTC</t>
        </is>
      </c>
      <c r="D6029" t="n">
        <v>1190370</v>
      </c>
      <c r="E6029" t="inlineStr">
        <is>
          <t>SEC</t>
        </is>
      </c>
    </row>
    <row r="6030">
      <c r="A6030" s="5">
        <f>HYPERLINK("https://finance.yahoo.com/quote/CLIK","CLIK")</f>
        <v/>
      </c>
      <c r="B6030" t="inlineStr">
        <is>
          <t>Click Holdings Ltd.</t>
        </is>
      </c>
      <c r="C6030" t="inlineStr">
        <is>
          <t>Nasdaq</t>
        </is>
      </c>
      <c r="D6030" t="n">
        <v>2020027</v>
      </c>
      <c r="E6030" t="inlineStr">
        <is>
          <t>SEC</t>
        </is>
      </c>
    </row>
    <row r="6031">
      <c r="A6031" s="5">
        <f>HYPERLINK("https://finance.yahoo.com/quote/APMCF","APMCF")</f>
        <v/>
      </c>
      <c r="B6031" t="inlineStr">
        <is>
          <t>MORIEN RESOURCES CORP.</t>
        </is>
      </c>
      <c r="C6031" t="inlineStr">
        <is>
          <t>OTC</t>
        </is>
      </c>
      <c r="D6031" t="n">
        <v>1628935</v>
      </c>
      <c r="E6031" t="inlineStr">
        <is>
          <t>SEC</t>
        </is>
      </c>
    </row>
    <row r="6032">
      <c r="A6032" s="5">
        <f>HYPERLINK("https://finance.yahoo.com/quote/LMED","LMED")</f>
        <v/>
      </c>
      <c r="B6032" t="inlineStr">
        <is>
          <t>LataMed AI Corp.</t>
        </is>
      </c>
      <c r="C6032" t="inlineStr">
        <is>
          <t>OTC</t>
        </is>
      </c>
      <c r="D6032" t="n">
        <v>1477960</v>
      </c>
      <c r="E6032" t="inlineStr">
        <is>
          <t>SEC</t>
        </is>
      </c>
    </row>
    <row r="6033">
      <c r="A6033" s="5">
        <f>HYPERLINK("https://finance.yahoo.com/quote/BTCT","BTCT")</f>
        <v/>
      </c>
      <c r="B6033" t="inlineStr">
        <is>
          <t>BTC Digital Ltd.</t>
        </is>
      </c>
      <c r="C6033" t="inlineStr">
        <is>
          <t>Nasdaq</t>
        </is>
      </c>
      <c r="D6033" t="n">
        <v>1796514</v>
      </c>
      <c r="E6033" t="inlineStr">
        <is>
          <t>SEC</t>
        </is>
      </c>
    </row>
    <row r="6034">
      <c r="A6034" s="5">
        <f>HYPERLINK("https://finance.yahoo.com/quote/BCLI","BCLI")</f>
        <v/>
      </c>
      <c r="B6034" t="inlineStr">
        <is>
          <t>BRAINSTORM CELL THERAPEUTICS INC.</t>
        </is>
      </c>
      <c r="C6034" t="inlineStr">
        <is>
          <t>OTC</t>
        </is>
      </c>
      <c r="D6034" t="n">
        <v>1137883</v>
      </c>
      <c r="E6034" t="inlineStr">
        <is>
          <t>SEC</t>
        </is>
      </c>
    </row>
    <row r="6035">
      <c r="A6035" s="5">
        <f>HYPERLINK("https://finance.yahoo.com/quote/MSAI","MSAI")</f>
        <v/>
      </c>
      <c r="B6035" t="inlineStr">
        <is>
          <t>MultiSensor AI Holdings, Inc.</t>
        </is>
      </c>
      <c r="C6035" t="inlineStr">
        <is>
          <t>Nasdaq</t>
        </is>
      </c>
      <c r="D6035" t="n">
        <v>1863990</v>
      </c>
      <c r="E6035" t="inlineStr">
        <is>
          <t>SEC</t>
        </is>
      </c>
    </row>
    <row r="6036">
      <c r="A6036" s="5">
        <f>HYPERLINK("https://finance.yahoo.com/quote/CISO","CISO")</f>
        <v/>
      </c>
      <c r="B6036" t="inlineStr">
        <is>
          <t>CISO Global, Inc.</t>
        </is>
      </c>
      <c r="C6036" t="inlineStr">
        <is>
          <t>Nasdaq</t>
        </is>
      </c>
      <c r="D6036" t="n">
        <v>1777319</v>
      </c>
      <c r="E6036" t="inlineStr">
        <is>
          <t>SEC</t>
        </is>
      </c>
    </row>
    <row r="6037">
      <c r="A6037" s="5">
        <f>HYPERLINK("https://finance.yahoo.com/quote/ORBT","ORBT")</f>
        <v/>
      </c>
      <c r="B6037" t="inlineStr">
        <is>
          <t>ORBIT INTERNATIONAL CORP</t>
        </is>
      </c>
      <c r="C6037" t="inlineStr">
        <is>
          <t>OTC</t>
        </is>
      </c>
      <c r="D6037" t="n">
        <v>74818</v>
      </c>
      <c r="E6037" t="inlineStr">
        <is>
          <t>SEC</t>
        </is>
      </c>
    </row>
    <row r="6038">
      <c r="A6038" s="5">
        <f>HYPERLINK("https://finance.yahoo.com/quote/BNKK","BNKK")</f>
        <v/>
      </c>
      <c r="B6038" t="inlineStr">
        <is>
          <t>BONK, INC.</t>
        </is>
      </c>
      <c r="C6038" t="inlineStr">
        <is>
          <t>Nasdaq</t>
        </is>
      </c>
      <c r="D6038" t="n">
        <v>1760903</v>
      </c>
      <c r="E6038" t="inlineStr">
        <is>
          <t>SEC</t>
        </is>
      </c>
    </row>
    <row r="6039">
      <c r="A6039" s="5">
        <f>HYPERLINK("https://finance.yahoo.com/quote/YMAT","YMAT")</f>
        <v/>
      </c>
      <c r="B6039" t="inlineStr">
        <is>
          <t>J-Star Holding Co., Ltd.</t>
        </is>
      </c>
      <c r="C6039" t="inlineStr">
        <is>
          <t>Nasdaq</t>
        </is>
      </c>
      <c r="D6039" t="n">
        <v>1875016</v>
      </c>
      <c r="E6039" t="inlineStr">
        <is>
          <t>SEC</t>
        </is>
      </c>
    </row>
    <row r="6040">
      <c r="A6040" s="5">
        <f>HYPERLINK("https://finance.yahoo.com/quote/DROR","DROR")</f>
        <v/>
      </c>
      <c r="B6040" t="inlineStr">
        <is>
          <t>Dror Ortho-Design, Inc.</t>
        </is>
      </c>
      <c r="C6040" t="inlineStr">
        <is>
          <t>OTC</t>
        </is>
      </c>
      <c r="D6040" t="n">
        <v>1282980</v>
      </c>
      <c r="E6040" t="inlineStr">
        <is>
          <t>SEC</t>
        </is>
      </c>
    </row>
    <row r="6041">
      <c r="A6041" s="5">
        <f>HYPERLINK("https://finance.yahoo.com/quote/OTLC","OTLC")</f>
        <v/>
      </c>
      <c r="B6041" t="inlineStr">
        <is>
          <t>Oncotelic Therapeutics, Inc.</t>
        </is>
      </c>
      <c r="C6041" t="inlineStr">
        <is>
          <t>OTC</t>
        </is>
      </c>
      <c r="D6041" t="n">
        <v>908259</v>
      </c>
      <c r="E6041" t="inlineStr">
        <is>
          <t>SEC</t>
        </is>
      </c>
    </row>
    <row r="6042">
      <c r="A6042" s="5">
        <f>HYPERLINK("https://finance.yahoo.com/quote/QH","QH")</f>
        <v/>
      </c>
      <c r="B6042" t="inlineStr">
        <is>
          <t>QUHUO Ltd</t>
        </is>
      </c>
      <c r="C6042" t="inlineStr">
        <is>
          <t>Nasdaq</t>
        </is>
      </c>
      <c r="D6042" t="n">
        <v>1781193</v>
      </c>
      <c r="E6042" t="inlineStr">
        <is>
          <t>SEC</t>
        </is>
      </c>
    </row>
    <row r="6043">
      <c r="A6043" s="5">
        <f>HYPERLINK("https://finance.yahoo.com/quote/AEMD","AEMD")</f>
        <v/>
      </c>
      <c r="B6043" t="inlineStr">
        <is>
          <t>AETHLON MEDICAL INC</t>
        </is>
      </c>
      <c r="C6043" t="inlineStr">
        <is>
          <t>Nasdaq</t>
        </is>
      </c>
      <c r="D6043" t="n">
        <v>882291</v>
      </c>
      <c r="E6043" t="inlineStr">
        <is>
          <t>SEC</t>
        </is>
      </c>
    </row>
    <row r="6044">
      <c r="A6044" s="5">
        <f>HYPERLINK("https://finance.yahoo.com/quote/SCND","SCND")</f>
        <v/>
      </c>
      <c r="B6044" t="inlineStr">
        <is>
          <t>SCIENTIFIC INDUSTRIES INC</t>
        </is>
      </c>
      <c r="C6044" t="inlineStr">
        <is>
          <t>OTC</t>
        </is>
      </c>
      <c r="D6044" t="n">
        <v>87802</v>
      </c>
      <c r="E6044" t="inlineStr">
        <is>
          <t>SEC</t>
        </is>
      </c>
    </row>
    <row r="6045">
      <c r="A6045" s="5">
        <f>HYPERLINK("https://finance.yahoo.com/quote/TKLF","TKLF")</f>
        <v/>
      </c>
      <c r="B6045" t="inlineStr">
        <is>
          <t>Tokyo Lifestyle Co., Ltd.</t>
        </is>
      </c>
      <c r="C6045" t="inlineStr">
        <is>
          <t>Nasdaq</t>
        </is>
      </c>
      <c r="D6045" t="n">
        <v>1836242</v>
      </c>
      <c r="E6045" t="inlineStr">
        <is>
          <t>SEC</t>
        </is>
      </c>
    </row>
    <row r="6046">
      <c r="A6046" s="5">
        <f>HYPERLINK("https://finance.yahoo.com/quote/BRQL","BRQL")</f>
        <v/>
      </c>
      <c r="B6046" t="inlineStr">
        <is>
          <t>DYNAMIC AEROSPACE SYSTEMS Corp</t>
        </is>
      </c>
      <c r="C6046" t="inlineStr">
        <is>
          <t>OTC</t>
        </is>
      </c>
      <c r="D6046" t="n">
        <v>1854526</v>
      </c>
      <c r="E6046" t="inlineStr">
        <is>
          <t>SEC</t>
        </is>
      </c>
    </row>
    <row r="6047">
      <c r="A6047" s="5">
        <f>HYPERLINK("https://finance.yahoo.com/quote/VPLM","VPLM")</f>
        <v/>
      </c>
      <c r="B6047" t="inlineStr">
        <is>
          <t>Voip-pal.com Inc</t>
        </is>
      </c>
      <c r="C6047" t="inlineStr">
        <is>
          <t>OTC</t>
        </is>
      </c>
      <c r="D6047" t="n">
        <v>1410738</v>
      </c>
      <c r="E6047" t="inlineStr">
        <is>
          <t>SEC</t>
        </is>
      </c>
    </row>
    <row r="6048">
      <c r="A6048" s="5">
        <f>HYPERLINK("https://finance.yahoo.com/quote/YXT","YXT")</f>
        <v/>
      </c>
      <c r="B6048" t="inlineStr">
        <is>
          <t>YXT.COM GROUP HOLDING Ltd</t>
        </is>
      </c>
      <c r="C6048" t="inlineStr">
        <is>
          <t>Nasdaq</t>
        </is>
      </c>
      <c r="D6048" t="n">
        <v>1872090</v>
      </c>
      <c r="E6048" t="inlineStr">
        <is>
          <t>SEC</t>
        </is>
      </c>
    </row>
    <row r="6049">
      <c r="A6049" s="5">
        <f>HYPERLINK("https://finance.yahoo.com/quote/OXBR","OXBR")</f>
        <v/>
      </c>
      <c r="B6049" t="inlineStr">
        <is>
          <t>OXBRIDGE RE HOLDINGS Ltd</t>
        </is>
      </c>
      <c r="C6049" t="inlineStr">
        <is>
          <t>Nasdaq</t>
        </is>
      </c>
      <c r="D6049" t="n">
        <v>1584831</v>
      </c>
      <c r="E6049" t="inlineStr">
        <is>
          <t>SEC</t>
        </is>
      </c>
    </row>
    <row r="6050">
      <c r="A6050" s="5">
        <f>HYPERLINK("https://finance.yahoo.com/quote/VWAV","VWAV")</f>
        <v/>
      </c>
      <c r="B6050" t="inlineStr">
        <is>
          <t>VisionWave Holdings, Inc.</t>
        </is>
      </c>
      <c r="C6050" t="inlineStr">
        <is>
          <t>Nasdaq</t>
        </is>
      </c>
      <c r="D6050" t="n">
        <v>2038439</v>
      </c>
      <c r="E6050" t="inlineStr">
        <is>
          <t>SEC</t>
        </is>
      </c>
    </row>
    <row r="6051">
      <c r="A6051" s="5">
        <f>HYPERLINK("https://finance.yahoo.com/quote/TRBMF","TRBMF")</f>
        <v/>
      </c>
      <c r="B6051" t="inlineStr">
        <is>
          <t>TORQ RESOURCES INC.</t>
        </is>
      </c>
      <c r="C6051" t="inlineStr">
        <is>
          <t>OTC</t>
        </is>
      </c>
      <c r="D6051" t="n">
        <v>1406944</v>
      </c>
      <c r="E6051" t="inlineStr">
        <is>
          <t>SEC</t>
        </is>
      </c>
    </row>
    <row r="6052">
      <c r="A6052" s="5">
        <f>HYPERLINK("https://finance.yahoo.com/quote/INM","INM")</f>
        <v/>
      </c>
      <c r="B6052" t="inlineStr">
        <is>
          <t>InMed Pharmaceuticals Inc.</t>
        </is>
      </c>
      <c r="C6052" t="inlineStr">
        <is>
          <t>Nasdaq</t>
        </is>
      </c>
      <c r="D6052" t="n">
        <v>1728328</v>
      </c>
      <c r="E6052" t="inlineStr">
        <is>
          <t>SEC</t>
        </is>
      </c>
    </row>
    <row r="6053">
      <c r="A6053" s="5">
        <f>HYPERLINK("https://finance.yahoo.com/quote/IAALF","IAALF")</f>
        <v/>
      </c>
      <c r="B6053" t="inlineStr">
        <is>
          <t>IBC Advanced Alloys Corp.</t>
        </is>
      </c>
      <c r="C6053" t="inlineStr">
        <is>
          <t>OTC</t>
        </is>
      </c>
      <c r="D6053" t="n">
        <v>1450894</v>
      </c>
      <c r="E6053" t="inlineStr">
        <is>
          <t>SEC</t>
        </is>
      </c>
    </row>
    <row r="6054">
      <c r="A6054" s="5">
        <f>HYPERLINK("https://finance.yahoo.com/quote/VTGN","VTGN")</f>
        <v/>
      </c>
      <c r="B6054" t="inlineStr">
        <is>
          <t>Vistagen Therapeutics, Inc.</t>
        </is>
      </c>
      <c r="C6054" t="inlineStr">
        <is>
          <t>Nasdaq</t>
        </is>
      </c>
      <c r="D6054" t="n">
        <v>1411685</v>
      </c>
      <c r="E6054" t="inlineStr">
        <is>
          <t>SEC</t>
        </is>
      </c>
    </row>
    <row r="6055">
      <c r="A6055" s="5">
        <f>HYPERLINK("https://finance.yahoo.com/quote/IMRN","IMRN")</f>
        <v/>
      </c>
      <c r="B6055" t="inlineStr">
        <is>
          <t>Immuron Ltd</t>
        </is>
      </c>
      <c r="C6055" t="inlineStr">
        <is>
          <t>Nasdaq</t>
        </is>
      </c>
      <c r="D6055" t="n">
        <v>1660046</v>
      </c>
      <c r="E6055" t="inlineStr">
        <is>
          <t>SEC</t>
        </is>
      </c>
    </row>
    <row r="6056">
      <c r="A6056" s="5">
        <f>HYPERLINK("https://finance.yahoo.com/quote/COPAF","COPAF")</f>
        <v/>
      </c>
      <c r="B6056" t="inlineStr">
        <is>
          <t>COPAUR MINERALS INC.</t>
        </is>
      </c>
      <c r="C6056" t="inlineStr">
        <is>
          <t>OTC</t>
        </is>
      </c>
      <c r="D6056" t="n">
        <v>1420049</v>
      </c>
      <c r="E6056" t="inlineStr">
        <is>
          <t>SEC</t>
        </is>
      </c>
    </row>
    <row r="6057">
      <c r="A6057" s="5">
        <f>HYPERLINK("https://finance.yahoo.com/quote/BLTH","BLTH")</f>
        <v/>
      </c>
      <c r="B6057" t="inlineStr">
        <is>
          <t>AMERICAN BATTERY MATERIALS, INC.</t>
        </is>
      </c>
      <c r="C6057" t="inlineStr">
        <is>
          <t>OTC</t>
        </is>
      </c>
      <c r="D6057" t="n">
        <v>1487718</v>
      </c>
      <c r="E6057" t="inlineStr">
        <is>
          <t>SEC</t>
        </is>
      </c>
    </row>
    <row r="6058">
      <c r="A6058" s="5">
        <f>HYPERLINK("https://finance.yahoo.com/quote/BTLN","BTLN")</f>
        <v/>
      </c>
      <c r="B6058" t="inlineStr">
        <is>
          <t>Brightline Interactive, Inc./NV</t>
        </is>
      </c>
      <c r="C6058" t="inlineStr">
        <is>
          <t>Nasdaq</t>
        </is>
      </c>
      <c r="D6058" t="n">
        <v>1854445</v>
      </c>
      <c r="E6058" t="inlineStr">
        <is>
          <t>SEC</t>
        </is>
      </c>
    </row>
    <row r="6059">
      <c r="A6059" s="5">
        <f>HYPERLINK("https://finance.yahoo.com/quote/JCSE","JCSE")</f>
        <v/>
      </c>
      <c r="B6059" t="inlineStr">
        <is>
          <t>JE Cleantech Holdings Ltd</t>
        </is>
      </c>
      <c r="C6059" t="inlineStr">
        <is>
          <t>Nasdaq</t>
        </is>
      </c>
      <c r="D6059" t="n">
        <v>1905511</v>
      </c>
      <c r="E6059" t="inlineStr">
        <is>
          <t>SEC</t>
        </is>
      </c>
    </row>
    <row r="6060">
      <c r="A6060" s="5">
        <f>HYPERLINK("https://finance.yahoo.com/quote/CHOW","CHOW")</f>
        <v/>
      </c>
      <c r="B6060" t="inlineStr">
        <is>
          <t>ChowChow Cloud International Holdings Ltd</t>
        </is>
      </c>
      <c r="C6060" t="inlineStr">
        <is>
          <t>NYSE</t>
        </is>
      </c>
      <c r="D6060" t="n">
        <v>2041829</v>
      </c>
      <c r="E6060" t="inlineStr">
        <is>
          <t>SEC</t>
        </is>
      </c>
    </row>
    <row r="6061">
      <c r="A6061" s="5">
        <f>HYPERLINK("https://finance.yahoo.com/quote/FFLO","FFLO")</f>
        <v/>
      </c>
      <c r="B6061" t="inlineStr">
        <is>
          <t>Free Flow USA, Inc.</t>
        </is>
      </c>
      <c r="C6061" t="inlineStr">
        <is>
          <t>OTC</t>
        </is>
      </c>
      <c r="D6061" t="n">
        <v>1543652</v>
      </c>
      <c r="E6061" t="inlineStr">
        <is>
          <t>SEC</t>
        </is>
      </c>
    </row>
    <row r="6062">
      <c r="A6062" s="5">
        <f>HYPERLINK("https://finance.yahoo.com/quote/NXTT","NXTT")</f>
        <v/>
      </c>
      <c r="B6062" t="inlineStr">
        <is>
          <t>Next Technology Holding Inc.</t>
        </is>
      </c>
      <c r="C6062" t="inlineStr">
        <is>
          <t>Nasdaq</t>
        </is>
      </c>
      <c r="D6062" t="n">
        <v>1784970</v>
      </c>
      <c r="E6062" t="inlineStr">
        <is>
          <t>SEC</t>
        </is>
      </c>
    </row>
    <row r="6063">
      <c r="A6063" s="5">
        <f>HYPERLINK("https://finance.yahoo.com/quote/EEIQ","EEIQ")</f>
        <v/>
      </c>
      <c r="B6063" t="inlineStr">
        <is>
          <t>EpicQuest Education Group International Ltd</t>
        </is>
      </c>
      <c r="C6063" t="inlineStr">
        <is>
          <t>Nasdaq</t>
        </is>
      </c>
      <c r="D6063" t="n">
        <v>1781397</v>
      </c>
      <c r="E6063" t="inlineStr">
        <is>
          <t>SEC</t>
        </is>
      </c>
    </row>
    <row r="6064">
      <c r="A6064" s="5">
        <f>HYPERLINK("https://finance.yahoo.com/quote/BMRA","BMRA")</f>
        <v/>
      </c>
      <c r="B6064" t="inlineStr">
        <is>
          <t>BIOMERICA INC</t>
        </is>
      </c>
      <c r="C6064" t="inlineStr">
        <is>
          <t>Nasdaq</t>
        </is>
      </c>
      <c r="D6064" t="n">
        <v>73290</v>
      </c>
      <c r="E6064" t="inlineStr">
        <is>
          <t>SEC</t>
        </is>
      </c>
    </row>
    <row r="6065">
      <c r="A6065" s="5">
        <f>HYPERLINK("https://finance.yahoo.com/quote/SNGX","SNGX")</f>
        <v/>
      </c>
      <c r="B6065" t="inlineStr">
        <is>
          <t>SOLIGENIX, INC.</t>
        </is>
      </c>
      <c r="C6065" t="inlineStr">
        <is>
          <t>Nasdaq</t>
        </is>
      </c>
      <c r="D6065" t="n">
        <v>812796</v>
      </c>
      <c r="E6065" t="inlineStr">
        <is>
          <t>SEC</t>
        </is>
      </c>
    </row>
    <row r="6066">
      <c r="A6066" s="5">
        <f>HYPERLINK("https://finance.yahoo.com/quote/CURX","CURX")</f>
        <v/>
      </c>
      <c r="B6066" t="inlineStr">
        <is>
          <t>Curanex Pharmaceuticals Inc</t>
        </is>
      </c>
      <c r="C6066" t="inlineStr">
        <is>
          <t>Nasdaq</t>
        </is>
      </c>
      <c r="D6066" t="n">
        <v>2025942</v>
      </c>
      <c r="E6066" t="inlineStr">
        <is>
          <t>SEC</t>
        </is>
      </c>
    </row>
    <row r="6067">
      <c r="A6067" s="5">
        <f>HYPERLINK("https://finance.yahoo.com/quote/DDC","DDC")</f>
        <v/>
      </c>
      <c r="B6067" t="inlineStr">
        <is>
          <t>DDC Enterprise Ltd</t>
        </is>
      </c>
      <c r="C6067" t="inlineStr">
        <is>
          <t>NYSE</t>
        </is>
      </c>
      <c r="D6067" t="n">
        <v>1808110</v>
      </c>
      <c r="E6067" t="inlineStr">
        <is>
          <t>SEC</t>
        </is>
      </c>
    </row>
    <row r="6068">
      <c r="A6068" s="5">
        <f>HYPERLINK("https://finance.yahoo.com/quote/CMMB","CMMB")</f>
        <v/>
      </c>
      <c r="B6068" t="inlineStr">
        <is>
          <t>Chemomab Therapeutics Ltd.</t>
        </is>
      </c>
      <c r="C6068" t="inlineStr">
        <is>
          <t>Nasdaq</t>
        </is>
      </c>
      <c r="D6068" t="n">
        <v>1534248</v>
      </c>
      <c r="E6068" t="inlineStr">
        <is>
          <t>SEC</t>
        </is>
      </c>
    </row>
    <row r="6069">
      <c r="A6069" s="5">
        <f>HYPERLINK("https://finance.yahoo.com/quote/LUCY","LUCY")</f>
        <v/>
      </c>
      <c r="B6069" t="inlineStr">
        <is>
          <t>Innovative Eyewear Inc</t>
        </is>
      </c>
      <c r="C6069" t="inlineStr">
        <is>
          <t>Nasdaq</t>
        </is>
      </c>
      <c r="D6069" t="n">
        <v>1808377</v>
      </c>
      <c r="E6069" t="inlineStr">
        <is>
          <t>SEC</t>
        </is>
      </c>
    </row>
    <row r="6070">
      <c r="A6070" s="5">
        <f>HYPERLINK("https://finance.yahoo.com/quote/AIJTY","AIJTY")</f>
        <v/>
      </c>
      <c r="B6070" t="inlineStr">
        <is>
          <t>Jianpu Technology Inc.</t>
        </is>
      </c>
      <c r="C6070" t="inlineStr">
        <is>
          <t>OTC</t>
        </is>
      </c>
      <c r="D6070" t="n">
        <v>1713923</v>
      </c>
      <c r="E6070" t="inlineStr">
        <is>
          <t>SEC</t>
        </is>
      </c>
    </row>
    <row r="6071">
      <c r="A6071" s="5">
        <f>HYPERLINK("https://finance.yahoo.com/quote/VYND","VYND")</f>
        <v/>
      </c>
      <c r="B6071" t="inlineStr">
        <is>
          <t>Vynleads, Inc.</t>
        </is>
      </c>
      <c r="C6071" t="inlineStr">
        <is>
          <t>OTC</t>
        </is>
      </c>
      <c r="D6071" t="n">
        <v>1745078</v>
      </c>
      <c r="E6071" t="inlineStr">
        <is>
          <t>SEC</t>
        </is>
      </c>
    </row>
    <row r="6072">
      <c r="A6072" s="5">
        <f>HYPERLINK("https://finance.yahoo.com/quote/RITE","RITE")</f>
        <v/>
      </c>
      <c r="B6072" t="inlineStr">
        <is>
          <t>MINERALRITE Corp</t>
        </is>
      </c>
      <c r="C6072" t="inlineStr">
        <is>
          <t>OTC</t>
        </is>
      </c>
      <c r="D6072" t="n">
        <v>1096296</v>
      </c>
      <c r="E6072" t="inlineStr">
        <is>
          <t>SEC</t>
        </is>
      </c>
    </row>
    <row r="6073">
      <c r="A6073" s="5">
        <f>HYPERLINK("https://finance.yahoo.com/quote/ILAL","ILAL")</f>
        <v/>
      </c>
      <c r="B6073" t="inlineStr">
        <is>
          <t>International Land Alliance Inc.</t>
        </is>
      </c>
      <c r="C6073" t="inlineStr">
        <is>
          <t>OTC</t>
        </is>
      </c>
      <c r="D6073" t="n">
        <v>1657214</v>
      </c>
      <c r="E6073" t="inlineStr">
        <is>
          <t>SEC</t>
        </is>
      </c>
    </row>
    <row r="6074">
      <c r="A6074" s="5">
        <f>HYPERLINK("https://finance.yahoo.com/quote/MOJO","MOJO")</f>
        <v/>
      </c>
      <c r="B6074" t="inlineStr">
        <is>
          <t>EQUATOR Beverage Co</t>
        </is>
      </c>
      <c r="C6074" t="inlineStr">
        <is>
          <t>OTC</t>
        </is>
      </c>
      <c r="D6074" t="n">
        <v>1414953</v>
      </c>
      <c r="E6074" t="inlineStr">
        <is>
          <t>SEC</t>
        </is>
      </c>
    </row>
    <row r="6075">
      <c r="A6075" s="5">
        <f>HYPERLINK("https://finance.yahoo.com/quote/BICX","BICX")</f>
        <v/>
      </c>
      <c r="B6075" t="inlineStr">
        <is>
          <t>BioCorRx Inc.</t>
        </is>
      </c>
      <c r="C6075" t="inlineStr">
        <is>
          <t>OTC</t>
        </is>
      </c>
      <c r="D6075" t="n">
        <v>1443863</v>
      </c>
      <c r="E6075" t="inlineStr">
        <is>
          <t>SEC</t>
        </is>
      </c>
    </row>
    <row r="6076">
      <c r="A6076" s="5">
        <f>HYPERLINK("https://finance.yahoo.com/quote/VPRB","VPRB")</f>
        <v/>
      </c>
      <c r="B6076" t="inlineStr">
        <is>
          <t>VPR Brands, LP.</t>
        </is>
      </c>
      <c r="C6076" t="inlineStr">
        <is>
          <t>OTC</t>
        </is>
      </c>
      <c r="D6076" t="n">
        <v>1376231</v>
      </c>
      <c r="E6076" t="inlineStr">
        <is>
          <t>SEC</t>
        </is>
      </c>
    </row>
    <row r="6077">
      <c r="A6077" s="5">
        <f>HYPERLINK("https://finance.yahoo.com/quote/LSEB","LSEB")</f>
        <v/>
      </c>
      <c r="B6077" t="inlineStr">
        <is>
          <t>LSEB Creative Corp.</t>
        </is>
      </c>
      <c r="C6077" t="inlineStr">
        <is>
          <t>OTC</t>
        </is>
      </c>
      <c r="D6077" t="n">
        <v>1888740</v>
      </c>
      <c r="E6077" t="inlineStr">
        <is>
          <t>SEC</t>
        </is>
      </c>
    </row>
    <row r="6078">
      <c r="A6078" s="5">
        <f>HYPERLINK("https://finance.yahoo.com/quote/ONEI","ONEI")</f>
        <v/>
      </c>
      <c r="B6078" t="inlineStr">
        <is>
          <t>OneMeta Inc.</t>
        </is>
      </c>
      <c r="C6078" t="inlineStr">
        <is>
          <t>OTC</t>
        </is>
      </c>
      <c r="D6078" t="n">
        <v>1388295</v>
      </c>
      <c r="E6078" t="inlineStr">
        <is>
          <t>SEC</t>
        </is>
      </c>
    </row>
    <row r="6079">
      <c r="A6079" s="5">
        <f>HYPERLINK("https://finance.yahoo.com/quote/BANL","BANL")</f>
        <v/>
      </c>
      <c r="B6079" t="inlineStr">
        <is>
          <t>CBL International Ltd</t>
        </is>
      </c>
      <c r="C6079" t="inlineStr">
        <is>
          <t>Nasdaq</t>
        </is>
      </c>
      <c r="D6079" t="n">
        <v>1914805</v>
      </c>
      <c r="E6079" t="inlineStr">
        <is>
          <t>SEC</t>
        </is>
      </c>
    </row>
    <row r="6080">
      <c r="A6080" s="5">
        <f>HYPERLINK("https://finance.yahoo.com/quote/RVSN","RVSN")</f>
        <v/>
      </c>
      <c r="B6080" t="inlineStr">
        <is>
          <t>Rail Vision Ltd.</t>
        </is>
      </c>
      <c r="C6080" t="inlineStr">
        <is>
          <t>Nasdaq</t>
        </is>
      </c>
      <c r="D6080" t="n">
        <v>1743905</v>
      </c>
      <c r="E6080" t="inlineStr">
        <is>
          <t>SEC</t>
        </is>
      </c>
    </row>
    <row r="6081">
      <c r="A6081" s="5">
        <f>HYPERLINK("https://finance.yahoo.com/quote/NHTC","NHTC")</f>
        <v/>
      </c>
      <c r="B6081" t="inlineStr">
        <is>
          <t>NATURAL HEALTH TRENDS CORP</t>
        </is>
      </c>
      <c r="C6081" t="inlineStr">
        <is>
          <t>Nasdaq</t>
        </is>
      </c>
      <c r="D6081" t="n">
        <v>912061</v>
      </c>
      <c r="E6081" t="inlineStr">
        <is>
          <t>SEC</t>
        </is>
      </c>
    </row>
    <row r="6082">
      <c r="A6082" s="5">
        <f>HYPERLINK("https://finance.yahoo.com/quote/NAII","NAII")</f>
        <v/>
      </c>
      <c r="B6082" t="inlineStr">
        <is>
          <t>NATURAL ALTERNATIVES INTERNATIONAL INC</t>
        </is>
      </c>
      <c r="C6082" t="inlineStr">
        <is>
          <t>Nasdaq</t>
        </is>
      </c>
      <c r="D6082" t="n">
        <v>787253</v>
      </c>
      <c r="E6082" t="inlineStr">
        <is>
          <t>SEC</t>
        </is>
      </c>
    </row>
    <row r="6083">
      <c r="A6083" s="5">
        <f>HYPERLINK("https://finance.yahoo.com/quote/CMHSF","CMHSF")</f>
        <v/>
      </c>
      <c r="B6083" t="inlineStr">
        <is>
          <t>COMPREHENSIVE HEALTHCARE SYSTEMS INC. (CANADA)</t>
        </is>
      </c>
      <c r="C6083" t="inlineStr">
        <is>
          <t>OTC</t>
        </is>
      </c>
      <c r="D6083" t="n">
        <v>1889352</v>
      </c>
      <c r="E6083" t="inlineStr">
        <is>
          <t>SEC</t>
        </is>
      </c>
    </row>
    <row r="6084">
      <c r="A6084" s="5">
        <f>HYPERLINK("https://finance.yahoo.com/quote/MYSE","MYSE")</f>
        <v/>
      </c>
      <c r="B6084" t="inlineStr">
        <is>
          <t>Myseum.AI, Inc.</t>
        </is>
      </c>
      <c r="C6084" t="inlineStr">
        <is>
          <t>Nasdaq</t>
        </is>
      </c>
      <c r="D6084" t="n">
        <v>1648960</v>
      </c>
      <c r="E6084" t="inlineStr">
        <is>
          <t>SEC</t>
        </is>
      </c>
    </row>
    <row r="6085">
      <c r="A6085" s="5">
        <f>HYPERLINK("https://finance.yahoo.com/quote/PIAC","PIAC")</f>
        <v/>
      </c>
      <c r="B6085" t="inlineStr">
        <is>
          <t>PRINCETON CAPITAL CORP</t>
        </is>
      </c>
      <c r="C6085" t="inlineStr">
        <is>
          <t>OTC</t>
        </is>
      </c>
      <c r="D6085" t="n">
        <v>845385</v>
      </c>
      <c r="E6085" t="inlineStr">
        <is>
          <t>SEC</t>
        </is>
      </c>
    </row>
    <row r="6086">
      <c r="A6086" s="5">
        <f>HYPERLINK("https://finance.yahoo.com/quote/MMTIF","MMTIF")</f>
        <v/>
      </c>
      <c r="B6086" t="inlineStr">
        <is>
          <t>MICROMEM TECHNOLOGIES INC</t>
        </is>
      </c>
      <c r="C6086" t="inlineStr">
        <is>
          <t>OTC</t>
        </is>
      </c>
      <c r="D6086" t="n">
        <v>1085921</v>
      </c>
      <c r="E6086" t="inlineStr">
        <is>
          <t>SEC</t>
        </is>
      </c>
    </row>
    <row r="6087">
      <c r="A6087" s="5">
        <f>HYPERLINK("https://finance.yahoo.com/quote/BCUFF","BCUFF")</f>
        <v/>
      </c>
      <c r="B6087" t="inlineStr">
        <is>
          <t>Bell Copper Corp</t>
        </is>
      </c>
      <c r="C6087" t="inlineStr">
        <is>
          <t>OTC</t>
        </is>
      </c>
      <c r="D6087" t="n">
        <v>1477201</v>
      </c>
      <c r="E6087" t="inlineStr">
        <is>
          <t>SEC</t>
        </is>
      </c>
    </row>
    <row r="6088">
      <c r="A6088" s="5">
        <f>HYPERLINK("https://finance.yahoo.com/quote/BTOC","BTOC")</f>
        <v/>
      </c>
      <c r="B6088" t="inlineStr">
        <is>
          <t>Armlogi Holding Corp.</t>
        </is>
      </c>
      <c r="C6088" t="inlineStr">
        <is>
          <t>Nasdaq</t>
        </is>
      </c>
      <c r="D6088" t="n">
        <v>1972529</v>
      </c>
      <c r="E6088" t="inlineStr">
        <is>
          <t>SEC</t>
        </is>
      </c>
    </row>
    <row r="6089">
      <c r="A6089" s="5">
        <f>HYPERLINK("https://finance.yahoo.com/quote/NDRA","NDRA")</f>
        <v/>
      </c>
      <c r="B6089" t="inlineStr">
        <is>
          <t>ENDRA Life Sciences Inc.</t>
        </is>
      </c>
      <c r="C6089" t="inlineStr">
        <is>
          <t>Nasdaq</t>
        </is>
      </c>
      <c r="D6089" t="n">
        <v>1681682</v>
      </c>
      <c r="E6089" t="inlineStr">
        <is>
          <t>SEC</t>
        </is>
      </c>
    </row>
    <row r="6090">
      <c r="A6090" s="5">
        <f>HYPERLINK("https://finance.yahoo.com/quote/INUV","INUV")</f>
        <v/>
      </c>
      <c r="B6090" t="inlineStr">
        <is>
          <t>Inuvo, Inc.</t>
        </is>
      </c>
      <c r="C6090" t="inlineStr">
        <is>
          <t>NYSE</t>
        </is>
      </c>
      <c r="D6090" t="n">
        <v>829323</v>
      </c>
      <c r="E6090" t="inlineStr">
        <is>
          <t>SEC</t>
        </is>
      </c>
    </row>
    <row r="6091">
      <c r="A6091" s="5">
        <f>HYPERLINK("https://finance.yahoo.com/quote/CYCU","CYCU")</f>
        <v/>
      </c>
      <c r="B6091" t="inlineStr">
        <is>
          <t>Cycurion, Inc.</t>
        </is>
      </c>
      <c r="C6091" t="inlineStr">
        <is>
          <t>Nasdaq</t>
        </is>
      </c>
      <c r="D6091" t="n">
        <v>1868419</v>
      </c>
      <c r="E6091" t="inlineStr">
        <is>
          <t>SEC</t>
        </is>
      </c>
    </row>
    <row r="6092">
      <c r="A6092" s="5">
        <f>HYPERLINK("https://finance.yahoo.com/quote/ZCRMF","ZCRMF")</f>
        <v/>
      </c>
      <c r="B6092" t="inlineStr">
        <is>
          <t>Golden Cross Resources Inc.</t>
        </is>
      </c>
      <c r="C6092" t="inlineStr">
        <is>
          <t>OTC</t>
        </is>
      </c>
      <c r="D6092" t="n">
        <v>1425061</v>
      </c>
      <c r="E6092" t="inlineStr">
        <is>
          <t>SEC</t>
        </is>
      </c>
    </row>
    <row r="6093">
      <c r="A6093" s="5">
        <f>HYPERLINK("https://finance.yahoo.com/quote/OSRH","OSRH")</f>
        <v/>
      </c>
      <c r="B6093" t="inlineStr">
        <is>
          <t>OSR Health, Inc.</t>
        </is>
      </c>
      <c r="C6093" t="inlineStr">
        <is>
          <t>OTC</t>
        </is>
      </c>
      <c r="D6093" t="n">
        <v>1840425</v>
      </c>
      <c r="E6093" t="inlineStr">
        <is>
          <t>SEC</t>
        </is>
      </c>
    </row>
    <row r="6094">
      <c r="A6094" s="5">
        <f>HYPERLINK("https://finance.yahoo.com/quote/NAMI","NAMI")</f>
        <v/>
      </c>
      <c r="B6094" t="inlineStr">
        <is>
          <t>Jinxin Technology Holding Co</t>
        </is>
      </c>
      <c r="C6094" t="inlineStr">
        <is>
          <t>Nasdaq</t>
        </is>
      </c>
      <c r="D6094" t="n">
        <v>1967631</v>
      </c>
      <c r="E6094" t="inlineStr">
        <is>
          <t>SEC</t>
        </is>
      </c>
    </row>
    <row r="6095">
      <c r="A6095" s="5">
        <f>HYPERLINK("https://finance.yahoo.com/quote/DTST","DTST")</f>
        <v/>
      </c>
      <c r="B6095" t="inlineStr">
        <is>
          <t>Data Storage Corp</t>
        </is>
      </c>
      <c r="C6095" t="inlineStr">
        <is>
          <t>Nasdaq</t>
        </is>
      </c>
      <c r="D6095" t="n">
        <v>1419951</v>
      </c>
      <c r="E6095" t="inlineStr">
        <is>
          <t>SEC</t>
        </is>
      </c>
    </row>
    <row r="6096">
      <c r="A6096" s="5">
        <f>HYPERLINK("https://finance.yahoo.com/quote/OLB","OLB")</f>
        <v/>
      </c>
      <c r="B6096" t="inlineStr">
        <is>
          <t>OLB GROUP, INC.</t>
        </is>
      </c>
      <c r="C6096" t="inlineStr">
        <is>
          <t>Nasdaq</t>
        </is>
      </c>
      <c r="D6096" t="n">
        <v>1314196</v>
      </c>
      <c r="E6096" t="inlineStr">
        <is>
          <t>SEC</t>
        </is>
      </c>
    </row>
    <row r="6097">
      <c r="A6097" s="5">
        <f>HYPERLINK("https://finance.yahoo.com/quote/ARBB","ARBB")</f>
        <v/>
      </c>
      <c r="B6097" t="inlineStr">
        <is>
          <t>ARB IOT Group Ltd</t>
        </is>
      </c>
      <c r="C6097" t="inlineStr">
        <is>
          <t>Nasdaq</t>
        </is>
      </c>
      <c r="D6097" t="n">
        <v>1930179</v>
      </c>
      <c r="E6097" t="inlineStr">
        <is>
          <t>SEC</t>
        </is>
      </c>
    </row>
    <row r="6098">
      <c r="A6098" s="5">
        <f>HYPERLINK("https://finance.yahoo.com/quote/FEBO","FEBO")</f>
        <v/>
      </c>
      <c r="B6098" t="inlineStr">
        <is>
          <t>Fenbo Holdings Ltd</t>
        </is>
      </c>
      <c r="C6098" t="inlineStr">
        <is>
          <t>Nasdaq</t>
        </is>
      </c>
      <c r="D6098" t="n">
        <v>1957001</v>
      </c>
      <c r="E6098" t="inlineStr">
        <is>
          <t>SEC</t>
        </is>
      </c>
    </row>
    <row r="6099">
      <c r="A6099" s="5">
        <f>HYPERLINK("https://finance.yahoo.com/quote/FBLG","FBLG")</f>
        <v/>
      </c>
      <c r="B6099" t="inlineStr">
        <is>
          <t>FibroBiologics, Inc.</t>
        </is>
      </c>
      <c r="C6099" t="inlineStr">
        <is>
          <t>Nasdaq</t>
        </is>
      </c>
      <c r="D6099" t="n">
        <v>1958777</v>
      </c>
      <c r="E6099" t="inlineStr">
        <is>
          <t>SEC</t>
        </is>
      </c>
    </row>
    <row r="6100">
      <c r="A6100" s="5">
        <f>HYPERLINK("https://finance.yahoo.com/quote/BMGL","BMGL")</f>
        <v/>
      </c>
      <c r="B6100" t="inlineStr">
        <is>
          <t>Basel Medical Group Ltd</t>
        </is>
      </c>
      <c r="C6100" t="inlineStr">
        <is>
          <t>Nasdaq</t>
        </is>
      </c>
      <c r="D6100" t="n">
        <v>2004489</v>
      </c>
      <c r="E6100" t="inlineStr">
        <is>
          <t>SEC</t>
        </is>
      </c>
    </row>
    <row r="6101">
      <c r="A6101" s="5">
        <f>HYPERLINK("https://finance.yahoo.com/quote/QUTX","QUTX")</f>
        <v/>
      </c>
      <c r="B6101" t="inlineStr">
        <is>
          <t>Quantum X Inc.</t>
        </is>
      </c>
      <c r="C6101" t="inlineStr">
        <is>
          <t>OTC</t>
        </is>
      </c>
      <c r="D6101" t="n">
        <v>1494413</v>
      </c>
      <c r="E6101" t="inlineStr">
        <is>
          <t>SEC</t>
        </is>
      </c>
    </row>
    <row r="6102">
      <c r="A6102" s="5">
        <f>HYPERLINK("https://finance.yahoo.com/quote/SURG","SURG")</f>
        <v/>
      </c>
      <c r="B6102" t="inlineStr">
        <is>
          <t>SurgePays, Inc.</t>
        </is>
      </c>
      <c r="C6102" t="inlineStr">
        <is>
          <t>Nasdaq</t>
        </is>
      </c>
      <c r="D6102" t="n">
        <v>1392694</v>
      </c>
      <c r="E6102" t="inlineStr">
        <is>
          <t>SEC</t>
        </is>
      </c>
    </row>
    <row r="6103">
      <c r="A6103" s="5">
        <f>HYPERLINK("https://finance.yahoo.com/quote/BKYI","BKYI")</f>
        <v/>
      </c>
      <c r="B6103" t="inlineStr">
        <is>
          <t>BIO KEY INTERNATIONAL INC</t>
        </is>
      </c>
      <c r="C6103" t="inlineStr">
        <is>
          <t>Nasdaq</t>
        </is>
      </c>
      <c r="D6103" t="n">
        <v>1019034</v>
      </c>
      <c r="E6103" t="inlineStr">
        <is>
          <t>SEC</t>
        </is>
      </c>
    </row>
    <row r="6104">
      <c r="A6104" s="5">
        <f>HYPERLINK("https://finance.yahoo.com/quote/GWAV","GWAV")</f>
        <v/>
      </c>
      <c r="B6104" t="inlineStr">
        <is>
          <t>Greenwave Technology Solutions, Inc.</t>
        </is>
      </c>
      <c r="C6104" t="inlineStr">
        <is>
          <t>Nasdaq</t>
        </is>
      </c>
      <c r="D6104" t="n">
        <v>1589149</v>
      </c>
      <c r="E6104" t="inlineStr">
        <is>
          <t>SEC</t>
        </is>
      </c>
    </row>
    <row r="6105">
      <c r="A6105" s="5">
        <f>HYPERLINK("https://finance.yahoo.com/quote/PREM","PREM")</f>
        <v/>
      </c>
      <c r="B6105" t="inlineStr">
        <is>
          <t>Premier Air Charter Holdings Inc.</t>
        </is>
      </c>
      <c r="C6105" t="inlineStr">
        <is>
          <t>OTC</t>
        </is>
      </c>
      <c r="D6105" t="n">
        <v>1570937</v>
      </c>
      <c r="E6105" t="inlineStr">
        <is>
          <t>SEC</t>
        </is>
      </c>
    </row>
    <row r="6106">
      <c r="A6106" s="5">
        <f>HYPERLINK("https://finance.yahoo.com/quote/TCRT","TCRT")</f>
        <v/>
      </c>
      <c r="B6106" t="inlineStr">
        <is>
          <t>Alaunos Therapeutics, Inc.</t>
        </is>
      </c>
      <c r="C6106" t="inlineStr">
        <is>
          <t>Nasdaq</t>
        </is>
      </c>
      <c r="D6106" t="n">
        <v>1107421</v>
      </c>
      <c r="E6106" t="inlineStr">
        <is>
          <t>SEC</t>
        </is>
      </c>
    </row>
    <row r="6107">
      <c r="A6107" s="5">
        <f>HYPERLINK("https://finance.yahoo.com/quote/IMNN","IMNN")</f>
        <v/>
      </c>
      <c r="B6107" t="inlineStr">
        <is>
          <t>Imunon, Inc.</t>
        </is>
      </c>
      <c r="C6107" t="inlineStr">
        <is>
          <t>Nasdaq</t>
        </is>
      </c>
      <c r="D6107" t="n">
        <v>749647</v>
      </c>
      <c r="E6107" t="inlineStr">
        <is>
          <t>SEC</t>
        </is>
      </c>
    </row>
    <row r="6108">
      <c r="A6108" s="5">
        <f>HYPERLINK("https://finance.yahoo.com/quote/YNVYF","YNVYF")</f>
        <v/>
      </c>
      <c r="B6108" t="inlineStr">
        <is>
          <t>YNVISIBLE INTERACTIVE INC.</t>
        </is>
      </c>
      <c r="C6108" t="inlineStr">
        <is>
          <t>OTC</t>
        </is>
      </c>
      <c r="D6108" t="n">
        <v>1427728</v>
      </c>
      <c r="E6108" t="inlineStr">
        <is>
          <t>SEC</t>
        </is>
      </c>
    </row>
    <row r="6109">
      <c r="A6109" s="5">
        <f>HYPERLINK("https://finance.yahoo.com/quote/FTHM","FTHM")</f>
        <v/>
      </c>
      <c r="B6109" t="inlineStr">
        <is>
          <t>Fathom Holdings Inc.</t>
        </is>
      </c>
      <c r="C6109" t="inlineStr">
        <is>
          <t>Nasdaq</t>
        </is>
      </c>
      <c r="D6109" t="n">
        <v>1753162</v>
      </c>
      <c r="E6109" t="inlineStr">
        <is>
          <t>SEC</t>
        </is>
      </c>
    </row>
    <row r="6110">
      <c r="A6110" s="5">
        <f>HYPERLINK("https://finance.yahoo.com/quote/MSN","MSN")</f>
        <v/>
      </c>
      <c r="B6110" t="inlineStr">
        <is>
          <t>EMERSON RADIO CORP</t>
        </is>
      </c>
      <c r="C6110" t="inlineStr">
        <is>
          <t>NYSE</t>
        </is>
      </c>
      <c r="D6110" t="n">
        <v>32621</v>
      </c>
      <c r="E6110" t="inlineStr">
        <is>
          <t>SEC</t>
        </is>
      </c>
    </row>
    <row r="6111">
      <c r="A6111" s="5">
        <f>HYPERLINK("https://finance.yahoo.com/quote/CLGN","CLGN")</f>
        <v/>
      </c>
      <c r="B6111" t="inlineStr">
        <is>
          <t>CollPlant Biotechnologies Ltd</t>
        </is>
      </c>
      <c r="C6111" t="inlineStr">
        <is>
          <t>Nasdaq</t>
        </is>
      </c>
      <c r="D6111" t="n">
        <v>1631487</v>
      </c>
      <c r="E6111" t="inlineStr">
        <is>
          <t>SEC</t>
        </is>
      </c>
    </row>
    <row r="6112">
      <c r="A6112" s="5">
        <f>HYPERLINK("https://finance.yahoo.com/quote/DTSS","DTSS")</f>
        <v/>
      </c>
      <c r="B6112" t="inlineStr">
        <is>
          <t>Datasea Intelligent Technology Ltd.</t>
        </is>
      </c>
      <c r="C6112" t="inlineStr">
        <is>
          <t>Nasdaq</t>
        </is>
      </c>
      <c r="D6112" t="n">
        <v>2110423</v>
      </c>
      <c r="E6112" t="inlineStr">
        <is>
          <t>SEC</t>
        </is>
      </c>
    </row>
    <row r="6113">
      <c r="A6113" s="5">
        <f>HYPERLINK("https://finance.yahoo.com/quote/SKYE","SKYE")</f>
        <v/>
      </c>
      <c r="B6113" t="inlineStr">
        <is>
          <t>Skye Bioscience, Inc.</t>
        </is>
      </c>
      <c r="C6113" t="inlineStr">
        <is>
          <t>Nasdaq</t>
        </is>
      </c>
      <c r="D6113" t="n">
        <v>1516551</v>
      </c>
      <c r="E6113" t="inlineStr">
        <is>
          <t>SEC</t>
        </is>
      </c>
    </row>
    <row r="6114">
      <c r="A6114" s="5">
        <f>HYPERLINK("https://finance.yahoo.com/quote/LHSW","LHSW")</f>
        <v/>
      </c>
      <c r="B6114" t="inlineStr">
        <is>
          <t>Lianhe Sowell International Group Ltd</t>
        </is>
      </c>
      <c r="C6114" t="inlineStr">
        <is>
          <t>Nasdaq</t>
        </is>
      </c>
      <c r="D6114" t="n">
        <v>2004024</v>
      </c>
      <c r="E6114" t="inlineStr">
        <is>
          <t>SEC</t>
        </is>
      </c>
    </row>
    <row r="6115">
      <c r="A6115" s="5">
        <f>HYPERLINK("https://finance.yahoo.com/quote/XCUR","XCUR")</f>
        <v/>
      </c>
      <c r="B6115" t="inlineStr">
        <is>
          <t>EXICURE, INC.</t>
        </is>
      </c>
      <c r="C6115" t="inlineStr">
        <is>
          <t>Nasdaq</t>
        </is>
      </c>
      <c r="D6115" t="n">
        <v>1698530</v>
      </c>
      <c r="E6115" t="inlineStr">
        <is>
          <t>SEC</t>
        </is>
      </c>
    </row>
    <row r="6116">
      <c r="A6116" s="5">
        <f>HYPERLINK("https://finance.yahoo.com/quote/MTEN","MTEN")</f>
        <v/>
      </c>
      <c r="B6116" t="inlineStr">
        <is>
          <t>Mingteng International Corp Inc.</t>
        </is>
      </c>
      <c r="C6116" t="inlineStr">
        <is>
          <t>Nasdaq</t>
        </is>
      </c>
      <c r="D6116" t="n">
        <v>1948099</v>
      </c>
      <c r="E6116" t="inlineStr">
        <is>
          <t>SEC</t>
        </is>
      </c>
    </row>
    <row r="6117">
      <c r="A6117" s="5">
        <f>HYPERLINK("https://finance.yahoo.com/quote/XWEL","XWEL")</f>
        <v/>
      </c>
      <c r="B6117" t="inlineStr">
        <is>
          <t>XWELL, Inc.</t>
        </is>
      </c>
      <c r="C6117" t="inlineStr">
        <is>
          <t>Nasdaq</t>
        </is>
      </c>
      <c r="D6117" t="n">
        <v>1410428</v>
      </c>
      <c r="E6117" t="inlineStr">
        <is>
          <t>SEC</t>
        </is>
      </c>
    </row>
    <row r="6118">
      <c r="A6118" s="5">
        <f>HYPERLINK("https://finance.yahoo.com/quote/CBLO","CBLO")</f>
        <v/>
      </c>
      <c r="B6118" t="inlineStr">
        <is>
          <t>C2 Blockchain, Inc.</t>
        </is>
      </c>
      <c r="C6118" t="inlineStr"/>
      <c r="D6118" t="n">
        <v>1882781</v>
      </c>
      <c r="E6118" t="inlineStr">
        <is>
          <t>SEC</t>
        </is>
      </c>
    </row>
    <row r="6119">
      <c r="A6119" s="5">
        <f>HYPERLINK("https://finance.yahoo.com/quote/MFBI","MFBI")</f>
        <v/>
      </c>
      <c r="B6119" t="inlineStr">
        <is>
          <t>Monroe Federal Bancorp, Inc.</t>
        </is>
      </c>
      <c r="C6119" t="inlineStr">
        <is>
          <t>OTC</t>
        </is>
      </c>
      <c r="D6119" t="n">
        <v>2024899</v>
      </c>
      <c r="E6119" t="inlineStr">
        <is>
          <t>SEC</t>
        </is>
      </c>
    </row>
    <row r="6120">
      <c r="A6120" s="5">
        <f>HYPERLINK("https://finance.yahoo.com/quote/LZMH","LZMH")</f>
        <v/>
      </c>
      <c r="B6120" t="inlineStr">
        <is>
          <t>LZ Technology Holdings Ltd</t>
        </is>
      </c>
      <c r="C6120" t="inlineStr">
        <is>
          <t>Nasdaq</t>
        </is>
      </c>
      <c r="D6120" t="n">
        <v>1967397</v>
      </c>
      <c r="E6120" t="inlineStr">
        <is>
          <t>SEC</t>
        </is>
      </c>
    </row>
    <row r="6121">
      <c r="A6121" s="5">
        <f>HYPERLINK("https://finance.yahoo.com/quote/WAFU","WAFU")</f>
        <v/>
      </c>
      <c r="B6121" t="inlineStr">
        <is>
          <t>Wah Fu Education &amp; Technology Group Ltd.</t>
        </is>
      </c>
      <c r="C6121" t="inlineStr">
        <is>
          <t>Nasdaq</t>
        </is>
      </c>
      <c r="D6121" t="n">
        <v>1716770</v>
      </c>
      <c r="E6121" t="inlineStr">
        <is>
          <t>SEC</t>
        </is>
      </c>
    </row>
    <row r="6122">
      <c r="A6122" s="5">
        <f>HYPERLINK("https://finance.yahoo.com/quote/RAIN","RAIN")</f>
        <v/>
      </c>
      <c r="B6122" t="inlineStr">
        <is>
          <t>Rain Enhancement Technologies Holdco, Inc.</t>
        </is>
      </c>
      <c r="C6122" t="inlineStr">
        <is>
          <t>Nasdaq</t>
        </is>
      </c>
      <c r="D6122" t="n">
        <v>2028293</v>
      </c>
      <c r="E6122" t="inlineStr">
        <is>
          <t>SEC</t>
        </is>
      </c>
    </row>
    <row r="6123">
      <c r="A6123" s="5">
        <f>HYPERLINK("https://finance.yahoo.com/quote/RPGL","RPGL")</f>
        <v/>
      </c>
      <c r="B6123" t="inlineStr">
        <is>
          <t>Republic Power Group Ltd</t>
        </is>
      </c>
      <c r="C6123" t="inlineStr">
        <is>
          <t>Nasdaq</t>
        </is>
      </c>
      <c r="D6123" t="n">
        <v>1912884</v>
      </c>
      <c r="E6123" t="inlineStr">
        <is>
          <t>SEC</t>
        </is>
      </c>
    </row>
    <row r="6124">
      <c r="A6124" s="5">
        <f>HYPERLINK("https://finance.yahoo.com/quote/CNSP","CNSP")</f>
        <v/>
      </c>
      <c r="B6124" t="inlineStr">
        <is>
          <t>CNS Pharmaceuticals, Inc.</t>
        </is>
      </c>
      <c r="C6124" t="inlineStr">
        <is>
          <t>Nasdaq</t>
        </is>
      </c>
      <c r="D6124" t="n">
        <v>1729427</v>
      </c>
      <c r="E6124" t="inlineStr">
        <is>
          <t>SEC</t>
        </is>
      </c>
    </row>
    <row r="6125">
      <c r="A6125" s="5">
        <f>HYPERLINK("https://finance.yahoo.com/quote/BRWC","BRWC")</f>
        <v/>
      </c>
      <c r="B6125" t="inlineStr">
        <is>
          <t>Birdie Win Corp</t>
        </is>
      </c>
      <c r="C6125" t="inlineStr">
        <is>
          <t>OTC</t>
        </is>
      </c>
      <c r="D6125" t="n">
        <v>1873213</v>
      </c>
      <c r="E6125" t="inlineStr">
        <is>
          <t>SEC</t>
        </is>
      </c>
    </row>
    <row r="6126">
      <c r="A6126" s="5">
        <f>HYPERLINK("https://finance.yahoo.com/quote/YHGJ","YHGJ")</f>
        <v/>
      </c>
      <c r="B6126" t="inlineStr">
        <is>
          <t>YUNHONG GREEN CTI LTD.</t>
        </is>
      </c>
      <c r="C6126" t="inlineStr">
        <is>
          <t>Nasdaq</t>
        </is>
      </c>
      <c r="D6126" t="n">
        <v>1042187</v>
      </c>
      <c r="E6126" t="inlineStr">
        <is>
          <t>SEC</t>
        </is>
      </c>
    </row>
    <row r="6127">
      <c r="A6127" s="5">
        <f>HYPERLINK("https://finance.yahoo.com/quote/TRRFF","TRRFF")</f>
        <v/>
      </c>
      <c r="B6127" t="inlineStr">
        <is>
          <t>TRIFECTA GOLD LTD</t>
        </is>
      </c>
      <c r="C6127" t="inlineStr">
        <is>
          <t>OTC</t>
        </is>
      </c>
      <c r="D6127" t="n">
        <v>1713979</v>
      </c>
      <c r="E6127" t="inlineStr">
        <is>
          <t>SEC</t>
        </is>
      </c>
    </row>
    <row r="6128">
      <c r="A6128" s="5">
        <f>HYPERLINK("https://finance.yahoo.com/quote/AITTF","AITTF")</f>
        <v/>
      </c>
      <c r="B6128" t="inlineStr">
        <is>
          <t>TRENCHANT TECHNOLOGIES CAPITAL CORP.</t>
        </is>
      </c>
      <c r="C6128" t="inlineStr">
        <is>
          <t>OTC</t>
        </is>
      </c>
      <c r="D6128" t="n">
        <v>1520556</v>
      </c>
      <c r="E6128" t="inlineStr">
        <is>
          <t>SEC</t>
        </is>
      </c>
    </row>
    <row r="6129">
      <c r="A6129" s="5">
        <f>HYPERLINK("https://finance.yahoo.com/quote/APRE","APRE")</f>
        <v/>
      </c>
      <c r="B6129" t="inlineStr">
        <is>
          <t>Aprea Therapeutics, Inc.</t>
        </is>
      </c>
      <c r="C6129" t="inlineStr">
        <is>
          <t>Nasdaq</t>
        </is>
      </c>
      <c r="D6129" t="n">
        <v>1781983</v>
      </c>
      <c r="E6129" t="inlineStr">
        <is>
          <t>SEC</t>
        </is>
      </c>
    </row>
    <row r="6130">
      <c r="A6130" s="5">
        <f>HYPERLINK("https://finance.yahoo.com/quote/CRMT","CRMT")</f>
        <v/>
      </c>
      <c r="B6130" t="inlineStr">
        <is>
          <t>AMERICAS CARMART INC</t>
        </is>
      </c>
      <c r="C6130" t="inlineStr">
        <is>
          <t>Nasdaq</t>
        </is>
      </c>
      <c r="D6130" t="n">
        <v>799850</v>
      </c>
      <c r="E6130" t="inlineStr">
        <is>
          <t>SEC</t>
        </is>
      </c>
    </row>
    <row r="6131">
      <c r="A6131" s="5">
        <f>HYPERLINK("https://finance.yahoo.com/quote/OPTT","OPTT")</f>
        <v/>
      </c>
      <c r="B6131" t="inlineStr">
        <is>
          <t>Ocean Power Technologies, Inc.</t>
        </is>
      </c>
      <c r="C6131" t="inlineStr">
        <is>
          <t>NYSE</t>
        </is>
      </c>
      <c r="D6131" t="n">
        <v>1378140</v>
      </c>
      <c r="E6131" t="inlineStr">
        <is>
          <t>SEC</t>
        </is>
      </c>
    </row>
    <row r="6132">
      <c r="A6132" s="5">
        <f>HYPERLINK("https://finance.yahoo.com/quote/TRLEF","TRLEF")</f>
        <v/>
      </c>
      <c r="B6132" t="inlineStr">
        <is>
          <t>Dune Oil Corp.</t>
        </is>
      </c>
      <c r="C6132" t="inlineStr"/>
      <c r="D6132" t="n">
        <v>1648636</v>
      </c>
      <c r="E6132" t="inlineStr">
        <is>
          <t>SEC</t>
        </is>
      </c>
    </row>
    <row r="6133">
      <c r="A6133" s="5">
        <f>HYPERLINK("https://finance.yahoo.com/quote/GLE","GLE")</f>
        <v/>
      </c>
      <c r="B6133" t="inlineStr">
        <is>
          <t>Global Engine Group Holding Ltd</t>
        </is>
      </c>
      <c r="C6133" t="inlineStr">
        <is>
          <t>Nasdaq</t>
        </is>
      </c>
      <c r="D6133" t="n">
        <v>1908705</v>
      </c>
      <c r="E6133" t="inlineStr">
        <is>
          <t>SEC</t>
        </is>
      </c>
    </row>
    <row r="6134">
      <c r="A6134" s="5">
        <f>HYPERLINK("https://finance.yahoo.com/quote/YJ","YJ")</f>
        <v/>
      </c>
      <c r="B6134" t="inlineStr">
        <is>
          <t>Yunji Inc.</t>
        </is>
      </c>
      <c r="C6134" t="inlineStr">
        <is>
          <t>Nasdaq</t>
        </is>
      </c>
      <c r="D6134" t="n">
        <v>1759614</v>
      </c>
      <c r="E6134" t="inlineStr">
        <is>
          <t>SEC</t>
        </is>
      </c>
    </row>
    <row r="6135">
      <c r="A6135" s="5">
        <f>HYPERLINK("https://finance.yahoo.com/quote/CYDX","CYDX")</f>
        <v/>
      </c>
      <c r="B6135" t="inlineStr">
        <is>
          <t>CYduct Diagnostics, Inc.</t>
        </is>
      </c>
      <c r="C6135" t="inlineStr">
        <is>
          <t>OTC</t>
        </is>
      </c>
      <c r="D6135" t="n">
        <v>1388994</v>
      </c>
      <c r="E6135" t="inlineStr">
        <is>
          <t>SEC</t>
        </is>
      </c>
    </row>
    <row r="6136">
      <c r="A6136" s="5">
        <f>HYPERLINK("https://finance.yahoo.com/quote/ADMQ","ADMQ")</f>
        <v/>
      </c>
      <c r="B6136" t="inlineStr">
        <is>
          <t>ADM ENDEAVORS, INC.</t>
        </is>
      </c>
      <c r="C6136" t="inlineStr">
        <is>
          <t>OTC</t>
        </is>
      </c>
      <c r="D6136" t="n">
        <v>1588014</v>
      </c>
      <c r="E6136" t="inlineStr">
        <is>
          <t>SEC</t>
        </is>
      </c>
    </row>
    <row r="6137">
      <c r="A6137" s="5">
        <f>HYPERLINK("https://finance.yahoo.com/quote/AIM","AIM")</f>
        <v/>
      </c>
      <c r="B6137" t="inlineStr">
        <is>
          <t>AIM ImmunoTech Inc.</t>
        </is>
      </c>
      <c r="C6137" t="inlineStr">
        <is>
          <t>NYSE</t>
        </is>
      </c>
      <c r="D6137" t="n">
        <v>946644</v>
      </c>
      <c r="E6137" t="inlineStr">
        <is>
          <t>SEC</t>
        </is>
      </c>
    </row>
    <row r="6138">
      <c r="A6138" s="5">
        <f>HYPERLINK("https://finance.yahoo.com/quote/AMLM","AMLM")</f>
        <v/>
      </c>
      <c r="B6138" t="inlineStr">
        <is>
          <t>AMERICAN LITHIUM MINERALS, INC.</t>
        </is>
      </c>
      <c r="C6138" t="inlineStr">
        <is>
          <t>OTC</t>
        </is>
      </c>
      <c r="D6138" t="n">
        <v>1356371</v>
      </c>
      <c r="E6138" t="inlineStr">
        <is>
          <t>SEC</t>
        </is>
      </c>
    </row>
    <row r="6139">
      <c r="A6139" s="5">
        <f>HYPERLINK("https://finance.yahoo.com/quote/AXNX","AXNX")</f>
        <v/>
      </c>
      <c r="B6139" t="inlineStr">
        <is>
          <t>Axonex AI Group Ltd</t>
        </is>
      </c>
      <c r="C6139" t="inlineStr">
        <is>
          <t>Nasdaq</t>
        </is>
      </c>
      <c r="D6139" t="n">
        <v>1998560</v>
      </c>
      <c r="E6139" t="inlineStr">
        <is>
          <t>SEC</t>
        </is>
      </c>
    </row>
    <row r="6140">
      <c r="A6140" s="5">
        <f>HYPERLINK("https://finance.yahoo.com/quote/THH","THH")</f>
        <v/>
      </c>
      <c r="B6140" t="inlineStr">
        <is>
          <t>TryHard Holdings Ltd</t>
        </is>
      </c>
      <c r="C6140" t="inlineStr">
        <is>
          <t>Nasdaq</t>
        </is>
      </c>
      <c r="D6140" t="n">
        <v>2044241</v>
      </c>
      <c r="E6140" t="inlineStr">
        <is>
          <t>SEC</t>
        </is>
      </c>
    </row>
    <row r="6141">
      <c r="A6141" s="5">
        <f>HYPERLINK("https://finance.yahoo.com/quote/LOBO","LOBO")</f>
        <v/>
      </c>
      <c r="B6141" t="inlineStr">
        <is>
          <t>LOBO TECHNOLOGIES LTD.</t>
        </is>
      </c>
      <c r="C6141" t="inlineStr">
        <is>
          <t>Nasdaq</t>
        </is>
      </c>
      <c r="D6141" t="n">
        <v>1932072</v>
      </c>
      <c r="E6141" t="inlineStr">
        <is>
          <t>SEC</t>
        </is>
      </c>
    </row>
    <row r="6142">
      <c r="A6142" s="5">
        <f>HYPERLINK("https://finance.yahoo.com/quote/FCHDF","FCHDF")</f>
        <v/>
      </c>
      <c r="B6142" t="inlineStr">
        <is>
          <t>Fairchild Gold Corp.</t>
        </is>
      </c>
      <c r="C6142" t="inlineStr">
        <is>
          <t>OTC</t>
        </is>
      </c>
      <c r="D6142" t="n">
        <v>2048847</v>
      </c>
      <c r="E6142" t="inlineStr">
        <is>
          <t>SEC</t>
        </is>
      </c>
    </row>
    <row r="6143">
      <c r="A6143" s="5">
        <f>HYPERLINK("https://finance.yahoo.com/quote/ENVB","ENVB")</f>
        <v/>
      </c>
      <c r="B6143" t="inlineStr">
        <is>
          <t>Enveric Biosciences, Inc.</t>
        </is>
      </c>
      <c r="C6143" t="inlineStr">
        <is>
          <t>Nasdaq</t>
        </is>
      </c>
      <c r="D6143" t="n">
        <v>890821</v>
      </c>
      <c r="E6143" t="inlineStr">
        <is>
          <t>SEC</t>
        </is>
      </c>
    </row>
    <row r="6144">
      <c r="A6144" s="5">
        <f>HYPERLINK("https://finance.yahoo.com/quote/ACXP","ACXP")</f>
        <v/>
      </c>
      <c r="B6144" t="inlineStr">
        <is>
          <t>Acurx Pharmaceuticals, Inc.</t>
        </is>
      </c>
      <c r="C6144" t="inlineStr">
        <is>
          <t>Nasdaq</t>
        </is>
      </c>
      <c r="D6144" t="n">
        <v>1736243</v>
      </c>
      <c r="E6144" t="inlineStr">
        <is>
          <t>SEC</t>
        </is>
      </c>
    </row>
    <row r="6145">
      <c r="A6145" s="5">
        <f>HYPERLINK("https://finance.yahoo.com/quote/NYMXF","NYMXF")</f>
        <v/>
      </c>
      <c r="B6145" t="inlineStr">
        <is>
          <t>NYMOX PHARMACEUTICAL CORP</t>
        </is>
      </c>
      <c r="C6145" t="inlineStr">
        <is>
          <t>OTC</t>
        </is>
      </c>
      <c r="D6145" t="n">
        <v>1018735</v>
      </c>
      <c r="E6145" t="inlineStr">
        <is>
          <t>SEC</t>
        </is>
      </c>
    </row>
    <row r="6146">
      <c r="A6146" s="5">
        <f>HYPERLINK("https://finance.yahoo.com/quote/REED","REED")</f>
        <v/>
      </c>
      <c r="B6146" t="inlineStr">
        <is>
          <t>REED'S, INC.</t>
        </is>
      </c>
      <c r="C6146" t="inlineStr">
        <is>
          <t>NYSE</t>
        </is>
      </c>
      <c r="D6146" t="n">
        <v>1140215</v>
      </c>
      <c r="E6146" t="inlineStr">
        <is>
          <t>SEC</t>
        </is>
      </c>
    </row>
    <row r="6147">
      <c r="A6147" s="5">
        <f>HYPERLINK("https://finance.yahoo.com/quote/WKSP","WKSP")</f>
        <v/>
      </c>
      <c r="B6147" t="inlineStr">
        <is>
          <t>Worksport Ltd</t>
        </is>
      </c>
      <c r="C6147" t="inlineStr">
        <is>
          <t>Nasdaq</t>
        </is>
      </c>
      <c r="D6147" t="n">
        <v>1096275</v>
      </c>
      <c r="E6147" t="inlineStr">
        <is>
          <t>SEC</t>
        </is>
      </c>
    </row>
    <row r="6148">
      <c r="A6148" s="5">
        <f>HYPERLINK("https://finance.yahoo.com/quote/BGMS","BGMS")</f>
        <v/>
      </c>
      <c r="B6148" t="inlineStr">
        <is>
          <t>Bio Green Med Solution, Inc.</t>
        </is>
      </c>
      <c r="C6148" t="inlineStr">
        <is>
          <t>Nasdaq</t>
        </is>
      </c>
      <c r="D6148" t="n">
        <v>1130166</v>
      </c>
      <c r="E6148" t="inlineStr">
        <is>
          <t>SEC</t>
        </is>
      </c>
    </row>
    <row r="6149">
      <c r="A6149" s="5">
        <f>HYPERLINK("https://finance.yahoo.com/quote/HUDI","HUDI")</f>
        <v/>
      </c>
      <c r="B6149" t="inlineStr">
        <is>
          <t>Huadi International Group Co., Ltd.</t>
        </is>
      </c>
      <c r="C6149" t="inlineStr">
        <is>
          <t>Nasdaq</t>
        </is>
      </c>
      <c r="D6149" t="n">
        <v>1791725</v>
      </c>
      <c r="E6149" t="inlineStr">
        <is>
          <t>SEC</t>
        </is>
      </c>
    </row>
    <row r="6150">
      <c r="A6150" s="5">
        <f>HYPERLINK("https://finance.yahoo.com/quote/SPTY","SPTY")</f>
        <v/>
      </c>
      <c r="B6150" t="inlineStr">
        <is>
          <t>SPECIFICITY, INC.</t>
        </is>
      </c>
      <c r="C6150" t="inlineStr">
        <is>
          <t>OTC</t>
        </is>
      </c>
      <c r="D6150" t="n">
        <v>1840102</v>
      </c>
      <c r="E6150" t="inlineStr">
        <is>
          <t>SEC</t>
        </is>
      </c>
    </row>
    <row r="6151">
      <c r="A6151" s="5">
        <f>HYPERLINK("https://finance.yahoo.com/quote/HLYK","HLYK")</f>
        <v/>
      </c>
      <c r="B6151" t="inlineStr">
        <is>
          <t>HealthLynked Corp</t>
        </is>
      </c>
      <c r="C6151" t="inlineStr">
        <is>
          <t>OTC</t>
        </is>
      </c>
      <c r="D6151" t="n">
        <v>1680139</v>
      </c>
      <c r="E6151" t="inlineStr">
        <is>
          <t>SEC</t>
        </is>
      </c>
    </row>
    <row r="6152">
      <c r="A6152" s="5">
        <f>HYPERLINK("https://finance.yahoo.com/quote/RWAX","RWAX")</f>
        <v/>
      </c>
      <c r="B6152" t="inlineStr">
        <is>
          <t>TAP REAL ESTATE TECHNOLOGIES, INC.</t>
        </is>
      </c>
      <c r="C6152" t="inlineStr">
        <is>
          <t>OTC</t>
        </is>
      </c>
      <c r="D6152" t="n">
        <v>1119190</v>
      </c>
      <c r="E6152" t="inlineStr">
        <is>
          <t>SEC</t>
        </is>
      </c>
    </row>
    <row r="6153">
      <c r="A6153" s="5">
        <f>HYPERLINK("https://finance.yahoo.com/quote/BGL","BGL")</f>
        <v/>
      </c>
      <c r="B6153" t="inlineStr">
        <is>
          <t>Blue Gold Ltd</t>
        </is>
      </c>
      <c r="C6153" t="inlineStr">
        <is>
          <t>Nasdaq</t>
        </is>
      </c>
      <c r="D6153" t="n">
        <v>2019435</v>
      </c>
      <c r="E6153" t="inlineStr">
        <is>
          <t>SEC</t>
        </is>
      </c>
    </row>
    <row r="6154">
      <c r="A6154" s="5">
        <f>HYPERLINK("https://finance.yahoo.com/quote/VS","VS")</f>
        <v/>
      </c>
      <c r="B6154" t="inlineStr">
        <is>
          <t>Versus Systems Inc.</t>
        </is>
      </c>
      <c r="C6154" t="inlineStr">
        <is>
          <t>Nasdaq</t>
        </is>
      </c>
      <c r="D6154" t="n">
        <v>1701963</v>
      </c>
      <c r="E6154" t="inlineStr">
        <is>
          <t>SEC</t>
        </is>
      </c>
    </row>
    <row r="6155">
      <c r="A6155" s="5">
        <f>HYPERLINK("https://finance.yahoo.com/quote/MMTRS","MMTRS")</f>
        <v/>
      </c>
      <c r="B6155" t="inlineStr">
        <is>
          <t>MILLS MUSIC TRUST</t>
        </is>
      </c>
      <c r="C6155" t="inlineStr">
        <is>
          <t>OTC</t>
        </is>
      </c>
      <c r="D6155" t="n">
        <v>66496</v>
      </c>
      <c r="E6155" t="inlineStr">
        <is>
          <t>SEC</t>
        </is>
      </c>
    </row>
    <row r="6156">
      <c r="A6156" s="5">
        <f>HYPERLINK("https://finance.yahoo.com/quote/BABB","BABB")</f>
        <v/>
      </c>
      <c r="B6156" t="inlineStr">
        <is>
          <t>BAB, INC.</t>
        </is>
      </c>
      <c r="C6156" t="inlineStr">
        <is>
          <t>OTC</t>
        </is>
      </c>
      <c r="D6156" t="n">
        <v>1123596</v>
      </c>
      <c r="E6156" t="inlineStr">
        <is>
          <t>SEC</t>
        </is>
      </c>
    </row>
    <row r="6157">
      <c r="A6157" s="5">
        <f>HYPERLINK("https://finance.yahoo.com/quote/ARAI","ARAI")</f>
        <v/>
      </c>
      <c r="B6157" t="inlineStr">
        <is>
          <t>Arrive AI Inc.</t>
        </is>
      </c>
      <c r="C6157" t="inlineStr">
        <is>
          <t>Nasdaq</t>
        </is>
      </c>
      <c r="D6157" t="n">
        <v>1818274</v>
      </c>
      <c r="E6157" t="inlineStr">
        <is>
          <t>SEC</t>
        </is>
      </c>
    </row>
    <row r="6158">
      <c r="A6158" s="5">
        <f>HYPERLINK("https://finance.yahoo.com/quote/OMH","OMH")</f>
        <v/>
      </c>
      <c r="B6158" t="inlineStr">
        <is>
          <t>Ohmyhome Ltd</t>
        </is>
      </c>
      <c r="C6158" t="inlineStr">
        <is>
          <t>Nasdaq</t>
        </is>
      </c>
      <c r="D6158" t="n">
        <v>1944902</v>
      </c>
      <c r="E6158" t="inlineStr">
        <is>
          <t>SEC</t>
        </is>
      </c>
    </row>
    <row r="6159">
      <c r="A6159" s="5">
        <f>HYPERLINK("https://finance.yahoo.com/quote/JPOTF","JPOTF")</f>
        <v/>
      </c>
      <c r="B6159" t="inlineStr">
        <is>
          <t>Jackpot Digital Inc.</t>
        </is>
      </c>
      <c r="C6159" t="inlineStr">
        <is>
          <t>OTC</t>
        </is>
      </c>
      <c r="D6159" t="n">
        <v>1061612</v>
      </c>
      <c r="E6159" t="inlineStr">
        <is>
          <t>SEC</t>
        </is>
      </c>
    </row>
    <row r="6160">
      <c r="A6160" s="5">
        <f>HYPERLINK("https://finance.yahoo.com/quote/ZDPY","ZDPY")</f>
        <v/>
      </c>
      <c r="B6160" t="inlineStr">
        <is>
          <t>Zoned Properties, Inc.</t>
        </is>
      </c>
      <c r="C6160" t="inlineStr">
        <is>
          <t>OTC</t>
        </is>
      </c>
      <c r="D6160" t="n">
        <v>1279620</v>
      </c>
      <c r="E6160" t="inlineStr">
        <is>
          <t>SEC</t>
        </is>
      </c>
    </row>
    <row r="6161">
      <c r="A6161" s="5">
        <f>HYPERLINK("https://finance.yahoo.com/quote/TRGEF","TRGEF")</f>
        <v/>
      </c>
      <c r="B6161" t="inlineStr">
        <is>
          <t>Targa Exploration Corp.</t>
        </is>
      </c>
      <c r="C6161" t="inlineStr">
        <is>
          <t>OTC</t>
        </is>
      </c>
      <c r="D6161" t="n">
        <v>1989815</v>
      </c>
      <c r="E6161" t="inlineStr">
        <is>
          <t>SEC</t>
        </is>
      </c>
    </row>
    <row r="6162">
      <c r="A6162" s="5">
        <f>HYPERLINK("https://finance.yahoo.com/quote/LEXX","LEXX")</f>
        <v/>
      </c>
      <c r="B6162" t="inlineStr">
        <is>
          <t>Lexaria Bioscience Corp.</t>
        </is>
      </c>
      <c r="C6162" t="inlineStr">
        <is>
          <t>Nasdaq</t>
        </is>
      </c>
      <c r="D6162" t="n">
        <v>1348362</v>
      </c>
      <c r="E6162" t="inlineStr">
        <is>
          <t>SEC</t>
        </is>
      </c>
    </row>
    <row r="6163">
      <c r="A6163" s="5">
        <f>HYPERLINK("https://finance.yahoo.com/quote/MSGY","MSGY")</f>
        <v/>
      </c>
      <c r="B6163" t="inlineStr">
        <is>
          <t>Masonglory Ltd</t>
        </is>
      </c>
      <c r="C6163" t="inlineStr">
        <is>
          <t>Nasdaq</t>
        </is>
      </c>
      <c r="D6163" t="n">
        <v>2020228</v>
      </c>
      <c r="E6163" t="inlineStr">
        <is>
          <t>SEC</t>
        </is>
      </c>
    </row>
    <row r="6164">
      <c r="A6164" s="5">
        <f>HYPERLINK("https://finance.yahoo.com/quote/UCAR","UCAR")</f>
        <v/>
      </c>
      <c r="B6164" t="inlineStr">
        <is>
          <t>U Power Ltd</t>
        </is>
      </c>
      <c r="C6164" t="inlineStr">
        <is>
          <t>Nasdaq</t>
        </is>
      </c>
      <c r="D6164" t="n">
        <v>1939780</v>
      </c>
      <c r="E6164" t="inlineStr">
        <is>
          <t>SEC</t>
        </is>
      </c>
    </row>
    <row r="6165">
      <c r="A6165" s="5">
        <f>HYPERLINK("https://finance.yahoo.com/quote/MBRX","MBRX")</f>
        <v/>
      </c>
      <c r="B6165" t="inlineStr">
        <is>
          <t>Moleculin Biotech, Inc.</t>
        </is>
      </c>
      <c r="C6165" t="inlineStr">
        <is>
          <t>Nasdaq</t>
        </is>
      </c>
      <c r="D6165" t="n">
        <v>1659617</v>
      </c>
      <c r="E6165" t="inlineStr">
        <is>
          <t>SEC</t>
        </is>
      </c>
    </row>
    <row r="6166">
      <c r="A6166" s="5">
        <f>HYPERLINK("https://finance.yahoo.com/quote/GFAI","GFAI")</f>
        <v/>
      </c>
      <c r="B6166" t="inlineStr">
        <is>
          <t>Guardforce AI Co., Ltd.</t>
        </is>
      </c>
      <c r="C6166" t="inlineStr">
        <is>
          <t>Nasdaq</t>
        </is>
      </c>
      <c r="D6166" t="n">
        <v>1804469</v>
      </c>
      <c r="E6166" t="inlineStr">
        <is>
          <t>SEC</t>
        </is>
      </c>
    </row>
    <row r="6167">
      <c r="A6167" s="5">
        <f>HYPERLINK("https://finance.yahoo.com/quote/DLXY","DLXY")</f>
        <v/>
      </c>
      <c r="B6167" t="inlineStr">
        <is>
          <t>Delixy Holdings Ltd</t>
        </is>
      </c>
      <c r="C6167" t="inlineStr">
        <is>
          <t>Nasdaq</t>
        </is>
      </c>
      <c r="D6167" t="n">
        <v>2025218</v>
      </c>
      <c r="E6167" t="inlineStr">
        <is>
          <t>SEC</t>
        </is>
      </c>
    </row>
    <row r="6168">
      <c r="A6168" s="5">
        <f>HYPERLINK("https://finance.yahoo.com/quote/INNPF","INNPF")</f>
        <v/>
      </c>
      <c r="B6168" t="inlineStr">
        <is>
          <t>INNOCAN PHARMA Corp</t>
        </is>
      </c>
      <c r="C6168" t="inlineStr">
        <is>
          <t>OTC</t>
        </is>
      </c>
      <c r="D6168" t="n">
        <v>1889791</v>
      </c>
      <c r="E6168" t="inlineStr">
        <is>
          <t>SEC</t>
        </is>
      </c>
    </row>
    <row r="6169">
      <c r="A6169" s="5">
        <f>HYPERLINK("https://finance.yahoo.com/quote/AIMD","AIMD")</f>
        <v/>
      </c>
      <c r="B6169" t="inlineStr">
        <is>
          <t>Ainos, Inc.</t>
        </is>
      </c>
      <c r="C6169" t="inlineStr">
        <is>
          <t>Nasdaq</t>
        </is>
      </c>
      <c r="D6169" t="n">
        <v>1014763</v>
      </c>
      <c r="E6169" t="inlineStr">
        <is>
          <t>SEC</t>
        </is>
      </c>
    </row>
    <row r="6170">
      <c r="A6170" s="5">
        <f>HYPERLINK("https://finance.yahoo.com/quote/APHP","APHP")</f>
        <v/>
      </c>
      <c r="B6170" t="inlineStr">
        <is>
          <t>American Picture House Corp</t>
        </is>
      </c>
      <c r="C6170" t="inlineStr">
        <is>
          <t>OTC</t>
        </is>
      </c>
      <c r="D6170" t="n">
        <v>1771995</v>
      </c>
      <c r="E6170" t="inlineStr">
        <is>
          <t>SEC</t>
        </is>
      </c>
    </row>
    <row r="6171">
      <c r="A6171" s="5">
        <f>HYPERLINK("https://finance.yahoo.com/quote/TNON","TNON")</f>
        <v/>
      </c>
      <c r="B6171" t="inlineStr">
        <is>
          <t>Tenon Medical, Inc.</t>
        </is>
      </c>
      <c r="C6171" t="inlineStr">
        <is>
          <t>Nasdaq</t>
        </is>
      </c>
      <c r="D6171" t="n">
        <v>1560293</v>
      </c>
      <c r="E6171" t="inlineStr">
        <is>
          <t>SEC</t>
        </is>
      </c>
    </row>
    <row r="6172">
      <c r="A6172" s="5">
        <f>HYPERLINK("https://finance.yahoo.com/quote/CYN","CYN")</f>
        <v/>
      </c>
      <c r="B6172" t="inlineStr">
        <is>
          <t>Cyngn Inc.</t>
        </is>
      </c>
      <c r="C6172" t="inlineStr">
        <is>
          <t>Nasdaq</t>
        </is>
      </c>
      <c r="D6172" t="n">
        <v>1874097</v>
      </c>
      <c r="E6172" t="inlineStr">
        <is>
          <t>SEC</t>
        </is>
      </c>
    </row>
    <row r="6173">
      <c r="A6173" s="5">
        <f>HYPERLINK("https://finance.yahoo.com/quote/TRIB","TRIB")</f>
        <v/>
      </c>
      <c r="B6173" t="inlineStr">
        <is>
          <t>TRINITY BIOTECH PLC</t>
        </is>
      </c>
      <c r="C6173" t="inlineStr">
        <is>
          <t>Nasdaq</t>
        </is>
      </c>
      <c r="D6173" t="n">
        <v>888721</v>
      </c>
      <c r="E6173" t="inlineStr">
        <is>
          <t>SEC</t>
        </is>
      </c>
    </row>
    <row r="6174">
      <c r="A6174" s="5">
        <f>HYPERLINK("https://finance.yahoo.com/quote/MHUAF","MHUAF")</f>
        <v/>
      </c>
      <c r="B6174" t="inlineStr">
        <is>
          <t>Meihua International Medical Technologies Co., Ltd.</t>
        </is>
      </c>
      <c r="C6174" t="inlineStr">
        <is>
          <t>OTC</t>
        </is>
      </c>
      <c r="D6174" t="n">
        <v>1835615</v>
      </c>
      <c r="E6174" t="inlineStr">
        <is>
          <t>SEC</t>
        </is>
      </c>
    </row>
    <row r="6175">
      <c r="A6175" s="5">
        <f>HYPERLINK("https://finance.yahoo.com/quote/SNTI","SNTI")</f>
        <v/>
      </c>
      <c r="B6175" t="inlineStr">
        <is>
          <t>Senti Biosciences Holdings, Inc.</t>
        </is>
      </c>
      <c r="C6175" t="inlineStr">
        <is>
          <t>Nasdaq</t>
        </is>
      </c>
      <c r="D6175" t="n">
        <v>1854270</v>
      </c>
      <c r="E6175" t="inlineStr">
        <is>
          <t>SEC</t>
        </is>
      </c>
    </row>
    <row r="6176">
      <c r="A6176" s="5">
        <f>HYPERLINK("https://finance.yahoo.com/quote/HODO","HODO")</f>
        <v/>
      </c>
      <c r="B6176" t="inlineStr">
        <is>
          <t>House of Doge Inc.</t>
        </is>
      </c>
      <c r="C6176" t="inlineStr">
        <is>
          <t>Nasdaq</t>
        </is>
      </c>
      <c r="D6176" t="n">
        <v>1903595</v>
      </c>
      <c r="E6176" t="inlineStr">
        <is>
          <t>SEC</t>
        </is>
      </c>
    </row>
    <row r="6177">
      <c r="A6177" s="5">
        <f>HYPERLINK("https://finance.yahoo.com/quote/KRKR","KRKR")</f>
        <v/>
      </c>
      <c r="B6177" t="inlineStr">
        <is>
          <t>36Kr Holdings Inc.</t>
        </is>
      </c>
      <c r="C6177" t="inlineStr">
        <is>
          <t>Nasdaq</t>
        </is>
      </c>
      <c r="D6177" t="n">
        <v>1779476</v>
      </c>
      <c r="E6177" t="inlineStr">
        <is>
          <t>SEC</t>
        </is>
      </c>
    </row>
    <row r="6178">
      <c r="A6178" s="5">
        <f>HYPERLINK("https://finance.yahoo.com/quote/HAMRF","HAMRF")</f>
        <v/>
      </c>
      <c r="B6178" t="inlineStr">
        <is>
          <t>SILVER HAMMER MINING CORP</t>
        </is>
      </c>
      <c r="C6178" t="inlineStr">
        <is>
          <t>OTC</t>
        </is>
      </c>
      <c r="D6178" t="n">
        <v>1868866</v>
      </c>
      <c r="E6178" t="inlineStr">
        <is>
          <t>SEC</t>
        </is>
      </c>
    </row>
    <row r="6179">
      <c r="A6179" s="5">
        <f>HYPERLINK("https://finance.yahoo.com/quote/PLAG","PLAG")</f>
        <v/>
      </c>
      <c r="B6179" t="inlineStr">
        <is>
          <t>Planet Green Holdings Corp.</t>
        </is>
      </c>
      <c r="C6179" t="inlineStr">
        <is>
          <t>NYSE</t>
        </is>
      </c>
      <c r="D6179" t="n">
        <v>1117057</v>
      </c>
      <c r="E6179" t="inlineStr">
        <is>
          <t>SEC</t>
        </is>
      </c>
    </row>
    <row r="6180">
      <c r="A6180" s="5">
        <f>HYPERLINK("https://finance.yahoo.com/quote/IMIMF","IMIMF")</f>
        <v/>
      </c>
      <c r="B6180" t="inlineStr">
        <is>
          <t>Interra Copper Corp.</t>
        </is>
      </c>
      <c r="C6180" t="inlineStr">
        <is>
          <t>OTC</t>
        </is>
      </c>
      <c r="D6180" t="n">
        <v>1866146</v>
      </c>
      <c r="E6180" t="inlineStr">
        <is>
          <t>SEC</t>
        </is>
      </c>
    </row>
    <row r="6181">
      <c r="A6181" s="5">
        <f>HYPERLINK("https://finance.yahoo.com/quote/TWAV","TWAV")</f>
        <v/>
      </c>
      <c r="B6181" t="inlineStr">
        <is>
          <t>TaoWeave, Inc.</t>
        </is>
      </c>
      <c r="C6181" t="inlineStr">
        <is>
          <t>Nasdaq</t>
        </is>
      </c>
      <c r="D6181" t="n">
        <v>746210</v>
      </c>
      <c r="E6181" t="inlineStr">
        <is>
          <t>SEC</t>
        </is>
      </c>
    </row>
    <row r="6182">
      <c r="A6182" s="5">
        <f>HYPERLINK("https://finance.yahoo.com/quote/PRSO","PRSO")</f>
        <v/>
      </c>
      <c r="B6182" t="inlineStr">
        <is>
          <t>Peraso Inc.</t>
        </is>
      </c>
      <c r="C6182" t="inlineStr">
        <is>
          <t>Nasdaq</t>
        </is>
      </c>
      <c r="D6182" t="n">
        <v>890394</v>
      </c>
      <c r="E6182" t="inlineStr">
        <is>
          <t>SEC</t>
        </is>
      </c>
    </row>
    <row r="6183">
      <c r="A6183" s="5">
        <f>HYPERLINK("https://finance.yahoo.com/quote/IFBD","IFBD")</f>
        <v/>
      </c>
      <c r="B6183" t="inlineStr">
        <is>
          <t>Infobird Co., Ltd</t>
        </is>
      </c>
      <c r="C6183" t="inlineStr">
        <is>
          <t>Nasdaq</t>
        </is>
      </c>
      <c r="D6183" t="n">
        <v>1815566</v>
      </c>
      <c r="E6183" t="inlineStr">
        <is>
          <t>SEC</t>
        </is>
      </c>
    </row>
    <row r="6184">
      <c r="A6184" s="5">
        <f>HYPERLINK("https://finance.yahoo.com/quote/AWCA","AWCA")</f>
        <v/>
      </c>
      <c r="B6184" t="inlineStr">
        <is>
          <t>Awaysis Capital, Inc.</t>
        </is>
      </c>
      <c r="C6184" t="inlineStr">
        <is>
          <t>OTC</t>
        </is>
      </c>
      <c r="D6184" t="n">
        <v>1021917</v>
      </c>
      <c r="E6184" t="inlineStr">
        <is>
          <t>SEC</t>
        </is>
      </c>
    </row>
    <row r="6185">
      <c r="A6185" s="5">
        <f>HYPERLINK("https://finance.yahoo.com/quote/GLGI","GLGI")</f>
        <v/>
      </c>
      <c r="B6185" t="inlineStr">
        <is>
          <t>GREYSTONE LOGISTICS, INC.</t>
        </is>
      </c>
      <c r="C6185" t="inlineStr">
        <is>
          <t>OTC</t>
        </is>
      </c>
      <c r="D6185" t="n">
        <v>1088413</v>
      </c>
      <c r="E6185" t="inlineStr">
        <is>
          <t>SEC</t>
        </is>
      </c>
    </row>
    <row r="6186">
      <c r="A6186" s="5">
        <f>HYPERLINK("https://finance.yahoo.com/quote/ORKT","ORKT")</f>
        <v/>
      </c>
      <c r="B6186" t="inlineStr">
        <is>
          <t>ORANGEKLOUD TECHNOLOGY INC.</t>
        </is>
      </c>
      <c r="C6186" t="inlineStr">
        <is>
          <t>Nasdaq</t>
        </is>
      </c>
      <c r="D6186" t="n">
        <v>1979407</v>
      </c>
      <c r="E6186" t="inlineStr">
        <is>
          <t>SEC</t>
        </is>
      </c>
    </row>
    <row r="6187">
      <c r="A6187" s="5">
        <f>HYPERLINK("https://finance.yahoo.com/quote/CNFN","CNFN")</f>
        <v/>
      </c>
      <c r="B6187" t="inlineStr">
        <is>
          <t>CFN Enterprises Inc.</t>
        </is>
      </c>
      <c r="C6187" t="inlineStr">
        <is>
          <t>OTC</t>
        </is>
      </c>
      <c r="D6187" t="n">
        <v>1352952</v>
      </c>
      <c r="E6187" t="inlineStr">
        <is>
          <t>SEC</t>
        </is>
      </c>
    </row>
    <row r="6188">
      <c r="A6188" s="5">
        <f>HYPERLINK("https://finance.yahoo.com/quote/GAUZ","GAUZ")</f>
        <v/>
      </c>
      <c r="B6188" t="inlineStr">
        <is>
          <t>Gauzy Ltd.</t>
        </is>
      </c>
      <c r="C6188" t="inlineStr">
        <is>
          <t>Nasdaq</t>
        </is>
      </c>
      <c r="D6188" t="n">
        <v>1781446</v>
      </c>
      <c r="E6188" t="inlineStr">
        <is>
          <t>SEC</t>
        </is>
      </c>
    </row>
    <row r="6189">
      <c r="A6189" s="5">
        <f>HYPERLINK("https://finance.yahoo.com/quote/APCX","APCX")</f>
        <v/>
      </c>
      <c r="B6189" t="inlineStr">
        <is>
          <t>AppTech Payments Corp.</t>
        </is>
      </c>
      <c r="C6189" t="inlineStr">
        <is>
          <t>OTC</t>
        </is>
      </c>
      <c r="D6189" t="n">
        <v>1070050</v>
      </c>
      <c r="E6189" t="inlineStr">
        <is>
          <t>SEC</t>
        </is>
      </c>
    </row>
    <row r="6190">
      <c r="A6190" s="5">
        <f>HYPERLINK("https://finance.yahoo.com/quote/ZCMD","ZCMD")</f>
        <v/>
      </c>
      <c r="B6190" t="inlineStr">
        <is>
          <t>Zhongchao Inc.</t>
        </is>
      </c>
      <c r="C6190" t="inlineStr">
        <is>
          <t>Nasdaq</t>
        </is>
      </c>
      <c r="D6190" t="n">
        <v>1785566</v>
      </c>
      <c r="E6190" t="inlineStr">
        <is>
          <t>SEC</t>
        </is>
      </c>
    </row>
    <row r="6191">
      <c r="A6191" s="5">
        <f>HYPERLINK("https://finance.yahoo.com/quote/CELZ","CELZ")</f>
        <v/>
      </c>
      <c r="B6191" t="inlineStr">
        <is>
          <t>CREATIVE MEDICAL TECHNOLOGY HOLDINGS, INC.</t>
        </is>
      </c>
      <c r="C6191" t="inlineStr">
        <is>
          <t>Nasdaq</t>
        </is>
      </c>
      <c r="D6191" t="n">
        <v>1187953</v>
      </c>
      <c r="E6191" t="inlineStr">
        <is>
          <t>SEC</t>
        </is>
      </c>
    </row>
    <row r="6192">
      <c r="A6192" s="5">
        <f>HYPERLINK("https://finance.yahoo.com/quote/GLNS","GLNS")</f>
        <v/>
      </c>
      <c r="B6192" t="inlineStr">
        <is>
          <t>Golden Star Resource Corp.</t>
        </is>
      </c>
      <c r="C6192" t="inlineStr">
        <is>
          <t>OTC</t>
        </is>
      </c>
      <c r="D6192" t="n">
        <v>1375348</v>
      </c>
      <c r="E6192" t="inlineStr">
        <is>
          <t>SEC</t>
        </is>
      </c>
    </row>
    <row r="6193">
      <c r="A6193" s="5">
        <f>HYPERLINK("https://finance.yahoo.com/quote/AWLIF","AWLIF")</f>
        <v/>
      </c>
      <c r="B6193" t="inlineStr">
        <is>
          <t>Ameriwest Critical Metals Inc.</t>
        </is>
      </c>
      <c r="C6193" t="inlineStr">
        <is>
          <t>OTC</t>
        </is>
      </c>
      <c r="D6193" t="n">
        <v>1866034</v>
      </c>
      <c r="E6193" t="inlineStr">
        <is>
          <t>SEC</t>
        </is>
      </c>
    </row>
    <row r="6194">
      <c r="A6194" s="5">
        <f>HYPERLINK("https://finance.yahoo.com/quote/NIKI","NIKI")</f>
        <v/>
      </c>
      <c r="B6194" t="inlineStr">
        <is>
          <t>Niki BioSolutions, Inc.</t>
        </is>
      </c>
      <c r="C6194" t="inlineStr">
        <is>
          <t>Nasdaq</t>
        </is>
      </c>
      <c r="D6194" t="n">
        <v>1734005</v>
      </c>
      <c r="E6194" t="inlineStr">
        <is>
          <t>SEC</t>
        </is>
      </c>
    </row>
    <row r="6195">
      <c r="A6195" s="5">
        <f>HYPERLINK("https://finance.yahoo.com/quote/RCT","RCT")</f>
        <v/>
      </c>
      <c r="B6195" t="inlineStr">
        <is>
          <t>RedCloud Holdings plc</t>
        </is>
      </c>
      <c r="C6195" t="inlineStr">
        <is>
          <t>Nasdaq</t>
        </is>
      </c>
      <c r="D6195" t="n">
        <v>2027360</v>
      </c>
      <c r="E6195" t="inlineStr">
        <is>
          <t>SEC</t>
        </is>
      </c>
    </row>
    <row r="6196">
      <c r="A6196" s="5">
        <f>HYPERLINK("https://finance.yahoo.com/quote/RVPH","RVPH")</f>
        <v/>
      </c>
      <c r="B6196" t="inlineStr">
        <is>
          <t>REVIVA PHARMACEUTICALS HOLDINGS, INC.</t>
        </is>
      </c>
      <c r="C6196" t="inlineStr">
        <is>
          <t>OTC</t>
        </is>
      </c>
      <c r="D6196" t="n">
        <v>1742927</v>
      </c>
      <c r="E6196" t="inlineStr">
        <is>
          <t>SEC</t>
        </is>
      </c>
    </row>
    <row r="6197">
      <c r="A6197" s="5">
        <f>HYPERLINK("https://finance.yahoo.com/quote/ACON","ACON")</f>
        <v/>
      </c>
      <c r="B6197" t="inlineStr">
        <is>
          <t>Aclarion, Inc.</t>
        </is>
      </c>
      <c r="C6197" t="inlineStr">
        <is>
          <t>Nasdaq</t>
        </is>
      </c>
      <c r="D6197" t="n">
        <v>1635077</v>
      </c>
      <c r="E6197" t="inlineStr">
        <is>
          <t>SEC</t>
        </is>
      </c>
    </row>
    <row r="6198">
      <c r="A6198" s="5">
        <f>HYPERLINK("https://finance.yahoo.com/quote/SKAS","SKAS")</f>
        <v/>
      </c>
      <c r="B6198" t="inlineStr">
        <is>
          <t>Saker Aviation Services, Inc.</t>
        </is>
      </c>
      <c r="C6198" t="inlineStr">
        <is>
          <t>OTC</t>
        </is>
      </c>
      <c r="D6198" t="n">
        <v>1128281</v>
      </c>
      <c r="E6198" t="inlineStr">
        <is>
          <t>SEC</t>
        </is>
      </c>
    </row>
    <row r="6199">
      <c r="A6199" s="5">
        <f>HYPERLINK("https://finance.yahoo.com/quote/MPU","MPU")</f>
        <v/>
      </c>
      <c r="B6199" t="inlineStr">
        <is>
          <t>Mega Matrix Inc</t>
        </is>
      </c>
      <c r="C6199" t="inlineStr">
        <is>
          <t>NYSE</t>
        </is>
      </c>
      <c r="D6199" t="n">
        <v>1953021</v>
      </c>
      <c r="E6199" t="inlineStr">
        <is>
          <t>SEC</t>
        </is>
      </c>
    </row>
    <row r="6200">
      <c r="A6200" s="5">
        <f>HYPERLINK("https://finance.yahoo.com/quote/BGICF","BGICF")</f>
        <v/>
      </c>
      <c r="B6200" t="inlineStr">
        <is>
          <t>BIRKS GROUP INC.</t>
        </is>
      </c>
      <c r="C6200" t="inlineStr">
        <is>
          <t>OTC</t>
        </is>
      </c>
      <c r="D6200" t="n">
        <v>1179821</v>
      </c>
      <c r="E6200" t="inlineStr">
        <is>
          <t>SEC</t>
        </is>
      </c>
    </row>
    <row r="6201">
      <c r="A6201" s="5">
        <f>HYPERLINK("https://finance.yahoo.com/quote/EMRH","EMRH")</f>
        <v/>
      </c>
      <c r="B6201" t="inlineStr">
        <is>
          <t>EMERGING HOLDINGS INC</t>
        </is>
      </c>
      <c r="C6201" t="inlineStr">
        <is>
          <t>OTC</t>
        </is>
      </c>
      <c r="D6201" t="n">
        <v>1300306</v>
      </c>
      <c r="E6201" t="inlineStr">
        <is>
          <t>SEC</t>
        </is>
      </c>
    </row>
    <row r="6202">
      <c r="A6202" s="5">
        <f>HYPERLINK("https://finance.yahoo.com/quote/SDCH","SDCH")</f>
        <v/>
      </c>
      <c r="B6202" t="inlineStr">
        <is>
          <t>SideChannel, Inc.</t>
        </is>
      </c>
      <c r="C6202" t="inlineStr">
        <is>
          <t>OTC</t>
        </is>
      </c>
      <c r="D6202" t="n">
        <v>1022505</v>
      </c>
      <c r="E6202" t="inlineStr">
        <is>
          <t>SEC</t>
        </is>
      </c>
    </row>
    <row r="6203">
      <c r="A6203" s="5">
        <f>HYPERLINK("https://finance.yahoo.com/quote/URZEF","URZEF")</f>
        <v/>
      </c>
      <c r="B6203" t="inlineStr">
        <is>
          <t>URZ3 ENERGY CORP.</t>
        </is>
      </c>
      <c r="C6203" t="inlineStr">
        <is>
          <t>OTC</t>
        </is>
      </c>
      <c r="D6203" t="n">
        <v>1398713</v>
      </c>
      <c r="E6203" t="inlineStr">
        <is>
          <t>SEC</t>
        </is>
      </c>
    </row>
    <row r="6204">
      <c r="A6204" s="5">
        <f>HYPERLINK("https://finance.yahoo.com/quote/BAOS","BAOS")</f>
        <v/>
      </c>
      <c r="B6204" t="inlineStr">
        <is>
          <t>Baosheng Media Group Holdings Ltd</t>
        </is>
      </c>
      <c r="C6204" t="inlineStr">
        <is>
          <t>Nasdaq</t>
        </is>
      </c>
      <c r="D6204" t="n">
        <v>1811216</v>
      </c>
      <c r="E6204" t="inlineStr">
        <is>
          <t>SEC</t>
        </is>
      </c>
    </row>
    <row r="6205">
      <c r="A6205" s="5">
        <f>HYPERLINK("https://finance.yahoo.com/quote/QURT","QURT")</f>
        <v/>
      </c>
      <c r="B6205" t="inlineStr">
        <is>
          <t>Quarta-Rad, Inc.</t>
        </is>
      </c>
      <c r="C6205" t="inlineStr">
        <is>
          <t>OTC</t>
        </is>
      </c>
      <c r="D6205" t="n">
        <v>1549631</v>
      </c>
      <c r="E6205" t="inlineStr">
        <is>
          <t>SEC</t>
        </is>
      </c>
    </row>
    <row r="6206">
      <c r="A6206" s="5">
        <f>HYPERLINK("https://finance.yahoo.com/quote/AQB","AQB")</f>
        <v/>
      </c>
      <c r="B6206" t="inlineStr">
        <is>
          <t>AQUABOUNTY TECHNOLOGIES INC</t>
        </is>
      </c>
      <c r="C6206" t="inlineStr">
        <is>
          <t>Nasdaq</t>
        </is>
      </c>
      <c r="D6206" t="n">
        <v>1603978</v>
      </c>
      <c r="E6206" t="inlineStr">
        <is>
          <t>SEC</t>
        </is>
      </c>
    </row>
    <row r="6207">
      <c r="A6207" s="5">
        <f>HYPERLINK("https://finance.yahoo.com/quote/GITS","GITS")</f>
        <v/>
      </c>
      <c r="B6207" t="inlineStr">
        <is>
          <t>Global Interactive Technologies, Inc.</t>
        </is>
      </c>
      <c r="C6207" t="inlineStr">
        <is>
          <t>Nasdaq</t>
        </is>
      </c>
      <c r="D6207" t="n">
        <v>1911545</v>
      </c>
      <c r="E6207" t="inlineStr">
        <is>
          <t>SEC</t>
        </is>
      </c>
    </row>
    <row r="6208">
      <c r="A6208" s="5">
        <f>HYPERLINK("https://finance.yahoo.com/quote/SPHL","SPHL")</f>
        <v/>
      </c>
      <c r="B6208" t="inlineStr">
        <is>
          <t>SPRINGVIEW HOLDINGS LTD</t>
        </is>
      </c>
      <c r="C6208" t="inlineStr">
        <is>
          <t>Nasdaq</t>
        </is>
      </c>
      <c r="D6208" t="n">
        <v>2002236</v>
      </c>
      <c r="E6208" t="inlineStr">
        <is>
          <t>SEC</t>
        </is>
      </c>
    </row>
    <row r="6209">
      <c r="A6209" s="5">
        <f>HYPERLINK("https://finance.yahoo.com/quote/LTUM","LTUM")</f>
        <v/>
      </c>
      <c r="B6209" t="inlineStr">
        <is>
          <t>Lithium Corp</t>
        </is>
      </c>
      <c r="C6209" t="inlineStr">
        <is>
          <t>OTC</t>
        </is>
      </c>
      <c r="D6209" t="n">
        <v>1415332</v>
      </c>
      <c r="E6209" t="inlineStr">
        <is>
          <t>SEC</t>
        </is>
      </c>
    </row>
    <row r="6210">
      <c r="A6210" s="5">
        <f>HYPERLINK("https://finance.yahoo.com/quote/GYGY","GYGY")</f>
        <v/>
      </c>
      <c r="B6210" t="inlineStr">
        <is>
          <t>Game Your Game Inc.</t>
        </is>
      </c>
      <c r="C6210" t="inlineStr">
        <is>
          <t>Nasdaq</t>
        </is>
      </c>
      <c r="D6210" t="n">
        <v>2111846</v>
      </c>
      <c r="E6210" t="inlineStr">
        <is>
          <t>SEC</t>
        </is>
      </c>
    </row>
    <row r="6211">
      <c r="A6211" s="5">
        <f>HYPERLINK("https://finance.yahoo.com/quote/DXYN","DXYN")</f>
        <v/>
      </c>
      <c r="B6211" t="inlineStr">
        <is>
          <t>DIXIE GROUP INC</t>
        </is>
      </c>
      <c r="C6211" t="inlineStr">
        <is>
          <t>OTC</t>
        </is>
      </c>
      <c r="D6211" t="n">
        <v>29332</v>
      </c>
      <c r="E6211" t="inlineStr">
        <is>
          <t>SEC</t>
        </is>
      </c>
    </row>
    <row r="6212">
      <c r="A6212" s="5">
        <f>HYPERLINK("https://finance.yahoo.com/quote/ALZN","ALZN")</f>
        <v/>
      </c>
      <c r="B6212" t="inlineStr">
        <is>
          <t>Alzamend Neuro, Inc.</t>
        </is>
      </c>
      <c r="C6212" t="inlineStr">
        <is>
          <t>Nasdaq</t>
        </is>
      </c>
      <c r="D6212" t="n">
        <v>1677077</v>
      </c>
      <c r="E6212" t="inlineStr">
        <is>
          <t>SEC</t>
        </is>
      </c>
    </row>
    <row r="6213">
      <c r="A6213" s="5">
        <f>HYPERLINK("https://finance.yahoo.com/quote/CPOP","CPOP")</f>
        <v/>
      </c>
      <c r="B6213" t="inlineStr">
        <is>
          <t>Pop Culture Group Co., Ltd</t>
        </is>
      </c>
      <c r="C6213" t="inlineStr">
        <is>
          <t>Nasdaq</t>
        </is>
      </c>
      <c r="D6213" t="n">
        <v>1807389</v>
      </c>
      <c r="E6213" t="inlineStr">
        <is>
          <t>SEC</t>
        </is>
      </c>
    </row>
    <row r="6214">
      <c r="A6214" s="5">
        <f>HYPERLINK("https://finance.yahoo.com/quote/MITQ","MITQ")</f>
        <v/>
      </c>
      <c r="B6214" t="inlineStr">
        <is>
          <t>MOVING iMAGE TECHNOLOGIES INC.</t>
        </is>
      </c>
      <c r="C6214" t="inlineStr">
        <is>
          <t>NYSE</t>
        </is>
      </c>
      <c r="D6214" t="n">
        <v>1770236</v>
      </c>
      <c r="E6214" t="inlineStr">
        <is>
          <t>SEC</t>
        </is>
      </c>
    </row>
    <row r="6215">
      <c r="A6215" s="5">
        <f>HYPERLINK("https://finance.yahoo.com/quote/TDIC","TDIC")</f>
        <v/>
      </c>
      <c r="B6215" t="inlineStr">
        <is>
          <t>Dreamland Ltd</t>
        </is>
      </c>
      <c r="C6215" t="inlineStr">
        <is>
          <t>Nasdaq</t>
        </is>
      </c>
      <c r="D6215" t="n">
        <v>2041338</v>
      </c>
      <c r="E6215" t="inlineStr">
        <is>
          <t>SEC</t>
        </is>
      </c>
    </row>
    <row r="6216">
      <c r="A6216" s="5">
        <f>HYPERLINK("https://finance.yahoo.com/quote/NMEX","NMEX")</f>
        <v/>
      </c>
      <c r="B6216" t="inlineStr">
        <is>
          <t>NORTHERN MINERALS &amp; EXPLORATION LTD.</t>
        </is>
      </c>
      <c r="C6216" t="inlineStr">
        <is>
          <t>OTC</t>
        </is>
      </c>
      <c r="D6216" t="n">
        <v>1415744</v>
      </c>
      <c r="E6216" t="inlineStr">
        <is>
          <t>SEC</t>
        </is>
      </c>
    </row>
    <row r="6217">
      <c r="A6217" s="5">
        <f>HYPERLINK("https://finance.yahoo.com/quote/INBP","INBP")</f>
        <v/>
      </c>
      <c r="B6217" t="inlineStr">
        <is>
          <t>INTEGRATED BIOPHARMA INC</t>
        </is>
      </c>
      <c r="C6217" t="inlineStr">
        <is>
          <t>OTC</t>
        </is>
      </c>
      <c r="D6217" t="n">
        <v>1016504</v>
      </c>
      <c r="E6217" t="inlineStr">
        <is>
          <t>SEC</t>
        </is>
      </c>
    </row>
    <row r="6218">
      <c r="A6218" s="5">
        <f>HYPERLINK("https://finance.yahoo.com/quote/ADVB","ADVB")</f>
        <v/>
      </c>
      <c r="B6218" t="inlineStr">
        <is>
          <t>Advanced Biomed Inc.</t>
        </is>
      </c>
      <c r="C6218" t="inlineStr">
        <is>
          <t>Nasdaq</t>
        </is>
      </c>
      <c r="D6218" t="n">
        <v>1941029</v>
      </c>
      <c r="E6218" t="inlineStr">
        <is>
          <t>SEC</t>
        </is>
      </c>
    </row>
    <row r="6219">
      <c r="A6219" s="5">
        <f>HYPERLINK("https://finance.yahoo.com/quote/ILXP","ILXP")</f>
        <v/>
      </c>
      <c r="B6219" t="inlineStr">
        <is>
          <t>ECOMINAS CORP.</t>
        </is>
      </c>
      <c r="C6219" t="inlineStr"/>
      <c r="D6219" t="n">
        <v>1115864</v>
      </c>
      <c r="E6219" t="inlineStr">
        <is>
          <t>SEC</t>
        </is>
      </c>
    </row>
    <row r="6220">
      <c r="A6220" s="5">
        <f>HYPERLINK("https://finance.yahoo.com/quote/KNRX","KNRX")</f>
        <v/>
      </c>
      <c r="B6220" t="inlineStr">
        <is>
          <t>KNOREX LTD.</t>
        </is>
      </c>
      <c r="C6220" t="inlineStr">
        <is>
          <t>NYSE</t>
        </is>
      </c>
      <c r="D6220" t="n">
        <v>1982960</v>
      </c>
      <c r="E6220" t="inlineStr">
        <is>
          <t>SEC</t>
        </is>
      </c>
    </row>
    <row r="6221">
      <c r="A6221" s="5">
        <f>HYPERLINK("https://finance.yahoo.com/quote/CANF","CANF")</f>
        <v/>
      </c>
      <c r="B6221" t="inlineStr">
        <is>
          <t>Can-Fite BioPharma Ltd.</t>
        </is>
      </c>
      <c r="C6221" t="inlineStr">
        <is>
          <t>NYSE</t>
        </is>
      </c>
      <c r="D6221" t="n">
        <v>1536196</v>
      </c>
      <c r="E6221" t="inlineStr">
        <is>
          <t>SEC</t>
        </is>
      </c>
    </row>
    <row r="6222">
      <c r="A6222" s="5">
        <f>HYPERLINK("https://finance.yahoo.com/quote/AUID","AUID")</f>
        <v/>
      </c>
      <c r="B6222" t="inlineStr">
        <is>
          <t>authID Inc.</t>
        </is>
      </c>
      <c r="C6222" t="inlineStr">
        <is>
          <t>Nasdaq</t>
        </is>
      </c>
      <c r="D6222" t="n">
        <v>1534154</v>
      </c>
      <c r="E6222" t="inlineStr">
        <is>
          <t>SEC</t>
        </is>
      </c>
    </row>
    <row r="6223">
      <c r="A6223" s="5">
        <f>HYPERLINK("https://finance.yahoo.com/quote/AUUD","AUUD")</f>
        <v/>
      </c>
      <c r="B6223" t="inlineStr">
        <is>
          <t>AUDDIA INC.</t>
        </is>
      </c>
      <c r="C6223" t="inlineStr">
        <is>
          <t>Nasdaq</t>
        </is>
      </c>
      <c r="D6223" t="n">
        <v>1554818</v>
      </c>
      <c r="E6223" t="inlineStr">
        <is>
          <t>SEC</t>
        </is>
      </c>
    </row>
    <row r="6224">
      <c r="A6224" s="5">
        <f>HYPERLINK("https://finance.yahoo.com/quote/INBS","INBS")</f>
        <v/>
      </c>
      <c r="B6224" t="inlineStr">
        <is>
          <t>INTELLIGENT BIO SOLUTIONS INC.</t>
        </is>
      </c>
      <c r="C6224" t="inlineStr">
        <is>
          <t>Nasdaq</t>
        </is>
      </c>
      <c r="D6224" t="n">
        <v>1725430</v>
      </c>
      <c r="E6224" t="inlineStr">
        <is>
          <t>SEC</t>
        </is>
      </c>
    </row>
    <row r="6225">
      <c r="A6225" s="5">
        <f>HYPERLINK("https://finance.yahoo.com/quote/NAPD","NAPD")</f>
        <v/>
      </c>
      <c r="B6225" t="inlineStr">
        <is>
          <t>NAPC Defense, Inc.</t>
        </is>
      </c>
      <c r="C6225" t="inlineStr">
        <is>
          <t>OTC</t>
        </is>
      </c>
      <c r="D6225" t="n">
        <v>1703625</v>
      </c>
      <c r="E6225" t="inlineStr">
        <is>
          <t>SEC</t>
        </is>
      </c>
    </row>
    <row r="6226">
      <c r="A6226" s="5">
        <f>HYPERLINK("https://finance.yahoo.com/quote/AGRZ","AGRZ")</f>
        <v/>
      </c>
      <c r="B6226" t="inlineStr">
        <is>
          <t>Agroz Inc.</t>
        </is>
      </c>
      <c r="C6226" t="inlineStr">
        <is>
          <t>Nasdaq</t>
        </is>
      </c>
      <c r="D6226" t="n">
        <v>2009233</v>
      </c>
      <c r="E6226" t="inlineStr">
        <is>
          <t>SEC</t>
        </is>
      </c>
    </row>
    <row r="6227">
      <c r="A6227" s="5">
        <f>HYPERLINK("https://finance.yahoo.com/quote/PMNT","PMNT")</f>
        <v/>
      </c>
      <c r="B6227" t="inlineStr">
        <is>
          <t>Perfect Moment Ltd.</t>
        </is>
      </c>
      <c r="C6227" t="inlineStr">
        <is>
          <t>OTC</t>
        </is>
      </c>
      <c r="D6227" t="n">
        <v>1849221</v>
      </c>
      <c r="E6227" t="inlineStr">
        <is>
          <t>SEC</t>
        </is>
      </c>
    </row>
    <row r="6228">
      <c r="A6228" s="5">
        <f>HYPERLINK("https://finance.yahoo.com/quote/SNOA","SNOA")</f>
        <v/>
      </c>
      <c r="B6228" t="inlineStr">
        <is>
          <t>Sonoma Pharmaceuticals, Inc.</t>
        </is>
      </c>
      <c r="C6228" t="inlineStr">
        <is>
          <t>Nasdaq</t>
        </is>
      </c>
      <c r="D6228" t="n">
        <v>1367083</v>
      </c>
      <c r="E6228" t="inlineStr">
        <is>
          <t>SEC</t>
        </is>
      </c>
    </row>
    <row r="6229">
      <c r="A6229" s="5">
        <f>HYPERLINK("https://finance.yahoo.com/quote/PCSA","PCSA")</f>
        <v/>
      </c>
      <c r="B6229" t="inlineStr">
        <is>
          <t>Processa Pharmaceuticals, Inc.</t>
        </is>
      </c>
      <c r="C6229" t="inlineStr">
        <is>
          <t>Nasdaq</t>
        </is>
      </c>
      <c r="D6229" t="n">
        <v>1533743</v>
      </c>
      <c r="E6229" t="inlineStr">
        <is>
          <t>SEC</t>
        </is>
      </c>
    </row>
    <row r="6230">
      <c r="A6230" s="5">
        <f>HYPERLINK("https://finance.yahoo.com/quote/VNRX","VNRX")</f>
        <v/>
      </c>
      <c r="B6230" t="inlineStr">
        <is>
          <t>VOLITIONRX LTD</t>
        </is>
      </c>
      <c r="C6230" t="inlineStr">
        <is>
          <t>NYSE</t>
        </is>
      </c>
      <c r="D6230" t="n">
        <v>93314</v>
      </c>
      <c r="E6230" t="inlineStr">
        <is>
          <t>SEC</t>
        </is>
      </c>
    </row>
    <row r="6231">
      <c r="A6231" s="5">
        <f>HYPERLINK("https://finance.yahoo.com/quote/PULM","PULM")</f>
        <v/>
      </c>
      <c r="B6231" t="inlineStr">
        <is>
          <t>Pulmatrix, Inc.</t>
        </is>
      </c>
      <c r="C6231" t="inlineStr">
        <is>
          <t>Nasdaq</t>
        </is>
      </c>
      <c r="D6231" t="n">
        <v>1574235</v>
      </c>
      <c r="E6231" t="inlineStr">
        <is>
          <t>SEC</t>
        </is>
      </c>
    </row>
    <row r="6232">
      <c r="A6232" s="5">
        <f>HYPERLINK("https://finance.yahoo.com/quote/SBDS","SBDS")</f>
        <v/>
      </c>
      <c r="B6232" t="inlineStr">
        <is>
          <t>Solo Brands, Inc.</t>
        </is>
      </c>
      <c r="C6232" t="inlineStr">
        <is>
          <t>OTC</t>
        </is>
      </c>
      <c r="D6232" t="n">
        <v>1870600</v>
      </c>
      <c r="E6232" t="inlineStr">
        <is>
          <t>SEC</t>
        </is>
      </c>
    </row>
    <row r="6233">
      <c r="A6233" s="5">
        <f>HYPERLINK("https://finance.yahoo.com/quote/GURE","GURE")</f>
        <v/>
      </c>
      <c r="B6233" t="inlineStr">
        <is>
          <t>GULF RESOURCES, INC.</t>
        </is>
      </c>
      <c r="C6233" t="inlineStr">
        <is>
          <t>Nasdaq</t>
        </is>
      </c>
      <c r="D6233" t="n">
        <v>885462</v>
      </c>
      <c r="E6233" t="inlineStr">
        <is>
          <t>SEC</t>
        </is>
      </c>
    </row>
    <row r="6234">
      <c r="A6234" s="5">
        <f>HYPERLINK("https://finance.yahoo.com/quote/ILAG","ILAG")</f>
        <v/>
      </c>
      <c r="B6234" t="inlineStr">
        <is>
          <t>Intelligent Living Application Group Inc.</t>
        </is>
      </c>
      <c r="C6234" t="inlineStr">
        <is>
          <t>Nasdaq</t>
        </is>
      </c>
      <c r="D6234" t="n">
        <v>1814963</v>
      </c>
      <c r="E6234" t="inlineStr">
        <is>
          <t>SEC</t>
        </is>
      </c>
    </row>
    <row r="6235">
      <c r="A6235" s="5">
        <f>HYPERLINK("https://finance.yahoo.com/quote/ELVG","ELVG")</f>
        <v/>
      </c>
      <c r="B6235" t="inlineStr">
        <is>
          <t>Elvictor Group, Inc.</t>
        </is>
      </c>
      <c r="C6235" t="inlineStr">
        <is>
          <t>OTC</t>
        </is>
      </c>
      <c r="D6235" t="n">
        <v>1741489</v>
      </c>
      <c r="E6235" t="inlineStr">
        <is>
          <t>SEC</t>
        </is>
      </c>
    </row>
    <row r="6236">
      <c r="A6236" s="5">
        <f>HYPERLINK("https://finance.yahoo.com/quote/TRAW","TRAW")</f>
        <v/>
      </c>
      <c r="B6236" t="inlineStr">
        <is>
          <t>Traws Pharma, Inc.</t>
        </is>
      </c>
      <c r="C6236" t="inlineStr">
        <is>
          <t>Nasdaq</t>
        </is>
      </c>
      <c r="D6236" t="n">
        <v>1130598</v>
      </c>
      <c r="E6236" t="inlineStr">
        <is>
          <t>SEC</t>
        </is>
      </c>
    </row>
    <row r="6237">
      <c r="A6237" s="5">
        <f>HYPERLINK("https://finance.yahoo.com/quote/HCTI","HCTI")</f>
        <v/>
      </c>
      <c r="B6237" t="inlineStr">
        <is>
          <t>Healthcare Triangle, Inc.</t>
        </is>
      </c>
      <c r="C6237" t="inlineStr">
        <is>
          <t>Nasdaq</t>
        </is>
      </c>
      <c r="D6237" t="n">
        <v>1839285</v>
      </c>
      <c r="E6237" t="inlineStr">
        <is>
          <t>SEC</t>
        </is>
      </c>
    </row>
    <row r="6238">
      <c r="A6238" s="5">
        <f>HYPERLINK("https://finance.yahoo.com/quote/ZPHYF","ZPHYF")</f>
        <v/>
      </c>
      <c r="B6238" t="inlineStr">
        <is>
          <t>ZEPHYR MINERALS LTD.</t>
        </is>
      </c>
      <c r="C6238" t="inlineStr">
        <is>
          <t>OTC</t>
        </is>
      </c>
      <c r="D6238" t="n">
        <v>1613979</v>
      </c>
      <c r="E6238" t="inlineStr">
        <is>
          <t>SEC</t>
        </is>
      </c>
    </row>
    <row r="6239">
      <c r="A6239" s="5">
        <f>HYPERLINK("https://finance.yahoo.com/quote/CRE","CRE")</f>
        <v/>
      </c>
      <c r="B6239" t="inlineStr">
        <is>
          <t>Cre8 Enterprise Ltd</t>
        </is>
      </c>
      <c r="C6239" t="inlineStr">
        <is>
          <t>Nasdaq</t>
        </is>
      </c>
      <c r="D6239" t="n">
        <v>2003977</v>
      </c>
      <c r="E6239" t="inlineStr">
        <is>
          <t>SEC</t>
        </is>
      </c>
    </row>
    <row r="6240">
      <c r="A6240" s="5">
        <f>HYPERLINK("https://finance.yahoo.com/quote/VMAR","VMAR")</f>
        <v/>
      </c>
      <c r="B6240" t="inlineStr">
        <is>
          <t>Vision Marine Technologies Inc.</t>
        </is>
      </c>
      <c r="C6240" t="inlineStr">
        <is>
          <t>Nasdaq</t>
        </is>
      </c>
      <c r="D6240" t="n">
        <v>1813783</v>
      </c>
      <c r="E6240" t="inlineStr">
        <is>
          <t>SEC</t>
        </is>
      </c>
    </row>
    <row r="6241">
      <c r="A6241" s="5">
        <f>HYPERLINK("https://finance.yahoo.com/quote/OBULF","OBULF")</f>
        <v/>
      </c>
      <c r="B6241" t="inlineStr">
        <is>
          <t>One Bullion Ltd</t>
        </is>
      </c>
      <c r="C6241" t="inlineStr">
        <is>
          <t>OTC</t>
        </is>
      </c>
      <c r="D6241" t="n">
        <v>1927026</v>
      </c>
      <c r="E6241" t="inlineStr">
        <is>
          <t>SEC</t>
        </is>
      </c>
    </row>
    <row r="6242">
      <c r="A6242" s="5">
        <f>HYPERLINK("https://finance.yahoo.com/quote/ADXN","ADXN")</f>
        <v/>
      </c>
      <c r="B6242" t="inlineStr">
        <is>
          <t>Addex Therapeutics Ltd.</t>
        </is>
      </c>
      <c r="C6242" t="inlineStr">
        <is>
          <t>Nasdaq</t>
        </is>
      </c>
      <c r="D6242" t="n">
        <v>1574232</v>
      </c>
      <c r="E6242" t="inlineStr">
        <is>
          <t>SEC</t>
        </is>
      </c>
    </row>
    <row r="6243">
      <c r="A6243" s="5">
        <f>HYPERLINK("https://finance.yahoo.com/quote/AHNRF","AHNRF")</f>
        <v/>
      </c>
      <c r="B6243" t="inlineStr">
        <is>
          <t>ATHENA GOLD CORP</t>
        </is>
      </c>
      <c r="C6243" t="inlineStr">
        <is>
          <t>OTC</t>
        </is>
      </c>
      <c r="D6243" t="n">
        <v>1304409</v>
      </c>
      <c r="E6243" t="inlineStr">
        <is>
          <t>SEC</t>
        </is>
      </c>
    </row>
    <row r="6244">
      <c r="A6244" s="5">
        <f>HYPERLINK("https://finance.yahoo.com/quote/BIOT","BIOT")</f>
        <v/>
      </c>
      <c r="B6244" t="inlineStr">
        <is>
          <t>INSTINCT BIO TECHNICAL CO HOLDINGS INC.</t>
        </is>
      </c>
      <c r="C6244" t="inlineStr">
        <is>
          <t>Nasdaq</t>
        </is>
      </c>
      <c r="D6244" t="n">
        <v>2072188</v>
      </c>
      <c r="E6244" t="inlineStr">
        <is>
          <t>SEC</t>
        </is>
      </c>
    </row>
    <row r="6245">
      <c r="A6245" s="5">
        <f>HYPERLINK("https://finance.yahoo.com/quote/GLXG","GLXG")</f>
        <v/>
      </c>
      <c r="B6245" t="inlineStr">
        <is>
          <t>Galaxy Payroll Group Ltd</t>
        </is>
      </c>
      <c r="C6245" t="inlineStr">
        <is>
          <t>Nasdaq</t>
        </is>
      </c>
      <c r="D6245" t="n">
        <v>1905920</v>
      </c>
      <c r="E6245" t="inlineStr">
        <is>
          <t>SEC</t>
        </is>
      </c>
    </row>
    <row r="6246">
      <c r="A6246" s="5">
        <f>HYPERLINK("https://finance.yahoo.com/quote/AQMS","AQMS")</f>
        <v/>
      </c>
      <c r="B6246" t="inlineStr">
        <is>
          <t>Aqua Metals, Inc.</t>
        </is>
      </c>
      <c r="C6246" t="inlineStr">
        <is>
          <t>Nasdaq</t>
        </is>
      </c>
      <c r="D6246" t="n">
        <v>1621832</v>
      </c>
      <c r="E6246" t="inlineStr">
        <is>
          <t>SEC</t>
        </is>
      </c>
    </row>
    <row r="6247">
      <c r="A6247" s="5">
        <f>HYPERLINK("https://finance.yahoo.com/quote/CHNR","CHNR")</f>
        <v/>
      </c>
      <c r="B6247" t="inlineStr">
        <is>
          <t>CHINA NATURAL RESOURCES INC</t>
        </is>
      </c>
      <c r="C6247" t="inlineStr">
        <is>
          <t>Nasdaq</t>
        </is>
      </c>
      <c r="D6247" t="n">
        <v>793628</v>
      </c>
      <c r="E6247" t="inlineStr">
        <is>
          <t>SEC</t>
        </is>
      </c>
    </row>
    <row r="6248">
      <c r="A6248" s="5">
        <f>HYPERLINK("https://finance.yahoo.com/quote/WYGC","WYGC")</f>
        <v/>
      </c>
      <c r="B6248" t="inlineStr">
        <is>
          <t>Wenyuan Group Corp.</t>
        </is>
      </c>
      <c r="C6248" t="inlineStr">
        <is>
          <t>OTC</t>
        </is>
      </c>
      <c r="D6248" t="n">
        <v>723533</v>
      </c>
      <c r="E6248" t="inlineStr">
        <is>
          <t>SEC</t>
        </is>
      </c>
    </row>
    <row r="6249">
      <c r="A6249" s="5">
        <f>HYPERLINK("https://finance.yahoo.com/quote/MGRX","MGRX")</f>
        <v/>
      </c>
      <c r="B6249" t="inlineStr">
        <is>
          <t>MANGOCEUTICALS, INC.</t>
        </is>
      </c>
      <c r="C6249" t="inlineStr">
        <is>
          <t>Nasdaq</t>
        </is>
      </c>
      <c r="D6249" t="n">
        <v>1938046</v>
      </c>
      <c r="E6249" t="inlineStr">
        <is>
          <t>SEC</t>
        </is>
      </c>
    </row>
    <row r="6250">
      <c r="A6250" s="5">
        <f>HYPERLINK("https://finance.yahoo.com/quote/NWTG","NWTG")</f>
        <v/>
      </c>
      <c r="B6250" t="inlineStr">
        <is>
          <t>Newton Golf Company, Inc.</t>
        </is>
      </c>
      <c r="C6250" t="inlineStr">
        <is>
          <t>Nasdaq</t>
        </is>
      </c>
      <c r="D6250" t="n">
        <v>1934245</v>
      </c>
      <c r="E6250" t="inlineStr">
        <is>
          <t>SEC</t>
        </is>
      </c>
    </row>
    <row r="6251">
      <c r="A6251" s="5">
        <f>HYPERLINK("https://finance.yahoo.com/quote/OHCFF","OHCFF")</f>
        <v/>
      </c>
      <c r="B6251" t="inlineStr">
        <is>
          <t>Light AI Inc.</t>
        </is>
      </c>
      <c r="C6251" t="inlineStr">
        <is>
          <t>OTC</t>
        </is>
      </c>
      <c r="D6251" t="n">
        <v>1735514</v>
      </c>
      <c r="E6251" t="inlineStr">
        <is>
          <t>SEC</t>
        </is>
      </c>
    </row>
    <row r="6252">
      <c r="A6252" s="5">
        <f>HYPERLINK("https://finance.yahoo.com/quote/HKPD","HKPD")</f>
        <v/>
      </c>
      <c r="B6252" t="inlineStr">
        <is>
          <t>Cellyan Biotechnology Co., Ltd</t>
        </is>
      </c>
      <c r="C6252" t="inlineStr">
        <is>
          <t>Nasdaq</t>
        </is>
      </c>
      <c r="D6252" t="n">
        <v>2007702</v>
      </c>
      <c r="E6252" t="inlineStr">
        <is>
          <t>SEC</t>
        </is>
      </c>
    </row>
    <row r="6253">
      <c r="A6253" s="5">
        <f>HYPERLINK("https://finance.yahoo.com/quote/QWTR","QWTR")</f>
        <v/>
      </c>
      <c r="B6253" t="inlineStr">
        <is>
          <t>Quest Water Global, Inc.</t>
        </is>
      </c>
      <c r="C6253" t="inlineStr">
        <is>
          <t>OTC</t>
        </is>
      </c>
      <c r="D6253" t="n">
        <v>1487091</v>
      </c>
      <c r="E6253" t="inlineStr">
        <is>
          <t>SEC</t>
        </is>
      </c>
    </row>
    <row r="6254">
      <c r="A6254" s="5">
        <f>HYPERLINK("https://finance.yahoo.com/quote/VEEE","VEEE")</f>
        <v/>
      </c>
      <c r="B6254" t="inlineStr">
        <is>
          <t>Twin Vee PowerCats, Co.</t>
        </is>
      </c>
      <c r="C6254" t="inlineStr">
        <is>
          <t>Nasdaq</t>
        </is>
      </c>
      <c r="D6254" t="n">
        <v>1855509</v>
      </c>
      <c r="E6254" t="inlineStr">
        <is>
          <t>SEC</t>
        </is>
      </c>
    </row>
    <row r="6255">
      <c r="A6255" s="5">
        <f>HYPERLINK("https://finance.yahoo.com/quote/AIRE","AIRE")</f>
        <v/>
      </c>
      <c r="B6255" t="inlineStr">
        <is>
          <t>reAlpha Tech Corp.</t>
        </is>
      </c>
      <c r="C6255" t="inlineStr">
        <is>
          <t>Nasdaq</t>
        </is>
      </c>
      <c r="D6255" t="n">
        <v>1859199</v>
      </c>
      <c r="E6255" t="inlineStr">
        <is>
          <t>SEC</t>
        </is>
      </c>
    </row>
    <row r="6256">
      <c r="A6256" s="5">
        <f>HYPERLINK("https://finance.yahoo.com/quote/KLYG","KLYG")</f>
        <v/>
      </c>
      <c r="B6256" t="inlineStr">
        <is>
          <t>Kelyniam Global, Inc.</t>
        </is>
      </c>
      <c r="C6256" t="inlineStr">
        <is>
          <t>OTC</t>
        </is>
      </c>
      <c r="D6256" t="n">
        <v>1372114</v>
      </c>
      <c r="E6256" t="inlineStr">
        <is>
          <t>SEC</t>
        </is>
      </c>
    </row>
    <row r="6257">
      <c r="A6257" s="5">
        <f>HYPERLINK("https://finance.yahoo.com/quote/CDIO","CDIO")</f>
        <v/>
      </c>
      <c r="B6257" t="inlineStr">
        <is>
          <t>Cardio Diagnostics Holdings, Inc.</t>
        </is>
      </c>
      <c r="C6257" t="inlineStr">
        <is>
          <t>Nasdaq</t>
        </is>
      </c>
      <c r="D6257" t="n">
        <v>1870144</v>
      </c>
      <c r="E6257" t="inlineStr">
        <is>
          <t>SEC</t>
        </is>
      </c>
    </row>
    <row r="6258">
      <c r="A6258" s="5">
        <f>HYPERLINK("https://finance.yahoo.com/quote/LGVN","LGVN")</f>
        <v/>
      </c>
      <c r="B6258" t="inlineStr">
        <is>
          <t>Longeveron Inc.</t>
        </is>
      </c>
      <c r="C6258" t="inlineStr">
        <is>
          <t>Nasdaq</t>
        </is>
      </c>
      <c r="D6258" t="n">
        <v>1721484</v>
      </c>
      <c r="E6258" t="inlineStr">
        <is>
          <t>SEC</t>
        </is>
      </c>
    </row>
    <row r="6259">
      <c r="A6259" s="5">
        <f>HYPERLINK("https://finance.yahoo.com/quote/VEST","VEST")</f>
        <v/>
      </c>
      <c r="B6259" t="inlineStr">
        <is>
          <t>Loan Artificial Intelligence Corp.</t>
        </is>
      </c>
      <c r="C6259" t="inlineStr"/>
      <c r="D6259" t="n">
        <v>1594968</v>
      </c>
      <c r="E6259" t="inlineStr">
        <is>
          <t>SEC</t>
        </is>
      </c>
    </row>
    <row r="6260">
      <c r="A6260" s="5">
        <f>HYPERLINK("https://finance.yahoo.com/quote/UUUFF","UUUFF")</f>
        <v/>
      </c>
      <c r="B6260" t="inlineStr">
        <is>
          <t>Recharge Resources Ltd.</t>
        </is>
      </c>
      <c r="C6260" t="inlineStr">
        <is>
          <t>OTC</t>
        </is>
      </c>
      <c r="D6260" t="n">
        <v>2056751</v>
      </c>
      <c r="E6260" t="inlineStr">
        <is>
          <t>SEC</t>
        </is>
      </c>
    </row>
    <row r="6261">
      <c r="A6261" s="5">
        <f>HYPERLINK("https://finance.yahoo.com/quote/GBR","GBR")</f>
        <v/>
      </c>
      <c r="B6261" t="inlineStr">
        <is>
          <t>New Concept Energy, Inc.</t>
        </is>
      </c>
      <c r="C6261" t="inlineStr">
        <is>
          <t>NYSE</t>
        </is>
      </c>
      <c r="D6261" t="n">
        <v>105744</v>
      </c>
      <c r="E6261" t="inlineStr">
        <is>
          <t>SEC</t>
        </is>
      </c>
    </row>
    <row r="6262">
      <c r="A6262" s="5">
        <f>HYPERLINK("https://finance.yahoo.com/quote/EVGN","EVGN")</f>
        <v/>
      </c>
      <c r="B6262" t="inlineStr">
        <is>
          <t>Evogene Ltd.</t>
        </is>
      </c>
      <c r="C6262" t="inlineStr">
        <is>
          <t>Nasdaq</t>
        </is>
      </c>
      <c r="D6262" t="n">
        <v>1574565</v>
      </c>
      <c r="E6262" t="inlineStr">
        <is>
          <t>SEC</t>
        </is>
      </c>
    </row>
    <row r="6263">
      <c r="A6263" s="5">
        <f>HYPERLINK("https://finance.yahoo.com/quote/WOK","WOK")</f>
        <v/>
      </c>
      <c r="B6263" t="inlineStr">
        <is>
          <t>WORK Medical Technology Group LTD</t>
        </is>
      </c>
      <c r="C6263" t="inlineStr">
        <is>
          <t>Nasdaq</t>
        </is>
      </c>
      <c r="D6263" t="n">
        <v>1929783</v>
      </c>
      <c r="E6263" t="inlineStr">
        <is>
          <t>SEC</t>
        </is>
      </c>
    </row>
    <row r="6264">
      <c r="A6264" s="5">
        <f>HYPERLINK("https://finance.yahoo.com/quote/GXAI","GXAI")</f>
        <v/>
      </c>
      <c r="B6264" t="inlineStr">
        <is>
          <t>GAXOS.AI INC.</t>
        </is>
      </c>
      <c r="C6264" t="inlineStr">
        <is>
          <t>Nasdaq</t>
        </is>
      </c>
      <c r="D6264" t="n">
        <v>1895618</v>
      </c>
      <c r="E6264" t="inlineStr">
        <is>
          <t>SEC</t>
        </is>
      </c>
    </row>
    <row r="6265">
      <c r="A6265" s="5">
        <f>HYPERLINK("https://finance.yahoo.com/quote/EXCBF","EXCBF")</f>
        <v/>
      </c>
      <c r="B6265" t="inlineStr">
        <is>
          <t>Excalibur Metals Corp.</t>
        </is>
      </c>
      <c r="C6265" t="inlineStr">
        <is>
          <t>OTC</t>
        </is>
      </c>
      <c r="D6265" t="n">
        <v>2088688</v>
      </c>
      <c r="E6265" t="inlineStr">
        <is>
          <t>SEC</t>
        </is>
      </c>
    </row>
    <row r="6266">
      <c r="A6266" s="5">
        <f>HYPERLINK("https://finance.yahoo.com/quote/BTTC","BTTC")</f>
        <v/>
      </c>
      <c r="B6266" t="inlineStr">
        <is>
          <t>Black Titan Corp</t>
        </is>
      </c>
      <c r="C6266" t="inlineStr">
        <is>
          <t>Nasdaq</t>
        </is>
      </c>
      <c r="D6266" t="n">
        <v>2034400</v>
      </c>
      <c r="E6266" t="inlineStr">
        <is>
          <t>SEC</t>
        </is>
      </c>
    </row>
    <row r="6267">
      <c r="A6267" s="5">
        <f>HYPERLINK("https://finance.yahoo.com/quote/YDKG","YDKG")</f>
        <v/>
      </c>
      <c r="B6267" t="inlineStr">
        <is>
          <t>Yueda Digital Holding</t>
        </is>
      </c>
      <c r="C6267" t="inlineStr">
        <is>
          <t>Nasdaq</t>
        </is>
      </c>
      <c r="D6267" t="n">
        <v>1413745</v>
      </c>
      <c r="E6267" t="inlineStr">
        <is>
          <t>SEC</t>
        </is>
      </c>
    </row>
    <row r="6268">
      <c r="A6268" s="5">
        <f>HYPERLINK("https://finance.yahoo.com/quote/INTJ","INTJ")</f>
        <v/>
      </c>
      <c r="B6268" t="inlineStr">
        <is>
          <t>Intelligent Group Ltd</t>
        </is>
      </c>
      <c r="C6268" t="inlineStr">
        <is>
          <t>Nasdaq</t>
        </is>
      </c>
      <c r="D6268" t="n">
        <v>1916416</v>
      </c>
      <c r="E6268" t="inlineStr">
        <is>
          <t>SEC</t>
        </is>
      </c>
    </row>
    <row r="6269">
      <c r="A6269" s="5">
        <f>HYPERLINK("https://finance.yahoo.com/quote/JWEL","JWEL")</f>
        <v/>
      </c>
      <c r="B6269" t="inlineStr">
        <is>
          <t>Jowell Global Ltd.</t>
        </is>
      </c>
      <c r="C6269" t="inlineStr">
        <is>
          <t>Nasdaq</t>
        </is>
      </c>
      <c r="D6269" t="n">
        <v>1805594</v>
      </c>
      <c r="E6269" t="inlineStr">
        <is>
          <t>SEC</t>
        </is>
      </c>
    </row>
    <row r="6270">
      <c r="A6270" s="5">
        <f>HYPERLINK("https://finance.yahoo.com/quote/CCTG","CCTG")</f>
        <v/>
      </c>
      <c r="B6270" t="inlineStr">
        <is>
          <t>CCSC Technology International Holdings Ltd</t>
        </is>
      </c>
      <c r="C6270" t="inlineStr">
        <is>
          <t>Nasdaq</t>
        </is>
      </c>
      <c r="D6270" t="n">
        <v>1931717</v>
      </c>
      <c r="E6270" t="inlineStr">
        <is>
          <t>SEC</t>
        </is>
      </c>
    </row>
    <row r="6271">
      <c r="A6271" s="5">
        <f>HYPERLINK("https://finance.yahoo.com/quote/OCLN","OCLN")</f>
        <v/>
      </c>
      <c r="B6271" t="inlineStr">
        <is>
          <t>ORIGINCLEAR, INC.</t>
        </is>
      </c>
      <c r="C6271" t="inlineStr"/>
      <c r="D6271" t="n">
        <v>1419793</v>
      </c>
      <c r="E6271" t="inlineStr">
        <is>
          <t>SEC</t>
        </is>
      </c>
    </row>
    <row r="6272">
      <c r="A6272" s="5">
        <f>HYPERLINK("https://finance.yahoo.com/quote/CHAI","CHAI")</f>
        <v/>
      </c>
      <c r="B6272" t="inlineStr">
        <is>
          <t>Core AI Holdings, Inc.</t>
        </is>
      </c>
      <c r="C6272" t="inlineStr">
        <is>
          <t>Nasdaq</t>
        </is>
      </c>
      <c r="D6272" t="n">
        <v>1649009</v>
      </c>
      <c r="E6272" t="inlineStr">
        <is>
          <t>SEC</t>
        </is>
      </c>
    </row>
    <row r="6273">
      <c r="A6273" s="5">
        <f>HYPERLINK("https://finance.yahoo.com/quote/ATXG","ATXG")</f>
        <v/>
      </c>
      <c r="B6273" t="inlineStr">
        <is>
          <t>ADDENTAX GROUP CORP.</t>
        </is>
      </c>
      <c r="C6273" t="inlineStr">
        <is>
          <t>Nasdaq</t>
        </is>
      </c>
      <c r="D6273" t="n">
        <v>1650101</v>
      </c>
      <c r="E6273" t="inlineStr">
        <is>
          <t>SEC</t>
        </is>
      </c>
    </row>
    <row r="6274">
      <c r="A6274" s="5">
        <f>HYPERLINK("https://finance.yahoo.com/quote/XTLB","XTLB")</f>
        <v/>
      </c>
      <c r="B6274" t="inlineStr">
        <is>
          <t>XTL BIOPHARMACEUTICALS LTD</t>
        </is>
      </c>
      <c r="C6274" t="inlineStr">
        <is>
          <t>Nasdaq</t>
        </is>
      </c>
      <c r="D6274" t="n">
        <v>1023549</v>
      </c>
      <c r="E6274" t="inlineStr">
        <is>
          <t>SEC</t>
        </is>
      </c>
    </row>
    <row r="6275">
      <c r="A6275" s="5">
        <f>HYPERLINK("https://finance.yahoo.com/quote/KIQSF","KIQSF")</f>
        <v/>
      </c>
      <c r="B6275" t="inlineStr">
        <is>
          <t>KELSO TECHNOLOGIES INC</t>
        </is>
      </c>
      <c r="C6275" t="inlineStr">
        <is>
          <t>OTC</t>
        </is>
      </c>
      <c r="D6275" t="n">
        <v>1161814</v>
      </c>
      <c r="E6275" t="inlineStr">
        <is>
          <t>SEC</t>
        </is>
      </c>
    </row>
    <row r="6276">
      <c r="A6276" s="5">
        <f>HYPERLINK("https://finance.yahoo.com/quote/DSNY","DSNY")</f>
        <v/>
      </c>
      <c r="B6276" t="inlineStr">
        <is>
          <t>DESTINY MEDIA TECHNOLOGIES INC</t>
        </is>
      </c>
      <c r="C6276" t="inlineStr">
        <is>
          <t>OTC</t>
        </is>
      </c>
      <c r="D6276" t="n">
        <v>1099369</v>
      </c>
      <c r="E6276" t="inlineStr">
        <is>
          <t>SEC</t>
        </is>
      </c>
    </row>
    <row r="6277">
      <c r="A6277" s="5">
        <f>HYPERLINK("https://finance.yahoo.com/quote/SONM","SONM")</f>
        <v/>
      </c>
      <c r="B6277" t="inlineStr">
        <is>
          <t>DNA X, Inc.</t>
        </is>
      </c>
      <c r="C6277" t="inlineStr">
        <is>
          <t>Nasdaq</t>
        </is>
      </c>
      <c r="D6277" t="n">
        <v>1178697</v>
      </c>
      <c r="E6277" t="inlineStr">
        <is>
          <t>SEC</t>
        </is>
      </c>
    </row>
    <row r="6278">
      <c r="A6278" s="5">
        <f>HYPERLINK("https://finance.yahoo.com/quote/VSA","VSA")</f>
        <v/>
      </c>
      <c r="B6278" t="inlineStr">
        <is>
          <t>VisionSys AI Inc</t>
        </is>
      </c>
      <c r="C6278" t="inlineStr">
        <is>
          <t>Nasdaq</t>
        </is>
      </c>
      <c r="D6278" t="n">
        <v>1592560</v>
      </c>
      <c r="E6278" t="inlineStr">
        <is>
          <t>SEC</t>
        </is>
      </c>
    </row>
    <row r="6279">
      <c r="A6279" s="5">
        <f>HYPERLINK("https://finance.yahoo.com/quote/AMIX","AMIX")</f>
        <v/>
      </c>
      <c r="B6279" t="inlineStr">
        <is>
          <t>Autonomix Medical, Inc.</t>
        </is>
      </c>
      <c r="C6279" t="inlineStr">
        <is>
          <t>Nasdaq</t>
        </is>
      </c>
      <c r="D6279" t="n">
        <v>1617867</v>
      </c>
      <c r="E6279" t="inlineStr">
        <is>
          <t>SEC</t>
        </is>
      </c>
    </row>
    <row r="6280">
      <c r="A6280" s="5">
        <f>HYPERLINK("https://finance.yahoo.com/quote/ALP","ALP")</f>
        <v/>
      </c>
      <c r="B6280" t="inlineStr">
        <is>
          <t>Alpha Compute Corp</t>
        </is>
      </c>
      <c r="C6280" t="inlineStr">
        <is>
          <t>Nasdaq</t>
        </is>
      </c>
      <c r="D6280" t="n">
        <v>1095435</v>
      </c>
      <c r="E6280" t="inlineStr">
        <is>
          <t>SEC</t>
        </is>
      </c>
    </row>
    <row r="6281">
      <c r="A6281" s="5">
        <f>HYPERLINK("https://finance.yahoo.com/quote/SABOF","SABOF")</f>
        <v/>
      </c>
      <c r="B6281" t="inlineStr">
        <is>
          <t>Sabio Holdings Inc.</t>
        </is>
      </c>
      <c r="C6281" t="inlineStr">
        <is>
          <t>OTC</t>
        </is>
      </c>
      <c r="D6281" t="n">
        <v>1896752</v>
      </c>
      <c r="E6281" t="inlineStr">
        <is>
          <t>SEC</t>
        </is>
      </c>
    </row>
    <row r="6282">
      <c r="A6282" s="5">
        <f>HYPERLINK("https://finance.yahoo.com/quote/SNTG","SNTG")</f>
        <v/>
      </c>
      <c r="B6282" t="inlineStr">
        <is>
          <t>Sentage Holdings Inc.</t>
        </is>
      </c>
      <c r="C6282" t="inlineStr">
        <is>
          <t>Nasdaq</t>
        </is>
      </c>
      <c r="D6282" t="n">
        <v>1810467</v>
      </c>
      <c r="E6282" t="inlineStr">
        <is>
          <t>SEC</t>
        </is>
      </c>
    </row>
    <row r="6283">
      <c r="A6283" s="5">
        <f>HYPERLINK("https://finance.yahoo.com/quote/ICCM","ICCM")</f>
        <v/>
      </c>
      <c r="B6283" t="inlineStr">
        <is>
          <t>IceCure Medical Ltd.</t>
        </is>
      </c>
      <c r="C6283" t="inlineStr">
        <is>
          <t>Nasdaq</t>
        </is>
      </c>
      <c r="D6283" t="n">
        <v>1584371</v>
      </c>
      <c r="E6283" t="inlineStr">
        <is>
          <t>SEC</t>
        </is>
      </c>
    </row>
    <row r="6284">
      <c r="A6284" s="5">
        <f>HYPERLINK("https://finance.yahoo.com/quote/INEOF","INEOF")</f>
        <v/>
      </c>
      <c r="B6284" t="inlineStr">
        <is>
          <t>INEO Tech Corp.</t>
        </is>
      </c>
      <c r="C6284" t="inlineStr">
        <is>
          <t>OTC</t>
        </is>
      </c>
      <c r="D6284" t="n">
        <v>2099727</v>
      </c>
      <c r="E6284" t="inlineStr">
        <is>
          <t>SEC</t>
        </is>
      </c>
    </row>
    <row r="6285">
      <c r="A6285" s="5">
        <f>HYPERLINK("https://finance.yahoo.com/quote/GDC","GDC")</f>
        <v/>
      </c>
      <c r="B6285" t="inlineStr">
        <is>
          <t>GD Culture Group Ltd</t>
        </is>
      </c>
      <c r="C6285" t="inlineStr">
        <is>
          <t>Nasdaq</t>
        </is>
      </c>
      <c r="D6285" t="n">
        <v>1641398</v>
      </c>
      <c r="E6285" t="inlineStr">
        <is>
          <t>SEC</t>
        </is>
      </c>
    </row>
    <row r="6286">
      <c r="A6286" s="5">
        <f>HYPERLINK("https://finance.yahoo.com/quote/NRGFF","NRGFF")</f>
        <v/>
      </c>
      <c r="B6286" t="inlineStr">
        <is>
          <t>AE Fuels Corp</t>
        </is>
      </c>
      <c r="C6286" t="inlineStr">
        <is>
          <t>OTC</t>
        </is>
      </c>
      <c r="D6286" t="n">
        <v>2102593</v>
      </c>
      <c r="E6286" t="inlineStr">
        <is>
          <t>SEC</t>
        </is>
      </c>
    </row>
    <row r="6287">
      <c r="A6287" s="5">
        <f>HYPERLINK("https://finance.yahoo.com/quote/SYNX","SYNX")</f>
        <v/>
      </c>
      <c r="B6287" t="inlineStr">
        <is>
          <t>Silynxcom Ltd.</t>
        </is>
      </c>
      <c r="C6287" t="inlineStr">
        <is>
          <t>NYSE</t>
        </is>
      </c>
      <c r="D6287" t="n">
        <v>1976443</v>
      </c>
      <c r="E6287" t="inlineStr">
        <is>
          <t>SEC</t>
        </is>
      </c>
    </row>
    <row r="6288">
      <c r="A6288" s="5">
        <f>HYPERLINK("https://finance.yahoo.com/quote/GELS","GELS")</f>
        <v/>
      </c>
      <c r="B6288" t="inlineStr">
        <is>
          <t>Gelteq Ltd</t>
        </is>
      </c>
      <c r="C6288" t="inlineStr">
        <is>
          <t>Nasdaq</t>
        </is>
      </c>
      <c r="D6288" t="n">
        <v>1920092</v>
      </c>
      <c r="E6288" t="inlineStr">
        <is>
          <t>SEC</t>
        </is>
      </c>
    </row>
    <row r="6289">
      <c r="A6289" s="5">
        <f>HYPERLINK("https://finance.yahoo.com/quote/NVNO","NVNO")</f>
        <v/>
      </c>
      <c r="B6289" t="inlineStr">
        <is>
          <t>enVVeno Medical Corp</t>
        </is>
      </c>
      <c r="C6289" t="inlineStr">
        <is>
          <t>Nasdaq</t>
        </is>
      </c>
      <c r="D6289" t="n">
        <v>1661053</v>
      </c>
      <c r="E6289" t="inlineStr">
        <is>
          <t>SEC</t>
        </is>
      </c>
    </row>
    <row r="6290">
      <c r="A6290" s="5">
        <f>HYPERLINK("https://finance.yahoo.com/quote/LUVU","LUVU")</f>
        <v/>
      </c>
      <c r="B6290" t="inlineStr">
        <is>
          <t>Luvu Brands, Inc.</t>
        </is>
      </c>
      <c r="C6290" t="inlineStr">
        <is>
          <t>OTC</t>
        </is>
      </c>
      <c r="D6290" t="n">
        <v>1374567</v>
      </c>
      <c r="E6290" t="inlineStr">
        <is>
          <t>SEC</t>
        </is>
      </c>
    </row>
    <row r="6291">
      <c r="A6291" s="5">
        <f>HYPERLINK("https://finance.yahoo.com/quote/LIMX","LIMX")</f>
        <v/>
      </c>
      <c r="B6291" t="inlineStr">
        <is>
          <t>Limitless X Holdings Inc.</t>
        </is>
      </c>
      <c r="C6291" t="inlineStr">
        <is>
          <t>OTC</t>
        </is>
      </c>
      <c r="D6291" t="n">
        <v>1803977</v>
      </c>
      <c r="E6291" t="inlineStr">
        <is>
          <t>SEC</t>
        </is>
      </c>
    </row>
    <row r="6292">
      <c r="A6292" s="5">
        <f>HYPERLINK("https://finance.yahoo.com/quote/AMBO","AMBO")</f>
        <v/>
      </c>
      <c r="B6292" t="inlineStr">
        <is>
          <t>Ambow Education Holding Ltd.</t>
        </is>
      </c>
      <c r="C6292" t="inlineStr">
        <is>
          <t>NYSE</t>
        </is>
      </c>
      <c r="D6292" t="n">
        <v>1494558</v>
      </c>
      <c r="E6292" t="inlineStr">
        <is>
          <t>SEC</t>
        </is>
      </c>
    </row>
    <row r="6293">
      <c r="A6293" s="5">
        <f>HYPERLINK("https://finance.yahoo.com/quote/NRSN","NRSN")</f>
        <v/>
      </c>
      <c r="B6293" t="inlineStr">
        <is>
          <t>NeuroSense Therapeutics Ltd.</t>
        </is>
      </c>
      <c r="C6293" t="inlineStr">
        <is>
          <t>Nasdaq</t>
        </is>
      </c>
      <c r="D6293" t="n">
        <v>1875091</v>
      </c>
      <c r="E6293" t="inlineStr">
        <is>
          <t>SEC</t>
        </is>
      </c>
    </row>
    <row r="6294">
      <c r="A6294" s="5">
        <f>HYPERLINK("https://finance.yahoo.com/quote/RENX","RENX")</f>
        <v/>
      </c>
      <c r="B6294" t="inlineStr">
        <is>
          <t>RenX Enterprises Corp.</t>
        </is>
      </c>
      <c r="C6294" t="inlineStr">
        <is>
          <t>Nasdaq</t>
        </is>
      </c>
      <c r="D6294" t="n">
        <v>1959023</v>
      </c>
      <c r="E6294" t="inlineStr">
        <is>
          <t>SEC</t>
        </is>
      </c>
    </row>
    <row r="6295">
      <c r="A6295" s="5">
        <f>HYPERLINK("https://finance.yahoo.com/quote/USAQ","USAQ")</f>
        <v/>
      </c>
      <c r="B6295" t="inlineStr">
        <is>
          <t>QHSLab, Inc.</t>
        </is>
      </c>
      <c r="C6295" t="inlineStr">
        <is>
          <t>OTC</t>
        </is>
      </c>
      <c r="D6295" t="n">
        <v>856984</v>
      </c>
      <c r="E6295" t="inlineStr">
        <is>
          <t>SEC</t>
        </is>
      </c>
    </row>
    <row r="6296">
      <c r="A6296" s="5">
        <f>HYPERLINK("https://finance.yahoo.com/quote/CYAN","CYAN")</f>
        <v/>
      </c>
      <c r="B6296" t="inlineStr">
        <is>
          <t>CYANOTECH CORP</t>
        </is>
      </c>
      <c r="C6296" t="inlineStr">
        <is>
          <t>OTC</t>
        </is>
      </c>
      <c r="D6296" t="n">
        <v>768408</v>
      </c>
      <c r="E6296" t="inlineStr">
        <is>
          <t>SEC</t>
        </is>
      </c>
    </row>
    <row r="6297">
      <c r="A6297" s="5">
        <f>HYPERLINK("https://finance.yahoo.com/quote/SCNX","SCNX")</f>
        <v/>
      </c>
      <c r="B6297" t="inlineStr">
        <is>
          <t>Scienture Holdings, Inc.</t>
        </is>
      </c>
      <c r="C6297" t="inlineStr">
        <is>
          <t>Nasdaq</t>
        </is>
      </c>
      <c r="D6297" t="n">
        <v>1382574</v>
      </c>
      <c r="E6297" t="inlineStr">
        <is>
          <t>SEC</t>
        </is>
      </c>
    </row>
    <row r="6298">
      <c r="A6298" s="5">
        <f>HYPERLINK("https://finance.yahoo.com/quote/FWFW","FWFW")</f>
        <v/>
      </c>
      <c r="B6298" t="inlineStr">
        <is>
          <t>FLYWHEEL ADVANCED TECHNOLOGY, INC.</t>
        </is>
      </c>
      <c r="C6298" t="inlineStr">
        <is>
          <t>OTC</t>
        </is>
      </c>
      <c r="D6298" t="n">
        <v>1492617</v>
      </c>
      <c r="E6298" t="inlineStr">
        <is>
          <t>SEC</t>
        </is>
      </c>
    </row>
    <row r="6299">
      <c r="A6299" s="5">
        <f>HYPERLINK("https://finance.yahoo.com/quote/NWGL","NWGL")</f>
        <v/>
      </c>
      <c r="B6299" t="inlineStr">
        <is>
          <t>CL Workshop Group Ltd</t>
        </is>
      </c>
      <c r="C6299" t="inlineStr">
        <is>
          <t>Nasdaq</t>
        </is>
      </c>
      <c r="D6299" t="n">
        <v>1948294</v>
      </c>
      <c r="E6299" t="inlineStr">
        <is>
          <t>SEC</t>
        </is>
      </c>
    </row>
    <row r="6300">
      <c r="A6300" s="5">
        <f>HYPERLINK("https://finance.yahoo.com/quote/SRRE","SRRE")</f>
        <v/>
      </c>
      <c r="B6300" t="inlineStr">
        <is>
          <t>SUNRISE REAL ESTATE GROUP INC</t>
        </is>
      </c>
      <c r="C6300" t="inlineStr">
        <is>
          <t>OTC</t>
        </is>
      </c>
      <c r="D6300" t="n">
        <v>1083490</v>
      </c>
      <c r="E6300" t="inlineStr">
        <is>
          <t>SEC</t>
        </is>
      </c>
    </row>
    <row r="6301">
      <c r="A6301" s="5">
        <f>HYPERLINK("https://finance.yahoo.com/quote/CGTL","CGTL")</f>
        <v/>
      </c>
      <c r="B6301" t="inlineStr">
        <is>
          <t>Creative Global Technology Holdings Ltd</t>
        </is>
      </c>
      <c r="C6301" t="inlineStr">
        <is>
          <t>Nasdaq</t>
        </is>
      </c>
      <c r="D6301" t="n">
        <v>1967822</v>
      </c>
      <c r="E6301" t="inlineStr">
        <is>
          <t>SEC</t>
        </is>
      </c>
    </row>
    <row r="6302">
      <c r="A6302" s="5">
        <f>HYPERLINK("https://finance.yahoo.com/quote/ESSI","ESSI")</f>
        <v/>
      </c>
      <c r="B6302" t="inlineStr">
        <is>
          <t>ECO SCIENCE SOLUTIONS, INC.</t>
        </is>
      </c>
      <c r="C6302" t="inlineStr">
        <is>
          <t>OTC</t>
        </is>
      </c>
      <c r="D6302" t="n">
        <v>1490873</v>
      </c>
      <c r="E6302" t="inlineStr">
        <is>
          <t>SEC</t>
        </is>
      </c>
    </row>
    <row r="6303">
      <c r="A6303" s="5">
        <f>HYPERLINK("https://finance.yahoo.com/quote/WCT","WCT")</f>
        <v/>
      </c>
      <c r="B6303" t="inlineStr">
        <is>
          <t>Wellchange Holdings Co Ltd</t>
        </is>
      </c>
      <c r="C6303" t="inlineStr">
        <is>
          <t>Nasdaq</t>
        </is>
      </c>
      <c r="D6303" t="n">
        <v>1990251</v>
      </c>
      <c r="E6303" t="inlineStr">
        <is>
          <t>SEC</t>
        </is>
      </c>
    </row>
    <row r="6304">
      <c r="A6304" s="5">
        <f>HYPERLINK("https://finance.yahoo.com/quote/SOS","SOS")</f>
        <v/>
      </c>
      <c r="B6304" t="inlineStr">
        <is>
          <t>SOS Ltd</t>
        </is>
      </c>
      <c r="C6304" t="inlineStr">
        <is>
          <t>NYSE</t>
        </is>
      </c>
      <c r="D6304" t="n">
        <v>1346610</v>
      </c>
      <c r="E6304" t="inlineStr">
        <is>
          <t>SEC</t>
        </is>
      </c>
    </row>
    <row r="6305">
      <c r="A6305" s="5">
        <f>HYPERLINK("https://finance.yahoo.com/quote/MTEK","MTEK")</f>
        <v/>
      </c>
      <c r="B6305" t="inlineStr">
        <is>
          <t>Maris Tech Ltd.</t>
        </is>
      </c>
      <c r="C6305" t="inlineStr">
        <is>
          <t>Nasdaq</t>
        </is>
      </c>
      <c r="D6305" t="n">
        <v>1872964</v>
      </c>
      <c r="E6305" t="inlineStr">
        <is>
          <t>SEC</t>
        </is>
      </c>
    </row>
    <row r="6306">
      <c r="A6306" s="5">
        <f>HYPERLINK("https://finance.yahoo.com/quote/VVOS","VVOS")</f>
        <v/>
      </c>
      <c r="B6306" t="inlineStr">
        <is>
          <t>Vivos Therapeutics, Inc.</t>
        </is>
      </c>
      <c r="C6306" t="inlineStr">
        <is>
          <t>Nasdaq</t>
        </is>
      </c>
      <c r="D6306" t="n">
        <v>1716166</v>
      </c>
      <c r="E6306" t="inlineStr">
        <is>
          <t>SEC</t>
        </is>
      </c>
    </row>
    <row r="6307">
      <c r="A6307" s="5">
        <f>HYPERLINK("https://finance.yahoo.com/quote/NTRX","NTRX")</f>
        <v/>
      </c>
      <c r="B6307" t="inlineStr">
        <is>
          <t>Entrex Carbon Market, Inc.</t>
        </is>
      </c>
      <c r="C6307" t="inlineStr">
        <is>
          <t>OTC</t>
        </is>
      </c>
      <c r="D6307" t="n">
        <v>1363598</v>
      </c>
      <c r="E6307" t="inlineStr">
        <is>
          <t>SEC</t>
        </is>
      </c>
    </row>
    <row r="6308">
      <c r="A6308" s="5">
        <f>HYPERLINK("https://finance.yahoo.com/quote/DFLI","DFLI")</f>
        <v/>
      </c>
      <c r="B6308" t="inlineStr">
        <is>
          <t>Dragonfly Energy Holdings Corp.</t>
        </is>
      </c>
      <c r="C6308" t="inlineStr">
        <is>
          <t>Nasdaq</t>
        </is>
      </c>
      <c r="D6308" t="n">
        <v>1847986</v>
      </c>
      <c r="E6308" t="inlineStr">
        <is>
          <t>SEC</t>
        </is>
      </c>
    </row>
    <row r="6309">
      <c r="A6309" s="5">
        <f>HYPERLINK("https://finance.yahoo.com/quote/APUS","APUS")</f>
        <v/>
      </c>
      <c r="B6309" t="inlineStr">
        <is>
          <t>Apimeds Pharmaceuticals US, Inc.</t>
        </is>
      </c>
      <c r="C6309" t="inlineStr">
        <is>
          <t>NYSE</t>
        </is>
      </c>
      <c r="D6309" t="n">
        <v>1894525</v>
      </c>
      <c r="E6309" t="inlineStr">
        <is>
          <t>SEC</t>
        </is>
      </c>
    </row>
    <row r="6310">
      <c r="A6310" s="5">
        <f>HYPERLINK("https://finance.yahoo.com/quote/AZTR","AZTR")</f>
        <v/>
      </c>
      <c r="B6310" t="inlineStr">
        <is>
          <t>Azitra, Inc.</t>
        </is>
      </c>
      <c r="C6310" t="inlineStr">
        <is>
          <t>NYSE</t>
        </is>
      </c>
      <c r="D6310" t="n">
        <v>1701478</v>
      </c>
      <c r="E6310" t="inlineStr">
        <is>
          <t>SEC</t>
        </is>
      </c>
    </row>
    <row r="6311">
      <c r="A6311" s="5">
        <f>HYPERLINK("https://finance.yahoo.com/quote/CXAI","CXAI")</f>
        <v/>
      </c>
      <c r="B6311" t="inlineStr">
        <is>
          <t>CXApp Inc.</t>
        </is>
      </c>
      <c r="C6311" t="inlineStr">
        <is>
          <t>Nasdaq</t>
        </is>
      </c>
      <c r="D6311" t="n">
        <v>1820875</v>
      </c>
      <c r="E6311" t="inlineStr">
        <is>
          <t>SEC</t>
        </is>
      </c>
    </row>
    <row r="6312">
      <c r="A6312" s="5">
        <f>HYPERLINK("https://finance.yahoo.com/quote/ORESF","ORESF")</f>
        <v/>
      </c>
      <c r="B6312" t="inlineStr">
        <is>
          <t>Orestone Mining Corp.</t>
        </is>
      </c>
      <c r="C6312" t="inlineStr">
        <is>
          <t>OTC</t>
        </is>
      </c>
      <c r="D6312" t="n">
        <v>1481857</v>
      </c>
      <c r="E6312" t="inlineStr">
        <is>
          <t>SEC</t>
        </is>
      </c>
    </row>
    <row r="6313">
      <c r="A6313" s="5">
        <f>HYPERLINK("https://finance.yahoo.com/quote/EGMCF","EGMCF")</f>
        <v/>
      </c>
      <c r="B6313" t="inlineStr">
        <is>
          <t>EMERGENT METALS CORP.</t>
        </is>
      </c>
      <c r="C6313" t="inlineStr">
        <is>
          <t>OTC</t>
        </is>
      </c>
      <c r="D6313" t="n">
        <v>1199392</v>
      </c>
      <c r="E6313" t="inlineStr">
        <is>
          <t>SEC</t>
        </is>
      </c>
    </row>
    <row r="6314">
      <c r="A6314" s="5">
        <f>HYPERLINK("https://finance.yahoo.com/quote/SNES","SNES")</f>
        <v/>
      </c>
      <c r="B6314" t="inlineStr">
        <is>
          <t>SenesTech, Inc.</t>
        </is>
      </c>
      <c r="C6314" t="inlineStr">
        <is>
          <t>Nasdaq</t>
        </is>
      </c>
      <c r="D6314" t="n">
        <v>1680378</v>
      </c>
      <c r="E6314" t="inlineStr">
        <is>
          <t>SEC</t>
        </is>
      </c>
    </row>
    <row r="6315">
      <c r="A6315" s="5">
        <f>HYPERLINK("https://finance.yahoo.com/quote/SEGG","SEGG")</f>
        <v/>
      </c>
      <c r="B6315" t="inlineStr">
        <is>
          <t>Sports Entertainment Gaming Global Corp</t>
        </is>
      </c>
      <c r="C6315" t="inlineStr">
        <is>
          <t>Nasdaq</t>
        </is>
      </c>
      <c r="D6315" t="n">
        <v>1673481</v>
      </c>
      <c r="E6315" t="inlineStr">
        <is>
          <t>SEC</t>
        </is>
      </c>
    </row>
    <row r="6316">
      <c r="A6316" s="5">
        <f>HYPERLINK("https://finance.yahoo.com/quote/CRCW","CRCW")</f>
        <v/>
      </c>
      <c r="B6316" t="inlineStr">
        <is>
          <t>Crypto Co</t>
        </is>
      </c>
      <c r="C6316" t="inlineStr">
        <is>
          <t>OTC</t>
        </is>
      </c>
      <c r="D6316" t="n">
        <v>1688126</v>
      </c>
      <c r="E6316" t="inlineStr">
        <is>
          <t>SEC</t>
        </is>
      </c>
    </row>
    <row r="6317">
      <c r="A6317" s="5">
        <f>HYPERLINK("https://finance.yahoo.com/quote/SCKT","SCKT")</f>
        <v/>
      </c>
      <c r="B6317" t="inlineStr">
        <is>
          <t>SOCKET MOBILE, INC.</t>
        </is>
      </c>
      <c r="C6317" t="inlineStr">
        <is>
          <t>Nasdaq</t>
        </is>
      </c>
      <c r="D6317" t="n">
        <v>944075</v>
      </c>
      <c r="E6317" t="inlineStr">
        <is>
          <t>SEC</t>
        </is>
      </c>
    </row>
    <row r="6318">
      <c r="A6318" s="5">
        <f>HYPERLINK("https://finance.yahoo.com/quote/NCNA","NCNA")</f>
        <v/>
      </c>
      <c r="B6318" t="inlineStr">
        <is>
          <t>NuCana plc</t>
        </is>
      </c>
      <c r="C6318" t="inlineStr">
        <is>
          <t>Nasdaq</t>
        </is>
      </c>
      <c r="D6318" t="n">
        <v>1709626</v>
      </c>
      <c r="E6318" t="inlineStr">
        <is>
          <t>SEC</t>
        </is>
      </c>
    </row>
    <row r="6319">
      <c r="A6319" s="5">
        <f>HYPERLINK("https://finance.yahoo.com/quote/FAMI","FAMI")</f>
        <v/>
      </c>
      <c r="B6319" t="inlineStr">
        <is>
          <t>Farmmi, Inc.</t>
        </is>
      </c>
      <c r="C6319" t="inlineStr">
        <is>
          <t>Nasdaq</t>
        </is>
      </c>
      <c r="D6319" t="n">
        <v>1701261</v>
      </c>
      <c r="E6319" t="inlineStr">
        <is>
          <t>SEC</t>
        </is>
      </c>
    </row>
    <row r="6320">
      <c r="A6320" s="5">
        <f>HYPERLINK("https://finance.yahoo.com/quote/XBIO","XBIO")</f>
        <v/>
      </c>
      <c r="B6320" t="inlineStr">
        <is>
          <t>Xenetic Biosciences, Inc.</t>
        </is>
      </c>
      <c r="C6320" t="inlineStr">
        <is>
          <t>Nasdaq</t>
        </is>
      </c>
      <c r="D6320" t="n">
        <v>1534525</v>
      </c>
      <c r="E6320" t="inlineStr">
        <is>
          <t>SEC</t>
        </is>
      </c>
    </row>
    <row r="6321">
      <c r="A6321" s="5">
        <f>HYPERLINK("https://finance.yahoo.com/quote/AMST","AMST")</f>
        <v/>
      </c>
      <c r="B6321" t="inlineStr">
        <is>
          <t>Amesite Inc.</t>
        </is>
      </c>
      <c r="C6321" t="inlineStr">
        <is>
          <t>Nasdaq</t>
        </is>
      </c>
      <c r="D6321" t="n">
        <v>1807166</v>
      </c>
      <c r="E6321" t="inlineStr">
        <is>
          <t>SEC</t>
        </is>
      </c>
    </row>
    <row r="6322">
      <c r="A6322" s="5">
        <f>HYPERLINK("https://finance.yahoo.com/quote/QCLS","QCLS")</f>
        <v/>
      </c>
      <c r="B6322" t="inlineStr">
        <is>
          <t>Q/C TECHNOLOGIES, INC.</t>
        </is>
      </c>
      <c r="C6322" t="inlineStr">
        <is>
          <t>Nasdaq</t>
        </is>
      </c>
      <c r="D6322" t="n">
        <v>1321834</v>
      </c>
      <c r="E6322" t="inlineStr">
        <is>
          <t>SEC</t>
        </is>
      </c>
    </row>
    <row r="6323">
      <c r="A6323" s="5">
        <f>HYPERLINK("https://finance.yahoo.com/quote/CWD","CWD")</f>
        <v/>
      </c>
      <c r="B6323" t="inlineStr">
        <is>
          <t>CaliberCos Inc.</t>
        </is>
      </c>
      <c r="C6323" t="inlineStr">
        <is>
          <t>Nasdaq</t>
        </is>
      </c>
      <c r="D6323" t="n">
        <v>1627282</v>
      </c>
      <c r="E6323" t="inlineStr">
        <is>
          <t>SEC</t>
        </is>
      </c>
    </row>
    <row r="6324">
      <c r="A6324" s="5">
        <f>HYPERLINK("https://finance.yahoo.com/quote/EZGO","EZGO")</f>
        <v/>
      </c>
      <c r="B6324" t="inlineStr">
        <is>
          <t>EZGO Technologies Ltd.</t>
        </is>
      </c>
      <c r="C6324" t="inlineStr">
        <is>
          <t>Nasdaq</t>
        </is>
      </c>
      <c r="D6324" t="n">
        <v>1806904</v>
      </c>
      <c r="E6324" t="inlineStr">
        <is>
          <t>SEC</t>
        </is>
      </c>
    </row>
    <row r="6325">
      <c r="A6325" s="5">
        <f>HYPERLINK("https://finance.yahoo.com/quote/VSME","VSME")</f>
        <v/>
      </c>
      <c r="B6325" t="inlineStr">
        <is>
          <t>Forcendra Holding Ltd</t>
        </is>
      </c>
      <c r="C6325" t="inlineStr">
        <is>
          <t>Nasdaq</t>
        </is>
      </c>
      <c r="D6325" t="n">
        <v>1951294</v>
      </c>
      <c r="E6325" t="inlineStr">
        <is>
          <t>SEC</t>
        </is>
      </c>
    </row>
    <row r="6326">
      <c r="A6326" s="5">
        <f>HYPERLINK("https://finance.yahoo.com/quote/FASLF","FASLF")</f>
        <v/>
      </c>
      <c r="B6326" t="inlineStr">
        <is>
          <t>First Andes Silver Ltd.</t>
        </is>
      </c>
      <c r="C6326" t="inlineStr">
        <is>
          <t>OTC</t>
        </is>
      </c>
      <c r="D6326" t="n">
        <v>1731854</v>
      </c>
      <c r="E6326" t="inlineStr">
        <is>
          <t>SEC</t>
        </is>
      </c>
    </row>
    <row r="6327">
      <c r="A6327" s="5">
        <f>HYPERLINK("https://finance.yahoo.com/quote/LIMN","LIMN")</f>
        <v/>
      </c>
      <c r="B6327" t="inlineStr">
        <is>
          <t>Liminatus Pharma, Inc.</t>
        </is>
      </c>
      <c r="C6327" t="inlineStr">
        <is>
          <t>Nasdaq</t>
        </is>
      </c>
      <c r="D6327" t="n">
        <v>1971387</v>
      </c>
      <c r="E6327" t="inlineStr">
        <is>
          <t>SEC</t>
        </is>
      </c>
    </row>
    <row r="6328">
      <c r="A6328" s="5">
        <f>HYPERLINK("https://finance.yahoo.com/quote/WBSR","WBSR")</f>
        <v/>
      </c>
      <c r="B6328" t="inlineStr">
        <is>
          <t>Webstar Technology Group Inc.</t>
        </is>
      </c>
      <c r="C6328" t="inlineStr">
        <is>
          <t>OTC</t>
        </is>
      </c>
      <c r="D6328" t="n">
        <v>1645155</v>
      </c>
      <c r="E6328" t="inlineStr">
        <is>
          <t>SEC</t>
        </is>
      </c>
    </row>
    <row r="6329">
      <c r="A6329" s="5">
        <f>HYPERLINK("https://finance.yahoo.com/quote/PRSI","PRSI")</f>
        <v/>
      </c>
      <c r="B6329" t="inlineStr">
        <is>
          <t>PORTSMOUTH SQUARE INC</t>
        </is>
      </c>
      <c r="C6329" t="inlineStr">
        <is>
          <t>OTC</t>
        </is>
      </c>
      <c r="D6329" t="n">
        <v>79661</v>
      </c>
      <c r="E6329" t="inlineStr">
        <is>
          <t>SEC</t>
        </is>
      </c>
    </row>
    <row r="6330">
      <c r="A6330" s="5">
        <f>HYPERLINK("https://finance.yahoo.com/quote/EMMA","EMMA")</f>
        <v/>
      </c>
      <c r="B6330" t="inlineStr">
        <is>
          <t>Emmaus Life Sciences, Inc.</t>
        </is>
      </c>
      <c r="C6330" t="inlineStr">
        <is>
          <t>OTC</t>
        </is>
      </c>
      <c r="D6330" t="n">
        <v>822370</v>
      </c>
      <c r="E6330" t="inlineStr">
        <is>
          <t>SEC</t>
        </is>
      </c>
    </row>
    <row r="6331">
      <c r="A6331" s="5">
        <f>HYPERLINK("https://finance.yahoo.com/quote/ZBAO","ZBAO")</f>
        <v/>
      </c>
      <c r="B6331" t="inlineStr">
        <is>
          <t>Zhibao Technology Inc.</t>
        </is>
      </c>
      <c r="C6331" t="inlineStr">
        <is>
          <t>Nasdaq</t>
        </is>
      </c>
      <c r="D6331" t="n">
        <v>1966750</v>
      </c>
      <c r="E6331" t="inlineStr">
        <is>
          <t>SEC</t>
        </is>
      </c>
    </row>
    <row r="6332">
      <c r="A6332" s="5">
        <f>HYPERLINK("https://finance.yahoo.com/quote/RECX","RECX")</f>
        <v/>
      </c>
      <c r="B6332" t="inlineStr">
        <is>
          <t>Recreatives Industries, Inc.</t>
        </is>
      </c>
      <c r="C6332" t="inlineStr">
        <is>
          <t>OTC</t>
        </is>
      </c>
      <c r="D6332" t="n">
        <v>2126221</v>
      </c>
      <c r="E6332" t="inlineStr">
        <is>
          <t>SEC</t>
        </is>
      </c>
    </row>
    <row r="6333">
      <c r="A6333" s="5">
        <f>HYPERLINK("https://finance.yahoo.com/quote/DFSC","DFSC")</f>
        <v/>
      </c>
      <c r="B6333" t="inlineStr">
        <is>
          <t>DEFSEC Technologies Inc.</t>
        </is>
      </c>
      <c r="C6333" t="inlineStr">
        <is>
          <t>Nasdaq</t>
        </is>
      </c>
      <c r="D6333" t="n">
        <v>1889823</v>
      </c>
      <c r="E6333" t="inlineStr">
        <is>
          <t>SEC</t>
        </is>
      </c>
    </row>
    <row r="6334">
      <c r="A6334" s="5">
        <f>HYPERLINK("https://finance.yahoo.com/quote/RHEP","RHEP")</f>
        <v/>
      </c>
      <c r="B6334" t="inlineStr">
        <is>
          <t>REGIONAL HEALTH PROPERTIES, INC</t>
        </is>
      </c>
      <c r="C6334" t="inlineStr">
        <is>
          <t>OTC</t>
        </is>
      </c>
      <c r="D6334" t="n">
        <v>1004724</v>
      </c>
      <c r="E6334" t="inlineStr">
        <is>
          <t>SEC</t>
        </is>
      </c>
    </row>
    <row r="6335">
      <c r="A6335" s="5">
        <f>HYPERLINK("https://finance.yahoo.com/quote/ROIUF","ROIUF")</f>
        <v/>
      </c>
      <c r="B6335" t="inlineStr">
        <is>
          <t>Route1 Inc.</t>
        </is>
      </c>
      <c r="C6335" t="inlineStr">
        <is>
          <t>OTC</t>
        </is>
      </c>
      <c r="D6335" t="n">
        <v>1736289</v>
      </c>
      <c r="E6335" t="inlineStr">
        <is>
          <t>SEC</t>
        </is>
      </c>
    </row>
    <row r="6336">
      <c r="A6336" s="5">
        <f>HYPERLINK("https://finance.yahoo.com/quote/XPON","XPON")</f>
        <v/>
      </c>
      <c r="B6336" t="inlineStr">
        <is>
          <t>Expion Energy, Inc.</t>
        </is>
      </c>
      <c r="C6336" t="inlineStr">
        <is>
          <t>Nasdaq</t>
        </is>
      </c>
      <c r="D6336" t="n">
        <v>1894954</v>
      </c>
      <c r="E6336" t="inlineStr">
        <is>
          <t>SEC</t>
        </is>
      </c>
    </row>
    <row r="6337">
      <c r="A6337" s="5">
        <f>HYPERLINK("https://finance.yahoo.com/quote/JAGX","JAGX")</f>
        <v/>
      </c>
      <c r="B6337" t="inlineStr">
        <is>
          <t>Jaguar Health, Inc.</t>
        </is>
      </c>
      <c r="C6337" t="inlineStr">
        <is>
          <t>Nasdaq</t>
        </is>
      </c>
      <c r="D6337" t="n">
        <v>1585608</v>
      </c>
      <c r="E6337" t="inlineStr">
        <is>
          <t>SEC</t>
        </is>
      </c>
    </row>
    <row r="6338">
      <c r="A6338" s="5">
        <f>HYPERLINK("https://finance.yahoo.com/quote/JTAI","JTAI")</f>
        <v/>
      </c>
      <c r="B6338" t="inlineStr">
        <is>
          <t>Jet.AI Inc.</t>
        </is>
      </c>
      <c r="C6338" t="inlineStr">
        <is>
          <t>Nasdaq</t>
        </is>
      </c>
      <c r="D6338" t="n">
        <v>1861622</v>
      </c>
      <c r="E6338" t="inlineStr">
        <is>
          <t>SEC</t>
        </is>
      </c>
    </row>
    <row r="6339">
      <c r="A6339" s="5">
        <f>HYPERLINK("https://finance.yahoo.com/quote/YCBD","YCBD")</f>
        <v/>
      </c>
      <c r="B6339" t="inlineStr">
        <is>
          <t>cbdMD, Inc.</t>
        </is>
      </c>
      <c r="C6339" t="inlineStr">
        <is>
          <t>NYSE</t>
        </is>
      </c>
      <c r="D6339" t="n">
        <v>1644903</v>
      </c>
      <c r="E6339" t="inlineStr">
        <is>
          <t>SEC</t>
        </is>
      </c>
    </row>
    <row r="6340">
      <c r="A6340" s="5">
        <f>HYPERLINK("https://finance.yahoo.com/quote/EJH","EJH")</f>
        <v/>
      </c>
      <c r="B6340" t="inlineStr">
        <is>
          <t>E-Home Household Service Holdings Ltd</t>
        </is>
      </c>
      <c r="C6340" t="inlineStr">
        <is>
          <t>Nasdaq</t>
        </is>
      </c>
      <c r="D6340" t="n">
        <v>1769768</v>
      </c>
      <c r="E6340" t="inlineStr">
        <is>
          <t>SEC</t>
        </is>
      </c>
    </row>
    <row r="6341">
      <c r="A6341" s="5">
        <f>HYPERLINK("https://finance.yahoo.com/quote/HYFM","HYFM")</f>
        <v/>
      </c>
      <c r="B6341" t="inlineStr">
        <is>
          <t>HYDROFARM HOLDINGS GROUP, INC.</t>
        </is>
      </c>
      <c r="C6341" t="inlineStr">
        <is>
          <t>Nasdaq</t>
        </is>
      </c>
      <c r="D6341" t="n">
        <v>1695295</v>
      </c>
      <c r="E6341" t="inlineStr">
        <is>
          <t>SEC</t>
        </is>
      </c>
    </row>
    <row r="6342">
      <c r="A6342" s="5">
        <f>HYPERLINK("https://finance.yahoo.com/quote/SRCO","SRCO")</f>
        <v/>
      </c>
      <c r="B6342" t="inlineStr">
        <is>
          <t>SPARTA COMMERCIAL SERVICES, INC.</t>
        </is>
      </c>
      <c r="C6342" t="inlineStr">
        <is>
          <t>OTC</t>
        </is>
      </c>
      <c r="D6342" t="n">
        <v>318299</v>
      </c>
      <c r="E6342" t="inlineStr">
        <is>
          <t>SEC</t>
        </is>
      </c>
    </row>
    <row r="6343">
      <c r="A6343" s="5">
        <f>HYPERLINK("https://finance.yahoo.com/quote/RMSG","RMSG")</f>
        <v/>
      </c>
      <c r="B6343" t="inlineStr">
        <is>
          <t>Real Messenger Corp</t>
        </is>
      </c>
      <c r="C6343" t="inlineStr">
        <is>
          <t>Nasdaq</t>
        </is>
      </c>
      <c r="D6343" t="n">
        <v>1983324</v>
      </c>
      <c r="E6343" t="inlineStr">
        <is>
          <t>SEC</t>
        </is>
      </c>
    </row>
    <row r="6344">
      <c r="A6344" s="5">
        <f>HYPERLINK("https://finance.yahoo.com/quote/DRMA","DRMA")</f>
        <v/>
      </c>
      <c r="B6344" t="inlineStr">
        <is>
          <t>Dermata Therapeutics, Inc.</t>
        </is>
      </c>
      <c r="C6344" t="inlineStr">
        <is>
          <t>Nasdaq</t>
        </is>
      </c>
      <c r="D6344" t="n">
        <v>1853816</v>
      </c>
      <c r="E6344" t="inlineStr">
        <is>
          <t>SEC</t>
        </is>
      </c>
    </row>
    <row r="6345">
      <c r="A6345" s="5">
        <f>HYPERLINK("https://finance.yahoo.com/quote/PMCB","PMCB")</f>
        <v/>
      </c>
      <c r="B6345" t="inlineStr">
        <is>
          <t>PharmaCyte Biotech, Inc.</t>
        </is>
      </c>
      <c r="C6345" t="inlineStr">
        <is>
          <t>Nasdaq</t>
        </is>
      </c>
      <c r="D6345" t="n">
        <v>1157075</v>
      </c>
      <c r="E6345" t="inlineStr">
        <is>
          <t>SEC</t>
        </is>
      </c>
    </row>
    <row r="6346">
      <c r="A6346" s="5">
        <f>HYPERLINK("https://finance.yahoo.com/quote/AMBIQ","AMBIQ")</f>
        <v/>
      </c>
      <c r="B6346" t="inlineStr">
        <is>
          <t>Ambipar Emergency Response</t>
        </is>
      </c>
      <c r="C6346" t="inlineStr"/>
      <c r="D6346" t="n">
        <v>1937441</v>
      </c>
      <c r="E6346" t="inlineStr">
        <is>
          <t>SEC</t>
        </is>
      </c>
    </row>
    <row r="6347">
      <c r="A6347" s="5">
        <f>HYPERLINK("https://finance.yahoo.com/quote/CODX","CODX")</f>
        <v/>
      </c>
      <c r="B6347" t="inlineStr">
        <is>
          <t>Co-Diagnostics, Inc.</t>
        </is>
      </c>
      <c r="C6347" t="inlineStr">
        <is>
          <t>Nasdaq</t>
        </is>
      </c>
      <c r="D6347" t="n">
        <v>1692415</v>
      </c>
      <c r="E6347" t="inlineStr">
        <is>
          <t>SEC</t>
        </is>
      </c>
    </row>
    <row r="6348">
      <c r="A6348" s="5">
        <f>HYPERLINK("https://finance.yahoo.com/quote/CNET","CNET")</f>
        <v/>
      </c>
      <c r="B6348" t="inlineStr">
        <is>
          <t>ZW Data Action Technologies Inc.</t>
        </is>
      </c>
      <c r="C6348" t="inlineStr">
        <is>
          <t>Nasdaq</t>
        </is>
      </c>
      <c r="D6348" t="n">
        <v>1376321</v>
      </c>
      <c r="E6348" t="inlineStr">
        <is>
          <t>SEC</t>
        </is>
      </c>
    </row>
    <row r="6349">
      <c r="A6349" s="5">
        <f>HYPERLINK("https://finance.yahoo.com/quote/ABTS","ABTS")</f>
        <v/>
      </c>
      <c r="B6349" t="inlineStr">
        <is>
          <t>Abits Group Inc</t>
        </is>
      </c>
      <c r="C6349" t="inlineStr">
        <is>
          <t>Nasdaq</t>
        </is>
      </c>
      <c r="D6349" t="n">
        <v>1864055</v>
      </c>
      <c r="E6349" t="inlineStr">
        <is>
          <t>SEC</t>
        </is>
      </c>
    </row>
    <row r="6350">
      <c r="A6350" s="5">
        <f>HYPERLINK("https://finance.yahoo.com/quote/FFAI","FFAI")</f>
        <v/>
      </c>
      <c r="B6350" t="inlineStr">
        <is>
          <t>FARADAY FUTURE INTELLIGENT ELECTRIC INC.</t>
        </is>
      </c>
      <c r="C6350" t="inlineStr">
        <is>
          <t>Nasdaq</t>
        </is>
      </c>
      <c r="D6350" t="n">
        <v>1805521</v>
      </c>
      <c r="E6350" t="inlineStr">
        <is>
          <t>SEC</t>
        </is>
      </c>
    </row>
    <row r="6351">
      <c r="A6351" s="5">
        <f>HYPERLINK("https://finance.yahoo.com/quote/AMSS","AMSS")</f>
        <v/>
      </c>
      <c r="B6351" t="inlineStr">
        <is>
          <t>AMASS BRANDS</t>
        </is>
      </c>
      <c r="C6351" t="inlineStr">
        <is>
          <t>Nasdaq</t>
        </is>
      </c>
      <c r="D6351" t="n">
        <v>1851491</v>
      </c>
      <c r="E6351" t="inlineStr">
        <is>
          <t>SEC</t>
        </is>
      </c>
    </row>
    <row r="6352">
      <c r="A6352" s="5">
        <f>HYPERLINK("https://finance.yahoo.com/quote/MTR","MTR")</f>
        <v/>
      </c>
      <c r="B6352" t="inlineStr">
        <is>
          <t>MESA ROYALTY TRUST/TX</t>
        </is>
      </c>
      <c r="C6352" t="inlineStr">
        <is>
          <t>NYSE</t>
        </is>
      </c>
      <c r="D6352" t="n">
        <v>313364</v>
      </c>
      <c r="E6352" t="inlineStr">
        <is>
          <t>SEC</t>
        </is>
      </c>
    </row>
    <row r="6353">
      <c r="A6353" s="5">
        <f>HYPERLINK("https://finance.yahoo.com/quote/CJMB","CJMB")</f>
        <v/>
      </c>
      <c r="B6353" t="inlineStr">
        <is>
          <t>CALLAN JMB INC.</t>
        </is>
      </c>
      <c r="C6353" t="inlineStr">
        <is>
          <t>Nasdaq</t>
        </is>
      </c>
      <c r="D6353" t="n">
        <v>2032545</v>
      </c>
      <c r="E6353" t="inlineStr">
        <is>
          <t>SEC</t>
        </is>
      </c>
    </row>
    <row r="6354">
      <c r="A6354" s="5">
        <f>HYPERLINK("https://finance.yahoo.com/quote/HVGDF","HVGDF")</f>
        <v/>
      </c>
      <c r="B6354" t="inlineStr">
        <is>
          <t>HARVEST GOLD CORP</t>
        </is>
      </c>
      <c r="C6354" t="inlineStr">
        <is>
          <t>OTC</t>
        </is>
      </c>
      <c r="D6354" t="n">
        <v>921968</v>
      </c>
      <c r="E6354" t="inlineStr">
        <is>
          <t>SEC</t>
        </is>
      </c>
    </row>
    <row r="6355">
      <c r="A6355" s="5">
        <f>HYPERLINK("https://finance.yahoo.com/quote/GVH","GVH")</f>
        <v/>
      </c>
      <c r="B6355" t="inlineStr">
        <is>
          <t>Globavend Holdings Ltd</t>
        </is>
      </c>
      <c r="C6355" t="inlineStr">
        <is>
          <t>Nasdaq</t>
        </is>
      </c>
      <c r="D6355" t="n">
        <v>1978527</v>
      </c>
      <c r="E6355" t="inlineStr">
        <is>
          <t>SEC</t>
        </is>
      </c>
    </row>
    <row r="6356">
      <c r="A6356" s="5">
        <f>HYPERLINK("https://finance.yahoo.com/quote/IBG","IBG")</f>
        <v/>
      </c>
      <c r="B6356" t="inlineStr">
        <is>
          <t>Innovation Beverage Group Ltd</t>
        </is>
      </c>
      <c r="C6356" t="inlineStr">
        <is>
          <t>Nasdaq</t>
        </is>
      </c>
      <c r="D6356" t="n">
        <v>1924482</v>
      </c>
      <c r="E6356" t="inlineStr">
        <is>
          <t>SEC</t>
        </is>
      </c>
    </row>
    <row r="6357">
      <c r="A6357" s="5">
        <f>HYPERLINK("https://finance.yahoo.com/quote/KALA","KALA")</f>
        <v/>
      </c>
      <c r="B6357" t="inlineStr">
        <is>
          <t>KALA BIO, Inc.</t>
        </is>
      </c>
      <c r="C6357" t="inlineStr">
        <is>
          <t>Nasdaq</t>
        </is>
      </c>
      <c r="D6357" t="n">
        <v>1479419</v>
      </c>
      <c r="E6357" t="inlineStr">
        <is>
          <t>SEC</t>
        </is>
      </c>
    </row>
    <row r="6358">
      <c r="A6358" s="5">
        <f>HYPERLINK("https://finance.yahoo.com/quote/CYAB","CYAB")</f>
        <v/>
      </c>
      <c r="B6358" t="inlineStr">
        <is>
          <t>CYABRA, INC.</t>
        </is>
      </c>
      <c r="C6358" t="inlineStr">
        <is>
          <t>Nasdaq</t>
        </is>
      </c>
      <c r="D6358" t="n">
        <v>2032341</v>
      </c>
      <c r="E6358" t="inlineStr">
        <is>
          <t>SEC</t>
        </is>
      </c>
    </row>
    <row r="6359">
      <c r="A6359" s="5">
        <f>HYPERLINK("https://finance.yahoo.com/quote/ZSPC","ZSPC")</f>
        <v/>
      </c>
      <c r="B6359" t="inlineStr">
        <is>
          <t>zSpace, Inc.</t>
        </is>
      </c>
      <c r="C6359" t="inlineStr">
        <is>
          <t>OTC</t>
        </is>
      </c>
      <c r="D6359" t="n">
        <v>1637147</v>
      </c>
      <c r="E6359" t="inlineStr">
        <is>
          <t>SEC</t>
        </is>
      </c>
    </row>
    <row r="6360">
      <c r="A6360" s="5">
        <f>HYPERLINK("https://finance.yahoo.com/quote/RDHL","RDHL")</f>
        <v/>
      </c>
      <c r="B6360" t="inlineStr">
        <is>
          <t>RedHill Biopharma Ltd.</t>
        </is>
      </c>
      <c r="C6360" t="inlineStr">
        <is>
          <t>Nasdaq</t>
        </is>
      </c>
      <c r="D6360" t="n">
        <v>1553846</v>
      </c>
      <c r="E6360" t="inlineStr">
        <is>
          <t>SEC</t>
        </is>
      </c>
    </row>
    <row r="6361">
      <c r="A6361" s="5">
        <f>HYPERLINK("https://finance.yahoo.com/quote/BIAF","BIAF")</f>
        <v/>
      </c>
      <c r="B6361" t="inlineStr">
        <is>
          <t>bioAffinity Technologies, Inc.</t>
        </is>
      </c>
      <c r="C6361" t="inlineStr">
        <is>
          <t>Nasdaq</t>
        </is>
      </c>
      <c r="D6361" t="n">
        <v>1712762</v>
      </c>
      <c r="E6361" t="inlineStr">
        <is>
          <t>SEC</t>
        </is>
      </c>
    </row>
    <row r="6362">
      <c r="A6362" s="5">
        <f>HYPERLINK("https://finance.yahoo.com/quote/GRHI","GRHI")</f>
        <v/>
      </c>
      <c r="B6362" t="inlineStr">
        <is>
          <t>GOLD ROCK HOLDINGS, INC.</t>
        </is>
      </c>
      <c r="C6362" t="inlineStr">
        <is>
          <t>OTC</t>
        </is>
      </c>
      <c r="D6362" t="n">
        <v>894501</v>
      </c>
      <c r="E6362" t="inlineStr">
        <is>
          <t>SEC</t>
        </is>
      </c>
    </row>
    <row r="6363">
      <c r="A6363" s="5">
        <f>HYPERLINK("https://finance.yahoo.com/quote/PMHS","PMHS")</f>
        <v/>
      </c>
      <c r="B6363" t="inlineStr">
        <is>
          <t>Polomar Health Services, Inc.</t>
        </is>
      </c>
      <c r="C6363" t="inlineStr">
        <is>
          <t>OTC</t>
        </is>
      </c>
      <c r="D6363" t="n">
        <v>1265521</v>
      </c>
      <c r="E6363" t="inlineStr">
        <is>
          <t>SEC</t>
        </is>
      </c>
    </row>
    <row r="6364">
      <c r="A6364" s="5">
        <f>HYPERLINK("https://finance.yahoo.com/quote/JUNS","JUNS")</f>
        <v/>
      </c>
      <c r="B6364" t="inlineStr">
        <is>
          <t>JUPITER NEUROSCIENCES, INC.</t>
        </is>
      </c>
      <c r="C6364" t="inlineStr">
        <is>
          <t>Nasdaq</t>
        </is>
      </c>
      <c r="D6364" t="n">
        <v>1679628</v>
      </c>
      <c r="E6364" t="inlineStr">
        <is>
          <t>SEC</t>
        </is>
      </c>
    </row>
    <row r="6365">
      <c r="A6365" s="5">
        <f>HYPERLINK("https://finance.yahoo.com/quote/BRQSF","BRQSF")</f>
        <v/>
      </c>
      <c r="B6365" t="inlineStr">
        <is>
          <t>Borqs Technologies, Inc.</t>
        </is>
      </c>
      <c r="C6365" t="inlineStr">
        <is>
          <t>OTC</t>
        </is>
      </c>
      <c r="D6365" t="n">
        <v>1650575</v>
      </c>
      <c r="E6365" t="inlineStr">
        <is>
          <t>SEC</t>
        </is>
      </c>
    </row>
    <row r="6366">
      <c r="A6366" s="5">
        <f>HYPERLINK("https://finance.yahoo.com/quote/WBUY","WBUY")</f>
        <v/>
      </c>
      <c r="B6366" t="inlineStr">
        <is>
          <t>WEBUY GLOBAL LTD</t>
        </is>
      </c>
      <c r="C6366" t="inlineStr">
        <is>
          <t>Nasdaq</t>
        </is>
      </c>
      <c r="D6366" t="n">
        <v>1946703</v>
      </c>
      <c r="E6366" t="inlineStr">
        <is>
          <t>SEC</t>
        </is>
      </c>
    </row>
    <row r="6367">
      <c r="A6367" s="5">
        <f>HYPERLINK("https://finance.yahoo.com/quote/EZRA","EZRA")</f>
        <v/>
      </c>
      <c r="B6367" t="inlineStr">
        <is>
          <t>Reliance Global Group, Inc.</t>
        </is>
      </c>
      <c r="C6367" t="inlineStr">
        <is>
          <t>Nasdaq</t>
        </is>
      </c>
      <c r="D6367" t="n">
        <v>1812727</v>
      </c>
      <c r="E6367" t="inlineStr">
        <is>
          <t>SEC</t>
        </is>
      </c>
    </row>
    <row r="6368">
      <c r="A6368" s="5">
        <f>HYPERLINK("https://finance.yahoo.com/quote/NBLXF","NBLXF")</f>
        <v/>
      </c>
      <c r="B6368" t="inlineStr">
        <is>
          <t>Noble Plains Uranium Corp.</t>
        </is>
      </c>
      <c r="C6368" t="inlineStr">
        <is>
          <t>OTC</t>
        </is>
      </c>
      <c r="D6368" t="n">
        <v>1813419</v>
      </c>
      <c r="E6368" t="inlineStr">
        <is>
          <t>SEC</t>
        </is>
      </c>
    </row>
    <row r="6369">
      <c r="A6369" s="5">
        <f>HYPERLINK("https://finance.yahoo.com/quote/MDCX","MDCX")</f>
        <v/>
      </c>
      <c r="B6369" t="inlineStr">
        <is>
          <t>Medicus Pharma Ltd.</t>
        </is>
      </c>
      <c r="C6369" t="inlineStr">
        <is>
          <t>Nasdaq</t>
        </is>
      </c>
      <c r="D6369" t="n">
        <v>1997296</v>
      </c>
      <c r="E6369" t="inlineStr">
        <is>
          <t>SEC</t>
        </is>
      </c>
    </row>
    <row r="6370">
      <c r="A6370" s="5">
        <f>HYPERLINK("https://finance.yahoo.com/quote/AUMN","AUMN")</f>
        <v/>
      </c>
      <c r="B6370" t="inlineStr">
        <is>
          <t>Golden Minerals Co</t>
        </is>
      </c>
      <c r="C6370" t="inlineStr">
        <is>
          <t>OTC</t>
        </is>
      </c>
      <c r="D6370" t="n">
        <v>1011509</v>
      </c>
      <c r="E6370" t="inlineStr">
        <is>
          <t>SEC</t>
        </is>
      </c>
    </row>
    <row r="6371">
      <c r="A6371" s="5">
        <f>HYPERLINK("https://finance.yahoo.com/quote/UZX","UZX")</f>
        <v/>
      </c>
      <c r="B6371" t="inlineStr">
        <is>
          <t>Linkage Global Inc</t>
        </is>
      </c>
      <c r="C6371" t="inlineStr">
        <is>
          <t>Nasdaq</t>
        </is>
      </c>
      <c r="D6371" t="n">
        <v>1969401</v>
      </c>
      <c r="E6371" t="inlineStr">
        <is>
          <t>SEC</t>
        </is>
      </c>
    </row>
    <row r="6372">
      <c r="A6372" s="5">
        <f>HYPERLINK("https://finance.yahoo.com/quote/NVSGF","NVSGF")</f>
        <v/>
      </c>
      <c r="B6372" t="inlineStr">
        <is>
          <t>Nevada Sunrise Metals Corp.</t>
        </is>
      </c>
      <c r="C6372" t="inlineStr">
        <is>
          <t>OTC</t>
        </is>
      </c>
      <c r="D6372" t="n">
        <v>1415758</v>
      </c>
      <c r="E6372" t="inlineStr">
        <is>
          <t>SEC</t>
        </is>
      </c>
    </row>
    <row r="6373">
      <c r="A6373" s="5">
        <f>HYPERLINK("https://finance.yahoo.com/quote/ENLV","ENLV")</f>
        <v/>
      </c>
      <c r="B6373" t="inlineStr">
        <is>
          <t>Enlivex Ltd.</t>
        </is>
      </c>
      <c r="C6373" t="inlineStr">
        <is>
          <t>Nasdaq</t>
        </is>
      </c>
      <c r="D6373" t="n">
        <v>1596812</v>
      </c>
      <c r="E6373" t="inlineStr">
        <is>
          <t>SEC</t>
        </is>
      </c>
    </row>
    <row r="6374">
      <c r="A6374" s="5">
        <f>HYPERLINK("https://finance.yahoo.com/quote/BGLC","BGLC")</f>
        <v/>
      </c>
      <c r="B6374" t="inlineStr">
        <is>
          <t>BioNexus Gene Lab Corp</t>
        </is>
      </c>
      <c r="C6374" t="inlineStr">
        <is>
          <t>Nasdaq</t>
        </is>
      </c>
      <c r="D6374" t="n">
        <v>1737523</v>
      </c>
      <c r="E6374" t="inlineStr">
        <is>
          <t>SEC</t>
        </is>
      </c>
    </row>
    <row r="6375">
      <c r="A6375" s="5">
        <f>HYPERLINK("https://finance.yahoo.com/quote/NCRA","NCRA")</f>
        <v/>
      </c>
      <c r="B6375" t="inlineStr">
        <is>
          <t>NOCERA, INC.</t>
        </is>
      </c>
      <c r="C6375" t="inlineStr">
        <is>
          <t>Nasdaq</t>
        </is>
      </c>
      <c r="D6375" t="n">
        <v>1756180</v>
      </c>
      <c r="E6375" t="inlineStr">
        <is>
          <t>SEC</t>
        </is>
      </c>
    </row>
    <row r="6376">
      <c r="A6376" s="5">
        <f>HYPERLINK("https://finance.yahoo.com/quote/BQ","BQ")</f>
        <v/>
      </c>
      <c r="B6376" t="inlineStr">
        <is>
          <t>Boqii Holding Ltd</t>
        </is>
      </c>
      <c r="C6376" t="inlineStr">
        <is>
          <t>NYSE</t>
        </is>
      </c>
      <c r="D6376" t="n">
        <v>1815021</v>
      </c>
      <c r="E6376" t="inlineStr">
        <is>
          <t>SEC</t>
        </is>
      </c>
    </row>
    <row r="6377">
      <c r="A6377" s="5">
        <f>HYPERLINK("https://finance.yahoo.com/quote/TAOP","TAOP")</f>
        <v/>
      </c>
      <c r="B6377" t="inlineStr">
        <is>
          <t>Taoping Inc.</t>
        </is>
      </c>
      <c r="C6377" t="inlineStr">
        <is>
          <t>Nasdaq</t>
        </is>
      </c>
      <c r="D6377" t="n">
        <v>1552670</v>
      </c>
      <c r="E6377" t="inlineStr">
        <is>
          <t>SEC</t>
        </is>
      </c>
    </row>
    <row r="6378">
      <c r="A6378" s="5">
        <f>HYPERLINK("https://finance.yahoo.com/quote/CDTG","CDTG")</f>
        <v/>
      </c>
      <c r="B6378" t="inlineStr">
        <is>
          <t>CDT Environmental Technology Investment Holdings Ltd</t>
        </is>
      </c>
      <c r="C6378" t="inlineStr">
        <is>
          <t>Nasdaq</t>
        </is>
      </c>
      <c r="D6378" t="n">
        <v>1793895</v>
      </c>
      <c r="E6378" t="inlineStr">
        <is>
          <t>SEC</t>
        </is>
      </c>
    </row>
    <row r="6379">
      <c r="A6379" s="5">
        <f>HYPERLINK("https://finance.yahoo.com/quote/VNTXF","VNTXF")</f>
        <v/>
      </c>
      <c r="B6379" t="inlineStr">
        <is>
          <t>VANTA HOLDINGS INC.</t>
        </is>
      </c>
      <c r="C6379" t="inlineStr">
        <is>
          <t>OTC</t>
        </is>
      </c>
      <c r="D6379" t="n">
        <v>1754180</v>
      </c>
      <c r="E6379" t="inlineStr">
        <is>
          <t>SEC</t>
        </is>
      </c>
    </row>
    <row r="6380">
      <c r="A6380" s="5">
        <f>HYPERLINK("https://finance.yahoo.com/quote/VIIQ","VIIQ")</f>
        <v/>
      </c>
      <c r="B6380" t="inlineStr">
        <is>
          <t>VisitIQ Corp.</t>
        </is>
      </c>
      <c r="C6380" t="inlineStr">
        <is>
          <t>OTC</t>
        </is>
      </c>
      <c r="D6380" t="n">
        <v>1470129</v>
      </c>
      <c r="E6380" t="inlineStr">
        <is>
          <t>SEC</t>
        </is>
      </c>
    </row>
    <row r="6381">
      <c r="A6381" s="5">
        <f>HYPERLINK("https://finance.yahoo.com/quote/BMXI","BMXI")</f>
        <v/>
      </c>
      <c r="B6381" t="inlineStr">
        <is>
          <t>BROOKMOUNT EXPLORATIONS INC</t>
        </is>
      </c>
      <c r="C6381" t="inlineStr">
        <is>
          <t>OTC</t>
        </is>
      </c>
      <c r="D6381" t="n">
        <v>1122993</v>
      </c>
      <c r="E6381" t="inlineStr">
        <is>
          <t>SEC</t>
        </is>
      </c>
    </row>
    <row r="6382">
      <c r="A6382" s="5">
        <f>HYPERLINK("https://finance.yahoo.com/quote/FCUV","FCUV")</f>
        <v/>
      </c>
      <c r="B6382" t="inlineStr">
        <is>
          <t>FOCUS UNIVERSAL INC.</t>
        </is>
      </c>
      <c r="C6382" t="inlineStr">
        <is>
          <t>Nasdaq</t>
        </is>
      </c>
      <c r="D6382" t="n">
        <v>1590418</v>
      </c>
      <c r="E6382" t="inlineStr">
        <is>
          <t>SEC</t>
        </is>
      </c>
    </row>
    <row r="6383">
      <c r="A6383" s="5">
        <f>HYPERLINK("https://finance.yahoo.com/quote/KCRD","KCRD")</f>
        <v/>
      </c>
      <c r="B6383" t="inlineStr">
        <is>
          <t>Kindcard, Inc.</t>
        </is>
      </c>
      <c r="C6383" t="inlineStr">
        <is>
          <t>OTC</t>
        </is>
      </c>
      <c r="D6383" t="n">
        <v>1696025</v>
      </c>
      <c r="E6383" t="inlineStr">
        <is>
          <t>SEC</t>
        </is>
      </c>
    </row>
    <row r="6384">
      <c r="A6384" s="5">
        <f>HYPERLINK("https://finance.yahoo.com/quote/ERNA","ERNA")</f>
        <v/>
      </c>
      <c r="B6384" t="inlineStr">
        <is>
          <t>Ernexa Therapeutics Inc.</t>
        </is>
      </c>
      <c r="C6384" t="inlineStr">
        <is>
          <t>Nasdaq</t>
        </is>
      </c>
      <c r="D6384" t="n">
        <v>748592</v>
      </c>
      <c r="E6384" t="inlineStr">
        <is>
          <t>SEC</t>
        </is>
      </c>
    </row>
    <row r="6385">
      <c r="A6385" s="5">
        <f>HYPERLINK("https://finance.yahoo.com/quote/YHC","YHC")</f>
        <v/>
      </c>
      <c r="B6385" t="inlineStr">
        <is>
          <t>LQR House Inc.</t>
        </is>
      </c>
      <c r="C6385" t="inlineStr">
        <is>
          <t>Nasdaq</t>
        </is>
      </c>
      <c r="D6385" t="n">
        <v>1843165</v>
      </c>
      <c r="E6385" t="inlineStr">
        <is>
          <t>SEC</t>
        </is>
      </c>
    </row>
    <row r="6386">
      <c r="A6386" s="5">
        <f>HYPERLINK("https://finance.yahoo.com/quote/CVKD","CVKD")</f>
        <v/>
      </c>
      <c r="B6386" t="inlineStr">
        <is>
          <t>Cadrenal Therapeutics, Inc.</t>
        </is>
      </c>
      <c r="C6386" t="inlineStr">
        <is>
          <t>Nasdaq</t>
        </is>
      </c>
      <c r="D6386" t="n">
        <v>1937993</v>
      </c>
      <c r="E6386" t="inlineStr">
        <is>
          <t>SEC</t>
        </is>
      </c>
    </row>
    <row r="6387">
      <c r="A6387" s="5">
        <f>HYPERLINK("https://finance.yahoo.com/quote/SVRE","SVRE")</f>
        <v/>
      </c>
      <c r="B6387" t="inlineStr">
        <is>
          <t>SaverOne 2014 Ltd.</t>
        </is>
      </c>
      <c r="C6387" t="inlineStr">
        <is>
          <t>Nasdaq</t>
        </is>
      </c>
      <c r="D6387" t="n">
        <v>1894693</v>
      </c>
      <c r="E6387" t="inlineStr">
        <is>
          <t>SEC</t>
        </is>
      </c>
    </row>
    <row r="6388">
      <c r="A6388" s="5">
        <f>HYPERLINK("https://finance.yahoo.com/quote/HIHO","HIHO")</f>
        <v/>
      </c>
      <c r="B6388" t="inlineStr">
        <is>
          <t>HIGHWAY HOLDINGS LTD</t>
        </is>
      </c>
      <c r="C6388" t="inlineStr">
        <is>
          <t>Nasdaq</t>
        </is>
      </c>
      <c r="D6388" t="n">
        <v>1026785</v>
      </c>
      <c r="E6388" t="inlineStr">
        <is>
          <t>SEC</t>
        </is>
      </c>
    </row>
    <row r="6389">
      <c r="A6389" s="5">
        <f>HYPERLINK("https://finance.yahoo.com/quote/CRUCF","CRUCF")</f>
        <v/>
      </c>
      <c r="B6389" t="inlineStr">
        <is>
          <t>Colibri Resource Corp</t>
        </is>
      </c>
      <c r="C6389" t="inlineStr">
        <is>
          <t>OTC</t>
        </is>
      </c>
      <c r="D6389" t="n">
        <v>1734427</v>
      </c>
      <c r="E6389" t="inlineStr">
        <is>
          <t>SEC</t>
        </is>
      </c>
    </row>
    <row r="6390">
      <c r="A6390" s="5">
        <f>HYPERLINK("https://finance.yahoo.com/quote/KOGDF","KOGDF")</f>
        <v/>
      </c>
      <c r="B6390" t="inlineStr">
        <is>
          <t>KO Gold Inc.</t>
        </is>
      </c>
      <c r="C6390" t="inlineStr">
        <is>
          <t>OTC</t>
        </is>
      </c>
      <c r="D6390" t="n">
        <v>2008257</v>
      </c>
      <c r="E6390" t="inlineStr">
        <is>
          <t>SEC</t>
        </is>
      </c>
    </row>
    <row r="6391">
      <c r="A6391" s="5">
        <f>HYPERLINK("https://finance.yahoo.com/quote/ICON","ICON")</f>
        <v/>
      </c>
      <c r="B6391" t="inlineStr">
        <is>
          <t>Icon Energy Corp</t>
        </is>
      </c>
      <c r="C6391" t="inlineStr">
        <is>
          <t>Nasdaq</t>
        </is>
      </c>
      <c r="D6391" t="n">
        <v>1995574</v>
      </c>
      <c r="E6391" t="inlineStr">
        <is>
          <t>SEC</t>
        </is>
      </c>
    </row>
    <row r="6392">
      <c r="A6392" s="5">
        <f>HYPERLINK("https://finance.yahoo.com/quote/WLDS","WLDS")</f>
        <v/>
      </c>
      <c r="B6392" t="inlineStr">
        <is>
          <t>Wearable Devices Ltd.</t>
        </is>
      </c>
      <c r="C6392" t="inlineStr">
        <is>
          <t>Nasdaq</t>
        </is>
      </c>
      <c r="D6392" t="n">
        <v>1887673</v>
      </c>
      <c r="E6392" t="inlineStr">
        <is>
          <t>SEC</t>
        </is>
      </c>
    </row>
    <row r="6393">
      <c r="A6393" s="5">
        <f>HYPERLINK("https://finance.yahoo.com/quote/WFF","WFF")</f>
        <v/>
      </c>
      <c r="B6393" t="inlineStr">
        <is>
          <t>WF Holding Ltd</t>
        </is>
      </c>
      <c r="C6393" t="inlineStr">
        <is>
          <t>Nasdaq</t>
        </is>
      </c>
      <c r="D6393" t="n">
        <v>1980210</v>
      </c>
      <c r="E6393" t="inlineStr">
        <is>
          <t>SEC</t>
        </is>
      </c>
    </row>
    <row r="6394">
      <c r="A6394" s="5">
        <f>HYPERLINK("https://finance.yahoo.com/quote/ADMT","ADMT")</f>
        <v/>
      </c>
      <c r="B6394" t="inlineStr">
        <is>
          <t>ADM TRONICS UNLIMITED, INC.</t>
        </is>
      </c>
      <c r="C6394" t="inlineStr">
        <is>
          <t>OTC</t>
        </is>
      </c>
      <c r="D6394" t="n">
        <v>849401</v>
      </c>
      <c r="E6394" t="inlineStr">
        <is>
          <t>SEC</t>
        </is>
      </c>
    </row>
    <row r="6395">
      <c r="A6395" s="5">
        <f>HYPERLINK("https://finance.yahoo.com/quote/EOCN","EOCN")</f>
        <v/>
      </c>
      <c r="B6395" t="inlineStr">
        <is>
          <t>Galmed Pharmaceuticals Ltd.</t>
        </is>
      </c>
      <c r="C6395" t="inlineStr">
        <is>
          <t>Nasdaq</t>
        </is>
      </c>
      <c r="D6395" t="n">
        <v>1595353</v>
      </c>
      <c r="E6395" t="inlineStr">
        <is>
          <t>SEC</t>
        </is>
      </c>
    </row>
    <row r="6396">
      <c r="A6396" s="5">
        <f>HYPERLINK("https://finance.yahoo.com/quote/PLTYF","PLTYF")</f>
        <v/>
      </c>
      <c r="B6396" t="inlineStr">
        <is>
          <t>Plastec Technologies, Ltd.</t>
        </is>
      </c>
      <c r="C6396" t="inlineStr">
        <is>
          <t>OTC</t>
        </is>
      </c>
      <c r="D6396" t="n">
        <v>1433309</v>
      </c>
      <c r="E6396" t="inlineStr">
        <is>
          <t>SEC</t>
        </is>
      </c>
    </row>
    <row r="6397">
      <c r="A6397" s="5">
        <f>HYPERLINK("https://finance.yahoo.com/quote/POLA","POLA")</f>
        <v/>
      </c>
      <c r="B6397" t="inlineStr">
        <is>
          <t>Polar Power, Inc.</t>
        </is>
      </c>
      <c r="C6397" t="inlineStr">
        <is>
          <t>Nasdaq</t>
        </is>
      </c>
      <c r="D6397" t="n">
        <v>1622345</v>
      </c>
      <c r="E6397" t="inlineStr">
        <is>
          <t>SEC</t>
        </is>
      </c>
    </row>
    <row r="6398">
      <c r="A6398" s="5">
        <f>HYPERLINK("https://finance.yahoo.com/quote/DEFG","DEFG")</f>
        <v/>
      </c>
      <c r="B6398" t="inlineStr">
        <is>
          <t>Grayscale Decentralized Finance (DeFi) Fund LLC</t>
        </is>
      </c>
      <c r="C6398" t="inlineStr">
        <is>
          <t>OTC</t>
        </is>
      </c>
      <c r="D6398" t="n">
        <v>1874907</v>
      </c>
      <c r="E6398" t="inlineStr">
        <is>
          <t>SEC</t>
        </is>
      </c>
    </row>
    <row r="6399">
      <c r="A6399" s="5">
        <f>HYPERLINK("https://finance.yahoo.com/quote/CTTH","CTTH")</f>
        <v/>
      </c>
      <c r="B6399" t="inlineStr">
        <is>
          <t>CTT PHARMACEUTICAL HOLDINGS, INC.</t>
        </is>
      </c>
      <c r="C6399" t="inlineStr">
        <is>
          <t>OTC</t>
        </is>
      </c>
      <c r="D6399" t="n">
        <v>1035422</v>
      </c>
      <c r="E6399" t="inlineStr">
        <is>
          <t>SEC</t>
        </is>
      </c>
    </row>
    <row r="6400">
      <c r="A6400" s="5">
        <f>HYPERLINK("https://finance.yahoo.com/quote/FRSX","FRSX")</f>
        <v/>
      </c>
      <c r="B6400" t="inlineStr">
        <is>
          <t>Foresight Autonomous Holdings Ltd.</t>
        </is>
      </c>
      <c r="C6400" t="inlineStr">
        <is>
          <t>Nasdaq</t>
        </is>
      </c>
      <c r="D6400" t="n">
        <v>1691221</v>
      </c>
      <c r="E6400" t="inlineStr">
        <is>
          <t>SEC</t>
        </is>
      </c>
    </row>
    <row r="6401">
      <c r="A6401" s="5">
        <f>HYPERLINK("https://finance.yahoo.com/quote/OBAI","OBAI")</f>
        <v/>
      </c>
      <c r="B6401" t="inlineStr">
        <is>
          <t>Our Bond, Inc.</t>
        </is>
      </c>
      <c r="C6401" t="inlineStr">
        <is>
          <t>Nasdaq</t>
        </is>
      </c>
      <c r="D6401" t="n">
        <v>1756064</v>
      </c>
      <c r="E6401" t="inlineStr">
        <is>
          <t>SEC</t>
        </is>
      </c>
    </row>
    <row r="6402">
      <c r="A6402" s="5">
        <f>HYPERLINK("https://finance.yahoo.com/quote/HGTXU","HGTXU")</f>
        <v/>
      </c>
      <c r="B6402" t="inlineStr">
        <is>
          <t>HUGOTON ROYALTY TRUST</t>
        </is>
      </c>
      <c r="C6402" t="inlineStr">
        <is>
          <t>OTC</t>
        </is>
      </c>
      <c r="D6402" t="n">
        <v>862022</v>
      </c>
      <c r="E6402" t="inlineStr">
        <is>
          <t>SEC</t>
        </is>
      </c>
    </row>
    <row r="6403">
      <c r="A6403" s="5">
        <f>HYPERLINK("https://finance.yahoo.com/quote/YYAI","YYAI")</f>
        <v/>
      </c>
      <c r="B6403" t="inlineStr">
        <is>
          <t>AIRWA INC.</t>
        </is>
      </c>
      <c r="C6403" t="inlineStr">
        <is>
          <t>Nasdaq</t>
        </is>
      </c>
      <c r="D6403" t="n">
        <v>1674440</v>
      </c>
      <c r="E6403" t="inlineStr">
        <is>
          <t>SEC</t>
        </is>
      </c>
    </row>
    <row r="6404">
      <c r="A6404" s="5">
        <f>HYPERLINK("https://finance.yahoo.com/quote/CUEN","CUEN")</f>
        <v/>
      </c>
      <c r="B6404" t="inlineStr">
        <is>
          <t>Cuentas Inc.</t>
        </is>
      </c>
      <c r="C6404" t="inlineStr">
        <is>
          <t>OTC</t>
        </is>
      </c>
      <c r="D6404" t="n">
        <v>1424657</v>
      </c>
      <c r="E6404" t="inlineStr">
        <is>
          <t>SEC</t>
        </is>
      </c>
    </row>
    <row r="6405">
      <c r="A6405" s="5">
        <f>HYPERLINK("https://finance.yahoo.com/quote/MKZR","MKZR")</f>
        <v/>
      </c>
      <c r="B6405" t="inlineStr">
        <is>
          <t>MacKenzie Realty Capital, Inc.</t>
        </is>
      </c>
      <c r="C6405" t="inlineStr">
        <is>
          <t>Nasdaq</t>
        </is>
      </c>
      <c r="D6405" t="n">
        <v>1550913</v>
      </c>
      <c r="E6405" t="inlineStr">
        <is>
          <t>SEC</t>
        </is>
      </c>
    </row>
    <row r="6406">
      <c r="A6406" s="5">
        <f>HYPERLINK("https://finance.yahoo.com/quote/GP","GP")</f>
        <v/>
      </c>
      <c r="B6406" t="inlineStr">
        <is>
          <t>GREENPOWER MOTOR Co INC.</t>
        </is>
      </c>
      <c r="C6406" t="inlineStr">
        <is>
          <t>Nasdaq</t>
        </is>
      </c>
      <c r="D6406" t="n">
        <v>1584547</v>
      </c>
      <c r="E6406" t="inlineStr">
        <is>
          <t>SEC</t>
        </is>
      </c>
    </row>
    <row r="6407">
      <c r="A6407" s="5">
        <f>HYPERLINK("https://finance.yahoo.com/quote/GRI","GRI")</f>
        <v/>
      </c>
      <c r="B6407" t="inlineStr">
        <is>
          <t>GRI Bio, Inc.</t>
        </is>
      </c>
      <c r="C6407" t="inlineStr">
        <is>
          <t>Nasdaq</t>
        </is>
      </c>
      <c r="D6407" t="n">
        <v>1824293</v>
      </c>
      <c r="E6407" t="inlineStr">
        <is>
          <t>SEC</t>
        </is>
      </c>
    </row>
    <row r="6408">
      <c r="A6408" s="5">
        <f>HYPERLINK("https://finance.yahoo.com/quote/AIDX","AIDX")</f>
        <v/>
      </c>
      <c r="B6408" t="inlineStr">
        <is>
          <t>20/20 Biolabs, Inc.</t>
        </is>
      </c>
      <c r="C6408" t="inlineStr">
        <is>
          <t>Nasdaq</t>
        </is>
      </c>
      <c r="D6408" t="n">
        <v>1139685</v>
      </c>
      <c r="E6408" t="inlineStr">
        <is>
          <t>SEC</t>
        </is>
      </c>
    </row>
    <row r="6409">
      <c r="A6409" s="5">
        <f>HYPERLINK("https://finance.yahoo.com/quote/STME","STME")</f>
        <v/>
      </c>
      <c r="B6409" t="inlineStr">
        <is>
          <t>Stimcell Energetics Inc.</t>
        </is>
      </c>
      <c r="C6409" t="inlineStr">
        <is>
          <t>OTC</t>
        </is>
      </c>
      <c r="D6409" t="n">
        <v>1493712</v>
      </c>
      <c r="E6409" t="inlineStr">
        <is>
          <t>SEC</t>
        </is>
      </c>
    </row>
    <row r="6410">
      <c r="A6410" s="5">
        <f>HYPERLINK("https://finance.yahoo.com/quote/CHR","CHR")</f>
        <v/>
      </c>
      <c r="B6410" t="inlineStr">
        <is>
          <t>Cheer Holding, Inc.</t>
        </is>
      </c>
      <c r="C6410" t="inlineStr">
        <is>
          <t>Nasdaq</t>
        </is>
      </c>
      <c r="D6410" t="n">
        <v>1738758</v>
      </c>
      <c r="E6410" t="inlineStr">
        <is>
          <t>SEC</t>
        </is>
      </c>
    </row>
    <row r="6411">
      <c r="A6411" s="5">
        <f>HYPERLINK("https://finance.yahoo.com/quote/OCG","OCG")</f>
        <v/>
      </c>
      <c r="B6411" t="inlineStr">
        <is>
          <t>Oriental Culture Holding LTD</t>
        </is>
      </c>
      <c r="C6411" t="inlineStr">
        <is>
          <t>Nasdaq</t>
        </is>
      </c>
      <c r="D6411" t="n">
        <v>1776067</v>
      </c>
      <c r="E6411" t="inlineStr">
        <is>
          <t>SEC</t>
        </is>
      </c>
    </row>
    <row r="6412">
      <c r="A6412" s="5">
        <f>HYPERLINK("https://finance.yahoo.com/quote/FLYE","FLYE")</f>
        <v/>
      </c>
      <c r="B6412" t="inlineStr">
        <is>
          <t>Fly-E Group, Inc.</t>
        </is>
      </c>
      <c r="C6412" t="inlineStr">
        <is>
          <t>Nasdaq</t>
        </is>
      </c>
      <c r="D6412" t="n">
        <v>1975940</v>
      </c>
      <c r="E6412" t="inlineStr">
        <is>
          <t>SEC</t>
        </is>
      </c>
    </row>
    <row r="6413">
      <c r="A6413" s="5">
        <f>HYPERLINK("https://finance.yahoo.com/quote/SXTP","SXTP")</f>
        <v/>
      </c>
      <c r="B6413" t="inlineStr">
        <is>
          <t>60 DEGREES PHARMACEUTICALS, INC.</t>
        </is>
      </c>
      <c r="C6413" t="inlineStr">
        <is>
          <t>Nasdaq</t>
        </is>
      </c>
      <c r="D6413" t="n">
        <v>1946563</v>
      </c>
      <c r="E6413" t="inlineStr">
        <is>
          <t>SEC</t>
        </is>
      </c>
    </row>
    <row r="6414">
      <c r="A6414" s="5">
        <f>HYPERLINK("https://finance.yahoo.com/quote/TOPP","TOPP")</f>
        <v/>
      </c>
      <c r="B6414" t="inlineStr">
        <is>
          <t>Toppoint Holdings Inc.</t>
        </is>
      </c>
      <c r="C6414" t="inlineStr">
        <is>
          <t>NYSE</t>
        </is>
      </c>
      <c r="D6414" t="n">
        <v>1960847</v>
      </c>
      <c r="E6414" t="inlineStr">
        <is>
          <t>SEC</t>
        </is>
      </c>
    </row>
    <row r="6415">
      <c r="A6415" s="5">
        <f>HYPERLINK("https://finance.yahoo.com/quote/CMND","CMND")</f>
        <v/>
      </c>
      <c r="B6415" t="inlineStr">
        <is>
          <t>Clearmind Medicine Inc.</t>
        </is>
      </c>
      <c r="C6415" t="inlineStr">
        <is>
          <t>Nasdaq</t>
        </is>
      </c>
      <c r="D6415" t="n">
        <v>1892500</v>
      </c>
      <c r="E6415" t="inlineStr">
        <is>
          <t>SEC</t>
        </is>
      </c>
    </row>
    <row r="6416">
      <c r="A6416" s="5">
        <f>HYPERLINK("https://finance.yahoo.com/quote/VERTF","VERTF")</f>
        <v/>
      </c>
      <c r="B6416" t="inlineStr">
        <is>
          <t>Vertiqal Studios Corp.</t>
        </is>
      </c>
      <c r="C6416" t="inlineStr">
        <is>
          <t>OTC</t>
        </is>
      </c>
      <c r="D6416" t="n">
        <v>1178526</v>
      </c>
      <c r="E6416" t="inlineStr">
        <is>
          <t>SEC</t>
        </is>
      </c>
    </row>
    <row r="6417">
      <c r="A6417" s="5">
        <f>HYPERLINK("https://finance.yahoo.com/quote/CTNT","CTNT")</f>
        <v/>
      </c>
      <c r="B6417" t="inlineStr">
        <is>
          <t>CHEETAH NET SUPPLY CHAIN SERVICE INC.</t>
        </is>
      </c>
      <c r="C6417" t="inlineStr">
        <is>
          <t>Nasdaq</t>
        </is>
      </c>
      <c r="D6417" t="n">
        <v>1951667</v>
      </c>
      <c r="E6417" t="inlineStr">
        <is>
          <t>SEC</t>
        </is>
      </c>
    </row>
    <row r="6418">
      <c r="A6418" s="5">
        <f>HYPERLINK("https://finance.yahoo.com/quote/EHGO","EHGO")</f>
        <v/>
      </c>
      <c r="B6418" t="inlineStr">
        <is>
          <t>EShallGo Inc.</t>
        </is>
      </c>
      <c r="C6418" t="inlineStr">
        <is>
          <t>Nasdaq</t>
        </is>
      </c>
      <c r="D6418" t="n">
        <v>1879754</v>
      </c>
      <c r="E6418" t="inlineStr">
        <is>
          <t>SEC</t>
        </is>
      </c>
    </row>
    <row r="6419">
      <c r="A6419" s="5">
        <f>HYPERLINK("https://finance.yahoo.com/quote/MASK","MASK")</f>
        <v/>
      </c>
      <c r="B6419" t="inlineStr">
        <is>
          <t>3 E Network Technology Group Ltd</t>
        </is>
      </c>
      <c r="C6419" t="inlineStr">
        <is>
          <t>Nasdaq</t>
        </is>
      </c>
      <c r="D6419" t="n">
        <v>1993097</v>
      </c>
      <c r="E6419" t="inlineStr">
        <is>
          <t>SEC</t>
        </is>
      </c>
    </row>
    <row r="6420">
      <c r="A6420" s="5">
        <f>HYPERLINK("https://finance.yahoo.com/quote/CETX","CETX")</f>
        <v/>
      </c>
      <c r="B6420" t="inlineStr">
        <is>
          <t>CEMTREX INC</t>
        </is>
      </c>
      <c r="C6420" t="inlineStr">
        <is>
          <t>Nasdaq</t>
        </is>
      </c>
      <c r="D6420" t="n">
        <v>1435064</v>
      </c>
      <c r="E6420" t="inlineStr">
        <is>
          <t>SEC</t>
        </is>
      </c>
    </row>
    <row r="6421">
      <c r="A6421" s="5">
        <f>HYPERLINK("https://finance.yahoo.com/quote/YQAI","YQAI")</f>
        <v/>
      </c>
      <c r="B6421" t="inlineStr">
        <is>
          <t>YOUNEEQAI TECHNICAL SERVICES, INC.</t>
        </is>
      </c>
      <c r="C6421" t="inlineStr">
        <is>
          <t>OTC</t>
        </is>
      </c>
      <c r="D6421" t="n">
        <v>1976923</v>
      </c>
      <c r="E6421" t="inlineStr">
        <is>
          <t>SEC</t>
        </is>
      </c>
    </row>
    <row r="6422">
      <c r="A6422" s="5">
        <f>HYPERLINK("https://finance.yahoo.com/quote/ZICX","ZICX")</f>
        <v/>
      </c>
      <c r="B6422" t="inlineStr">
        <is>
          <t>Zicix Corp</t>
        </is>
      </c>
      <c r="C6422" t="inlineStr">
        <is>
          <t>OTC</t>
        </is>
      </c>
      <c r="D6422" t="n">
        <v>1465311</v>
      </c>
      <c r="E6422" t="inlineStr">
        <is>
          <t>SEC</t>
        </is>
      </c>
    </row>
    <row r="6423">
      <c r="A6423" s="5">
        <f>HYPERLINK("https://finance.yahoo.com/quote/ATMH","ATMH")</f>
        <v/>
      </c>
      <c r="B6423" t="inlineStr">
        <is>
          <t>ALL THINGS MOBILE ANALYTIC, INC.</t>
        </is>
      </c>
      <c r="C6423" t="inlineStr">
        <is>
          <t>OTC</t>
        </is>
      </c>
      <c r="D6423" t="n">
        <v>1484674</v>
      </c>
      <c r="E6423" t="inlineStr">
        <is>
          <t>SEC</t>
        </is>
      </c>
    </row>
    <row r="6424">
      <c r="A6424" s="5">
        <f>HYPERLINK("https://finance.yahoo.com/quote/FBGL","FBGL")</f>
        <v/>
      </c>
      <c r="B6424" t="inlineStr">
        <is>
          <t>FBS Global Ltd</t>
        </is>
      </c>
      <c r="C6424" t="inlineStr">
        <is>
          <t>Nasdaq</t>
        </is>
      </c>
      <c r="D6424" t="n">
        <v>1938534</v>
      </c>
      <c r="E6424" t="inlineStr">
        <is>
          <t>SEC</t>
        </is>
      </c>
    </row>
    <row r="6425">
      <c r="A6425" s="5">
        <f>HYPERLINK("https://finance.yahoo.com/quote/DXST","DXST")</f>
        <v/>
      </c>
      <c r="B6425" t="inlineStr">
        <is>
          <t>Decent Holding Inc.</t>
        </is>
      </c>
      <c r="C6425" t="inlineStr">
        <is>
          <t>Nasdaq</t>
        </is>
      </c>
      <c r="D6425" t="n">
        <v>1958133</v>
      </c>
      <c r="E6425" t="inlineStr">
        <is>
          <t>SEC</t>
        </is>
      </c>
    </row>
    <row r="6426">
      <c r="A6426" s="5">
        <f>HYPERLINK("https://finance.yahoo.com/quote/PGOL","PGOL")</f>
        <v/>
      </c>
      <c r="B6426" t="inlineStr">
        <is>
          <t>PATRIOT GOLD CORP</t>
        </is>
      </c>
      <c r="C6426" t="inlineStr">
        <is>
          <t>OTC</t>
        </is>
      </c>
      <c r="D6426" t="n">
        <v>1080448</v>
      </c>
      <c r="E6426" t="inlineStr">
        <is>
          <t>SEC</t>
        </is>
      </c>
    </row>
    <row r="6427">
      <c r="A6427" s="5">
        <f>HYPERLINK("https://finance.yahoo.com/quote/TCRI","TCRI")</f>
        <v/>
      </c>
      <c r="B6427" t="inlineStr">
        <is>
          <t>TechCom, Inc.</t>
        </is>
      </c>
      <c r="C6427" t="inlineStr">
        <is>
          <t>OTC</t>
        </is>
      </c>
      <c r="D6427" t="n">
        <v>1481443</v>
      </c>
      <c r="E6427" t="inlineStr">
        <is>
          <t>SEC</t>
        </is>
      </c>
    </row>
    <row r="6428">
      <c r="A6428" s="5">
        <f>HYPERLINK("https://finance.yahoo.com/quote/APVO","APVO")</f>
        <v/>
      </c>
      <c r="B6428" t="inlineStr">
        <is>
          <t>Aptevo Therapeutics Inc.</t>
        </is>
      </c>
      <c r="C6428" t="inlineStr">
        <is>
          <t>Nasdaq</t>
        </is>
      </c>
      <c r="D6428" t="n">
        <v>1671584</v>
      </c>
      <c r="E6428" t="inlineStr">
        <is>
          <t>SEC</t>
        </is>
      </c>
    </row>
    <row r="6429">
      <c r="A6429" s="5">
        <f>HYPERLINK("https://finance.yahoo.com/quote/HGYN","HGYN")</f>
        <v/>
      </c>
      <c r="B6429" t="inlineStr">
        <is>
          <t>HONG YUAN HOLDING GROUP</t>
        </is>
      </c>
      <c r="C6429" t="inlineStr">
        <is>
          <t>OTC</t>
        </is>
      </c>
      <c r="D6429" t="n">
        <v>1324759</v>
      </c>
      <c r="E6429" t="inlineStr">
        <is>
          <t>SEC</t>
        </is>
      </c>
    </row>
    <row r="6430">
      <c r="A6430" s="5">
        <f>HYPERLINK("https://finance.yahoo.com/quote/CPCPF","CPCPF")</f>
        <v/>
      </c>
      <c r="B6430" t="inlineStr">
        <is>
          <t>CopperCorp Resources Inc.</t>
        </is>
      </c>
      <c r="C6430" t="inlineStr">
        <is>
          <t>OTC</t>
        </is>
      </c>
      <c r="D6430" t="n">
        <v>1868050</v>
      </c>
      <c r="E6430" t="inlineStr">
        <is>
          <t>SEC</t>
        </is>
      </c>
    </row>
    <row r="6431">
      <c r="A6431" s="5">
        <f>HYPERLINK("https://finance.yahoo.com/quote/RDGT","RDGT")</f>
        <v/>
      </c>
      <c r="B6431" t="inlineStr">
        <is>
          <t>Ridgetech Inc.</t>
        </is>
      </c>
      <c r="C6431" t="inlineStr">
        <is>
          <t>Nasdaq</t>
        </is>
      </c>
      <c r="D6431" t="n">
        <v>1856084</v>
      </c>
      <c r="E6431" t="inlineStr">
        <is>
          <t>SEC</t>
        </is>
      </c>
    </row>
    <row r="6432">
      <c r="A6432" s="5">
        <f>HYPERLINK("https://finance.yahoo.com/quote/TRNR","TRNR")</f>
        <v/>
      </c>
      <c r="B6432" t="inlineStr">
        <is>
          <t>Interactive Strength, Inc.</t>
        </is>
      </c>
      <c r="C6432" t="inlineStr">
        <is>
          <t>Nasdaq</t>
        </is>
      </c>
      <c r="D6432" t="n">
        <v>1785056</v>
      </c>
      <c r="E6432" t="inlineStr">
        <is>
          <t>SEC</t>
        </is>
      </c>
    </row>
    <row r="6433">
      <c r="A6433" s="5">
        <f>HYPERLINK("https://finance.yahoo.com/quote/IVDA","IVDA")</f>
        <v/>
      </c>
      <c r="B6433" t="inlineStr">
        <is>
          <t>Iveda Solutions, Inc.</t>
        </is>
      </c>
      <c r="C6433" t="inlineStr">
        <is>
          <t>Nasdaq</t>
        </is>
      </c>
      <c r="D6433" t="n">
        <v>1397183</v>
      </c>
      <c r="E6433" t="inlineStr">
        <is>
          <t>SEC</t>
        </is>
      </c>
    </row>
    <row r="6434">
      <c r="A6434" s="5">
        <f>HYPERLINK("https://finance.yahoo.com/quote/AKAN","AKAN")</f>
        <v/>
      </c>
      <c r="B6434" t="inlineStr">
        <is>
          <t>AKANDA CORP.</t>
        </is>
      </c>
      <c r="C6434" t="inlineStr">
        <is>
          <t>Nasdaq</t>
        </is>
      </c>
      <c r="D6434" t="n">
        <v>1888014</v>
      </c>
      <c r="E6434" t="inlineStr">
        <is>
          <t>SEC</t>
        </is>
      </c>
    </row>
    <row r="6435">
      <c r="A6435" s="5">
        <f>HYPERLINK("https://finance.yahoo.com/quote/PPCB","PPCB")</f>
        <v/>
      </c>
      <c r="B6435" t="inlineStr">
        <is>
          <t>Propanc Biopharma, Inc.</t>
        </is>
      </c>
      <c r="C6435" t="inlineStr">
        <is>
          <t>Nasdaq</t>
        </is>
      </c>
      <c r="D6435" t="n">
        <v>1517681</v>
      </c>
      <c r="E6435" t="inlineStr">
        <is>
          <t>SEC</t>
        </is>
      </c>
    </row>
    <row r="6436">
      <c r="A6436" s="5">
        <f>HYPERLINK("https://finance.yahoo.com/quote/LXEH","LXEH")</f>
        <v/>
      </c>
      <c r="B6436" t="inlineStr">
        <is>
          <t>Lixiang Education Holding Co. Ltd.</t>
        </is>
      </c>
      <c r="C6436" t="inlineStr">
        <is>
          <t>Nasdaq</t>
        </is>
      </c>
      <c r="D6436" t="n">
        <v>1814067</v>
      </c>
      <c r="E6436" t="inlineStr">
        <is>
          <t>SEC</t>
        </is>
      </c>
    </row>
    <row r="6437">
      <c r="A6437" s="5">
        <f>HYPERLINK("https://finance.yahoo.com/quote/CHEV","CHEV")</f>
        <v/>
      </c>
      <c r="B6437" t="inlineStr">
        <is>
          <t>Charging Robotics Inc.</t>
        </is>
      </c>
      <c r="C6437" t="inlineStr">
        <is>
          <t>OTC</t>
        </is>
      </c>
      <c r="D6437" t="n">
        <v>1459188</v>
      </c>
      <c r="E6437" t="inlineStr">
        <is>
          <t>SEC</t>
        </is>
      </c>
    </row>
    <row r="6438">
      <c r="A6438" s="5">
        <f>HYPERLINK("https://finance.yahoo.com/quote/LCFY","LCFY")</f>
        <v/>
      </c>
      <c r="B6438" t="inlineStr">
        <is>
          <t>Locafy Ltd</t>
        </is>
      </c>
      <c r="C6438" t="inlineStr">
        <is>
          <t>Nasdaq</t>
        </is>
      </c>
      <c r="D6438" t="n">
        <v>1875547</v>
      </c>
      <c r="E6438" t="inlineStr">
        <is>
          <t>SEC</t>
        </is>
      </c>
    </row>
    <row r="6439">
      <c r="A6439" s="5">
        <f>HYPERLINK("https://finance.yahoo.com/quote/DCX","DCX")</f>
        <v/>
      </c>
      <c r="B6439" t="inlineStr">
        <is>
          <t>Digital Currency X Technology Inc.</t>
        </is>
      </c>
      <c r="C6439" t="inlineStr">
        <is>
          <t>Nasdaq</t>
        </is>
      </c>
      <c r="D6439" t="n">
        <v>1957413</v>
      </c>
      <c r="E6439" t="inlineStr">
        <is>
          <t>SEC</t>
        </is>
      </c>
    </row>
    <row r="6440">
      <c r="A6440" s="5">
        <f>HYPERLINK("https://finance.yahoo.com/quote/MBIO","MBIO")</f>
        <v/>
      </c>
      <c r="B6440" t="inlineStr">
        <is>
          <t>MUSTANG BIO, INC.</t>
        </is>
      </c>
      <c r="C6440" t="inlineStr">
        <is>
          <t>Nasdaq</t>
        </is>
      </c>
      <c r="D6440" t="n">
        <v>1680048</v>
      </c>
      <c r="E6440" t="inlineStr">
        <is>
          <t>SEC</t>
        </is>
      </c>
    </row>
    <row r="6441">
      <c r="A6441" s="5">
        <f>HYPERLINK("https://finance.yahoo.com/quote/HXHX","HXHX")</f>
        <v/>
      </c>
      <c r="B6441" t="inlineStr">
        <is>
          <t>Haoxin Holdings Ltd</t>
        </is>
      </c>
      <c r="C6441" t="inlineStr">
        <is>
          <t>Nasdaq</t>
        </is>
      </c>
      <c r="D6441" t="n">
        <v>1936817</v>
      </c>
      <c r="E6441" t="inlineStr">
        <is>
          <t>SEC</t>
        </is>
      </c>
    </row>
    <row r="6442">
      <c r="A6442" s="5">
        <f>HYPERLINK("https://finance.yahoo.com/quote/AGTX","AGTX")</f>
        <v/>
      </c>
      <c r="B6442" t="inlineStr">
        <is>
          <t>Agentix Corp.</t>
        </is>
      </c>
      <c r="C6442" t="inlineStr">
        <is>
          <t>OTC</t>
        </is>
      </c>
      <c r="D6442" t="n">
        <v>1603345</v>
      </c>
      <c r="E6442" t="inlineStr">
        <is>
          <t>SEC</t>
        </is>
      </c>
    </row>
    <row r="6443">
      <c r="A6443" s="5">
        <f>HYPERLINK("https://finance.yahoo.com/quote/NIOMF","NIOMF")</f>
        <v/>
      </c>
      <c r="B6443" t="inlineStr">
        <is>
          <t>First American Uranium Inc.</t>
        </is>
      </c>
      <c r="C6443" t="inlineStr">
        <is>
          <t>OTC</t>
        </is>
      </c>
      <c r="D6443" t="n">
        <v>1937453</v>
      </c>
      <c r="E6443" t="inlineStr">
        <is>
          <t>SEC</t>
        </is>
      </c>
    </row>
    <row r="6444">
      <c r="A6444" s="5">
        <f>HYPERLINK("https://finance.yahoo.com/quote/RMSL","RMSL")</f>
        <v/>
      </c>
      <c r="B6444" t="inlineStr">
        <is>
          <t>RemSleep Holdings Inc.</t>
        </is>
      </c>
      <c r="C6444" t="inlineStr">
        <is>
          <t>OTC</t>
        </is>
      </c>
      <c r="D6444" t="n">
        <v>1412126</v>
      </c>
      <c r="E6444" t="inlineStr">
        <is>
          <t>SEC</t>
        </is>
      </c>
    </row>
    <row r="6445">
      <c r="A6445" s="5">
        <f>HYPERLINK("https://finance.yahoo.com/quote/ADGM","ADGM")</f>
        <v/>
      </c>
      <c r="B6445" t="inlineStr">
        <is>
          <t>Adagio Medical Holdings, Inc.</t>
        </is>
      </c>
      <c r="C6445" t="inlineStr">
        <is>
          <t>Nasdaq</t>
        </is>
      </c>
      <c r="D6445" t="n">
        <v>2006986</v>
      </c>
      <c r="E6445" t="inlineStr">
        <is>
          <t>SEC</t>
        </is>
      </c>
    </row>
    <row r="6446">
      <c r="A6446" s="5">
        <f>HYPERLINK("https://finance.yahoo.com/quote/FMHS","FMHS")</f>
        <v/>
      </c>
      <c r="B6446" t="inlineStr">
        <is>
          <t>FARMHOUSE, INC. /NV</t>
        </is>
      </c>
      <c r="C6446" t="inlineStr">
        <is>
          <t>OTC</t>
        </is>
      </c>
      <c r="D6446" t="n">
        <v>1811999</v>
      </c>
      <c r="E6446" t="inlineStr">
        <is>
          <t>SEC</t>
        </is>
      </c>
    </row>
    <row r="6447">
      <c r="A6447" s="5">
        <f>HYPERLINK("https://finance.yahoo.com/quote/LOTT","LOTT")</f>
        <v/>
      </c>
      <c r="B6447" t="inlineStr">
        <is>
          <t>Techlott Inc.</t>
        </is>
      </c>
      <c r="C6447" t="inlineStr">
        <is>
          <t>OTC</t>
        </is>
      </c>
      <c r="D6447" t="n">
        <v>1568969</v>
      </c>
      <c r="E6447" t="inlineStr">
        <is>
          <t>SEC</t>
        </is>
      </c>
    </row>
    <row r="6448">
      <c r="A6448" s="5">
        <f>HYPERLINK("https://finance.yahoo.com/quote/DAIC","DAIC")</f>
        <v/>
      </c>
      <c r="B6448" t="inlineStr">
        <is>
          <t>CID Holdco, Inc.</t>
        </is>
      </c>
      <c r="C6448" t="inlineStr">
        <is>
          <t>Nasdaq</t>
        </is>
      </c>
      <c r="D6448" t="n">
        <v>2033770</v>
      </c>
      <c r="E6448" t="inlineStr">
        <is>
          <t>SEC</t>
        </is>
      </c>
    </row>
    <row r="6449">
      <c r="A6449" s="5">
        <f>HYPERLINK("https://finance.yahoo.com/quote/TUTH","TUTH")</f>
        <v/>
      </c>
      <c r="B6449" t="inlineStr">
        <is>
          <t>Standard Dental Labs Inc.</t>
        </is>
      </c>
      <c r="C6449" t="inlineStr">
        <is>
          <t>OTC</t>
        </is>
      </c>
      <c r="D6449" t="n">
        <v>1178660</v>
      </c>
      <c r="E6449" t="inlineStr">
        <is>
          <t>SEC</t>
        </is>
      </c>
    </row>
    <row r="6450">
      <c r="A6450" s="5">
        <f>HYPERLINK("https://finance.yahoo.com/quote/SPST","SPST")</f>
        <v/>
      </c>
      <c r="B6450" t="inlineStr">
        <is>
          <t>Superstar Platforms Inc.</t>
        </is>
      </c>
      <c r="C6450" t="inlineStr">
        <is>
          <t>OTC</t>
        </is>
      </c>
      <c r="D6450" t="n">
        <v>1192323</v>
      </c>
      <c r="E6450" t="inlineStr">
        <is>
          <t>SEC</t>
        </is>
      </c>
    </row>
    <row r="6451">
      <c r="A6451" s="5">
        <f>HYPERLINK("https://finance.yahoo.com/quote/IONI","IONI")</f>
        <v/>
      </c>
      <c r="B6451" t="inlineStr">
        <is>
          <t>I-ON Digital Corp.</t>
        </is>
      </c>
      <c r="C6451" t="inlineStr">
        <is>
          <t>OTC</t>
        </is>
      </c>
      <c r="D6451" t="n">
        <v>1580490</v>
      </c>
      <c r="E6451" t="inlineStr">
        <is>
          <t>SEC</t>
        </is>
      </c>
    </row>
    <row r="6452">
      <c r="A6452" s="5">
        <f>HYPERLINK("https://finance.yahoo.com/quote/BJDX","BJDX")</f>
        <v/>
      </c>
      <c r="B6452" t="inlineStr">
        <is>
          <t>Bluejay Diagnostics, Inc.</t>
        </is>
      </c>
      <c r="C6452" t="inlineStr">
        <is>
          <t>Nasdaq</t>
        </is>
      </c>
      <c r="D6452" t="n">
        <v>1704287</v>
      </c>
      <c r="E6452" t="inlineStr">
        <is>
          <t>SEC</t>
        </is>
      </c>
    </row>
    <row r="6453">
      <c r="A6453" s="5">
        <f>HYPERLINK("https://finance.yahoo.com/quote/KWIK","KWIK")</f>
        <v/>
      </c>
      <c r="B6453" t="inlineStr">
        <is>
          <t>KwikClick, Inc.</t>
        </is>
      </c>
      <c r="C6453" t="inlineStr">
        <is>
          <t>OTC</t>
        </is>
      </c>
      <c r="D6453" t="n">
        <v>1884164</v>
      </c>
      <c r="E6453" t="inlineStr">
        <is>
          <t>SEC</t>
        </is>
      </c>
    </row>
    <row r="6454">
      <c r="A6454" s="5">
        <f>HYPERLINK("https://finance.yahoo.com/quote/CNEY","CNEY")</f>
        <v/>
      </c>
      <c r="B6454" t="inlineStr">
        <is>
          <t>CN ENERGY GROUP. INC.</t>
        </is>
      </c>
      <c r="C6454" t="inlineStr">
        <is>
          <t>Nasdaq</t>
        </is>
      </c>
      <c r="D6454" t="n">
        <v>1780785</v>
      </c>
      <c r="E6454" t="inlineStr">
        <is>
          <t>SEC</t>
        </is>
      </c>
    </row>
    <row r="6455">
      <c r="A6455" s="5">
        <f>HYPERLINK("https://finance.yahoo.com/quote/LVRLF","LVRLF")</f>
        <v/>
      </c>
      <c r="B6455" t="inlineStr">
        <is>
          <t>CordovaCann Corp.</t>
        </is>
      </c>
      <c r="C6455" t="inlineStr">
        <is>
          <t>OTC</t>
        </is>
      </c>
      <c r="D6455" t="n">
        <v>1168981</v>
      </c>
      <c r="E6455" t="inlineStr">
        <is>
          <t>SEC</t>
        </is>
      </c>
    </row>
    <row r="6456">
      <c r="A6456" s="5">
        <f>HYPERLINK("https://finance.yahoo.com/quote/TWG","TWG")</f>
        <v/>
      </c>
      <c r="B6456" t="inlineStr">
        <is>
          <t>Top Wealth Group Holding Ltd</t>
        </is>
      </c>
      <c r="C6456" t="inlineStr">
        <is>
          <t>Nasdaq</t>
        </is>
      </c>
      <c r="D6456" t="n">
        <v>1978057</v>
      </c>
      <c r="E6456" t="inlineStr">
        <is>
          <t>SEC</t>
        </is>
      </c>
    </row>
    <row r="6457">
      <c r="A6457" s="5">
        <f>HYPERLINK("https://finance.yahoo.com/quote/ELME","ELME")</f>
        <v/>
      </c>
      <c r="B6457" t="inlineStr">
        <is>
          <t>Elme Communities</t>
        </is>
      </c>
      <c r="C6457" t="inlineStr">
        <is>
          <t>NYSE</t>
        </is>
      </c>
      <c r="D6457" t="n">
        <v>104894</v>
      </c>
      <c r="E6457" t="inlineStr">
        <is>
          <t>SEC</t>
        </is>
      </c>
    </row>
    <row r="6458">
      <c r="A6458" s="5">
        <f>HYPERLINK("https://finance.yahoo.com/quote/MRM","MRM")</f>
        <v/>
      </c>
      <c r="B6458" t="inlineStr">
        <is>
          <t>Medirom Healthcare Technologies Inc.</t>
        </is>
      </c>
      <c r="C6458" t="inlineStr">
        <is>
          <t>Nasdaq</t>
        </is>
      </c>
      <c r="D6458" t="n">
        <v>1819704</v>
      </c>
      <c r="E6458" t="inlineStr">
        <is>
          <t>SEC</t>
        </is>
      </c>
    </row>
    <row r="6459">
      <c r="A6459" s="5">
        <f>HYPERLINK("https://finance.yahoo.com/quote/IVF","IVF")</f>
        <v/>
      </c>
      <c r="B6459" t="inlineStr">
        <is>
          <t>INVO Fertility, Inc.</t>
        </is>
      </c>
      <c r="C6459" t="inlineStr">
        <is>
          <t>Nasdaq</t>
        </is>
      </c>
      <c r="D6459" t="n">
        <v>1417926</v>
      </c>
      <c r="E6459" t="inlineStr">
        <is>
          <t>SEC</t>
        </is>
      </c>
    </row>
    <row r="6460">
      <c r="A6460" s="5">
        <f>HYPERLINK("https://finance.yahoo.com/quote/BIXT","BIXT")</f>
        <v/>
      </c>
      <c r="B6460" t="inlineStr">
        <is>
          <t>BIOXYTRAN, INC</t>
        </is>
      </c>
      <c r="C6460" t="inlineStr">
        <is>
          <t>OTC</t>
        </is>
      </c>
      <c r="D6460" t="n">
        <v>1445815</v>
      </c>
      <c r="E6460" t="inlineStr">
        <is>
          <t>SEC</t>
        </is>
      </c>
    </row>
    <row r="6461">
      <c r="A6461" s="5">
        <f>HYPERLINK("https://finance.yahoo.com/quote/ABCFF","ABCFF")</f>
        <v/>
      </c>
      <c r="B6461" t="inlineStr">
        <is>
          <t>ABACUS MINING &amp; EXPLORATION CORP</t>
        </is>
      </c>
      <c r="C6461" t="inlineStr">
        <is>
          <t>OTC</t>
        </is>
      </c>
      <c r="D6461" t="n">
        <v>1284237</v>
      </c>
      <c r="E6461" t="inlineStr">
        <is>
          <t>SEC</t>
        </is>
      </c>
    </row>
    <row r="6462">
      <c r="A6462" s="5">
        <f>HYPERLINK("https://finance.yahoo.com/quote/BUDZ","BUDZ")</f>
        <v/>
      </c>
      <c r="B6462" t="inlineStr">
        <is>
          <t>WEED, INC.</t>
        </is>
      </c>
      <c r="C6462" t="inlineStr">
        <is>
          <t>OTC</t>
        </is>
      </c>
      <c r="D6462" t="n">
        <v>1393772</v>
      </c>
      <c r="E6462" t="inlineStr">
        <is>
          <t>SEC</t>
        </is>
      </c>
    </row>
    <row r="6463">
      <c r="A6463" s="5">
        <f>HYPERLINK("https://finance.yahoo.com/quote/ZNB","ZNB")</f>
        <v/>
      </c>
      <c r="B6463" t="inlineStr">
        <is>
          <t>Zeta Network Group</t>
        </is>
      </c>
      <c r="C6463" t="inlineStr">
        <is>
          <t>Nasdaq</t>
        </is>
      </c>
      <c r="D6463" t="n">
        <v>1747661</v>
      </c>
      <c r="E6463" t="inlineStr">
        <is>
          <t>SEC</t>
        </is>
      </c>
    </row>
    <row r="6464">
      <c r="A6464" s="5">
        <f>HYPERLINK("https://finance.yahoo.com/quote/SLXN","SLXN")</f>
        <v/>
      </c>
      <c r="B6464" t="inlineStr">
        <is>
          <t>Silexion Therapeutics Corp</t>
        </is>
      </c>
      <c r="C6464" t="inlineStr">
        <is>
          <t>Nasdaq</t>
        </is>
      </c>
      <c r="D6464" t="n">
        <v>2022416</v>
      </c>
      <c r="E6464" t="inlineStr">
        <is>
          <t>SEC</t>
        </is>
      </c>
    </row>
    <row r="6465">
      <c r="A6465" s="5">
        <f>HYPERLINK("https://finance.yahoo.com/quote/ALTX","ALTX")</f>
        <v/>
      </c>
      <c r="B6465" t="inlineStr">
        <is>
          <t>ALTEX INDUSTRIES INC</t>
        </is>
      </c>
      <c r="C6465" t="inlineStr">
        <is>
          <t>OTC</t>
        </is>
      </c>
      <c r="D6465" t="n">
        <v>775057</v>
      </c>
      <c r="E6465" t="inlineStr">
        <is>
          <t>SEC</t>
        </is>
      </c>
    </row>
    <row r="6466">
      <c r="A6466" s="5">
        <f>HYPERLINK("https://finance.yahoo.com/quote/SVUHF","SVUHF")</f>
        <v/>
      </c>
      <c r="B6466" t="inlineStr">
        <is>
          <t>SRIVARU Holding Ltd</t>
        </is>
      </c>
      <c r="C6466" t="inlineStr">
        <is>
          <t>OTC</t>
        </is>
      </c>
      <c r="D6466" t="n">
        <v>1973368</v>
      </c>
      <c r="E6466" t="inlineStr">
        <is>
          <t>SEC</t>
        </is>
      </c>
    </row>
    <row r="6467">
      <c r="A6467" s="5">
        <f>HYPERLINK("https://finance.yahoo.com/quote/WHLT","WHLT")</f>
        <v/>
      </c>
      <c r="B6467" t="inlineStr">
        <is>
          <t>CHASE PACKAGING CORP</t>
        </is>
      </c>
      <c r="C6467" t="inlineStr">
        <is>
          <t>OTC</t>
        </is>
      </c>
      <c r="D6467" t="n">
        <v>1025771</v>
      </c>
      <c r="E6467" t="inlineStr">
        <is>
          <t>SEC</t>
        </is>
      </c>
    </row>
    <row r="6468">
      <c r="A6468" s="5">
        <f>HYPERLINK("https://finance.yahoo.com/quote/MAGE","MAGE")</f>
        <v/>
      </c>
      <c r="B6468" t="inlineStr">
        <is>
          <t>MAGELLAN COPPER &amp; GOLD Corp</t>
        </is>
      </c>
      <c r="C6468" t="inlineStr">
        <is>
          <t>OTC</t>
        </is>
      </c>
      <c r="D6468" t="n">
        <v>1515317</v>
      </c>
      <c r="E6468" t="inlineStr">
        <is>
          <t>SEC</t>
        </is>
      </c>
    </row>
    <row r="6469">
      <c r="A6469" s="5">
        <f>HYPERLINK("https://finance.yahoo.com/quote/MGN","MGN")</f>
        <v/>
      </c>
      <c r="B6469" t="inlineStr">
        <is>
          <t>Megan Holdings Ltd.</t>
        </is>
      </c>
      <c r="C6469" t="inlineStr">
        <is>
          <t>Nasdaq</t>
        </is>
      </c>
      <c r="D6469" t="n">
        <v>1995075</v>
      </c>
      <c r="E6469" t="inlineStr">
        <is>
          <t>SEC</t>
        </is>
      </c>
    </row>
    <row r="6470">
      <c r="A6470" s="5">
        <f>HYPERLINK("https://finance.yahoo.com/quote/CAPS","CAPS")</f>
        <v/>
      </c>
      <c r="B6470" t="inlineStr">
        <is>
          <t>Capstone Holding Corp.</t>
        </is>
      </c>
      <c r="C6470" t="inlineStr">
        <is>
          <t>Nasdaq</t>
        </is>
      </c>
      <c r="D6470" t="n">
        <v>887151</v>
      </c>
      <c r="E6470" t="inlineStr">
        <is>
          <t>SEC</t>
        </is>
      </c>
    </row>
    <row r="6471">
      <c r="A6471" s="5">
        <f>HYPERLINK("https://finance.yahoo.com/quote/PW","PW")</f>
        <v/>
      </c>
      <c r="B6471" t="inlineStr">
        <is>
          <t>Power REIT</t>
        </is>
      </c>
      <c r="C6471" t="inlineStr">
        <is>
          <t>NYSE</t>
        </is>
      </c>
      <c r="D6471" t="n">
        <v>1532619</v>
      </c>
      <c r="E6471" t="inlineStr">
        <is>
          <t>SEC</t>
        </is>
      </c>
    </row>
    <row r="6472">
      <c r="A6472" s="5">
        <f>HYPERLINK("https://finance.yahoo.com/quote/HCWB","HCWB")</f>
        <v/>
      </c>
      <c r="B6472" t="inlineStr">
        <is>
          <t>HCW Biologics Inc.</t>
        </is>
      </c>
      <c r="C6472" t="inlineStr">
        <is>
          <t>Nasdaq</t>
        </is>
      </c>
      <c r="D6472" t="n">
        <v>1828673</v>
      </c>
      <c r="E6472" t="inlineStr">
        <is>
          <t>SEC</t>
        </is>
      </c>
    </row>
    <row r="6473">
      <c r="A6473" s="5">
        <f>HYPERLINK("https://finance.yahoo.com/quote/KRFG","KRFG")</f>
        <v/>
      </c>
      <c r="B6473" t="inlineStr">
        <is>
          <t>King Resources, Inc.</t>
        </is>
      </c>
      <c r="C6473" t="inlineStr">
        <is>
          <t>OTC</t>
        </is>
      </c>
      <c r="D6473" t="n">
        <v>774415</v>
      </c>
      <c r="E6473" t="inlineStr">
        <is>
          <t>SEC</t>
        </is>
      </c>
    </row>
    <row r="6474">
      <c r="A6474" s="5">
        <f>HYPERLINK("https://finance.yahoo.com/quote/BCAB","BCAB")</f>
        <v/>
      </c>
      <c r="B6474" t="inlineStr">
        <is>
          <t>BioAtla, Inc.</t>
        </is>
      </c>
      <c r="C6474" t="inlineStr">
        <is>
          <t>OTC</t>
        </is>
      </c>
      <c r="D6474" t="n">
        <v>1826892</v>
      </c>
      <c r="E6474" t="inlineStr">
        <is>
          <t>SEC</t>
        </is>
      </c>
    </row>
    <row r="6475">
      <c r="A6475" s="5">
        <f>HYPERLINK("https://finance.yahoo.com/quote/PRFX","PRFX")</f>
        <v/>
      </c>
      <c r="B6475" t="inlineStr">
        <is>
          <t>PRF Technologies Ltd.</t>
        </is>
      </c>
      <c r="C6475" t="inlineStr">
        <is>
          <t>Nasdaq</t>
        </is>
      </c>
      <c r="D6475" t="n">
        <v>1801834</v>
      </c>
      <c r="E6475" t="inlineStr">
        <is>
          <t>SEC</t>
        </is>
      </c>
    </row>
    <row r="6476">
      <c r="A6476" s="5">
        <f>HYPERLINK("https://finance.yahoo.com/quote/ALDA","ALDA")</f>
        <v/>
      </c>
      <c r="B6476" t="inlineStr">
        <is>
          <t>ATLANTICA INC</t>
        </is>
      </c>
      <c r="C6476" t="inlineStr">
        <is>
          <t>OTC</t>
        </is>
      </c>
      <c r="D6476" t="n">
        <v>1062506</v>
      </c>
      <c r="E6476" t="inlineStr">
        <is>
          <t>SEC</t>
        </is>
      </c>
    </row>
    <row r="6477">
      <c r="A6477" s="5">
        <f>HYPERLINK("https://finance.yahoo.com/quote/VIVS","VIVS")</f>
        <v/>
      </c>
      <c r="B6477" t="inlineStr">
        <is>
          <t>VivoSim Labs, INC.</t>
        </is>
      </c>
      <c r="C6477" t="inlineStr">
        <is>
          <t>Nasdaq</t>
        </is>
      </c>
      <c r="D6477" t="n">
        <v>1497253</v>
      </c>
      <c r="E6477" t="inlineStr">
        <is>
          <t>SEC</t>
        </is>
      </c>
    </row>
    <row r="6478">
      <c r="A6478" s="5">
        <f>HYPERLINK("https://finance.yahoo.com/quote/GTCH","GTCH")</f>
        <v/>
      </c>
      <c r="B6478" t="inlineStr">
        <is>
          <t>GBT Technologies Inc.</t>
        </is>
      </c>
      <c r="C6478" t="inlineStr">
        <is>
          <t>OTC</t>
        </is>
      </c>
      <c r="D6478" t="n">
        <v>1471781</v>
      </c>
      <c r="E6478" t="inlineStr">
        <is>
          <t>SEC</t>
        </is>
      </c>
    </row>
    <row r="6479">
      <c r="A6479" s="5">
        <f>HYPERLINK("https://finance.yahoo.com/quote/CAPC","CAPC")</f>
        <v/>
      </c>
      <c r="B6479" t="inlineStr">
        <is>
          <t>CAPSTONE COMPANIES, INC.</t>
        </is>
      </c>
      <c r="C6479" t="inlineStr">
        <is>
          <t>OTC</t>
        </is>
      </c>
      <c r="D6479" t="n">
        <v>814926</v>
      </c>
      <c r="E6479" t="inlineStr">
        <is>
          <t>SEC</t>
        </is>
      </c>
    </row>
    <row r="6480">
      <c r="A6480" s="5">
        <f>HYPERLINK("https://finance.yahoo.com/quote/ZHDM","ZHDM")</f>
        <v/>
      </c>
      <c r="B6480" t="inlineStr">
        <is>
          <t>Ainnova Tech</t>
        </is>
      </c>
      <c r="C6480" t="inlineStr">
        <is>
          <t>OTC</t>
        </is>
      </c>
      <c r="D6480" t="n">
        <v>1950209</v>
      </c>
      <c r="E6480" t="inlineStr">
        <is>
          <t>SEC</t>
        </is>
      </c>
    </row>
    <row r="6481">
      <c r="A6481" s="5">
        <f>HYPERLINK("https://finance.yahoo.com/quote/NXGL","NXGL")</f>
        <v/>
      </c>
      <c r="B6481" t="inlineStr">
        <is>
          <t>NEXGEL, INC.</t>
        </is>
      </c>
      <c r="C6481" t="inlineStr">
        <is>
          <t>Nasdaq</t>
        </is>
      </c>
      <c r="D6481" t="n">
        <v>1468929</v>
      </c>
      <c r="E6481" t="inlineStr">
        <is>
          <t>SEC</t>
        </is>
      </c>
    </row>
    <row r="6482">
      <c r="A6482" s="5">
        <f>HYPERLINK("https://finance.yahoo.com/quote/SILO","SILO")</f>
        <v/>
      </c>
      <c r="B6482" t="inlineStr">
        <is>
          <t>Silo Pharma, Inc.</t>
        </is>
      </c>
      <c r="C6482" t="inlineStr">
        <is>
          <t>Nasdaq</t>
        </is>
      </c>
      <c r="D6482" t="n">
        <v>1514183</v>
      </c>
      <c r="E6482" t="inlineStr">
        <is>
          <t>SEC</t>
        </is>
      </c>
    </row>
    <row r="6483">
      <c r="A6483" s="5">
        <f>HYPERLINK("https://finance.yahoo.com/quote/LTHIF","LTHIF")</f>
        <v/>
      </c>
      <c r="B6483" t="inlineStr">
        <is>
          <t>InZinc Mining Ltd.</t>
        </is>
      </c>
      <c r="C6483" t="inlineStr">
        <is>
          <t>OTC</t>
        </is>
      </c>
      <c r="D6483" t="n">
        <v>1364252</v>
      </c>
      <c r="E6483" t="inlineStr">
        <is>
          <t>SEC</t>
        </is>
      </c>
    </row>
    <row r="6484">
      <c r="A6484" s="5">
        <f>HYPERLINK("https://finance.yahoo.com/quote/TOGI","TOGI")</f>
        <v/>
      </c>
      <c r="B6484" t="inlineStr">
        <is>
          <t>TurnOnGreen, Inc.</t>
        </is>
      </c>
      <c r="C6484" t="inlineStr">
        <is>
          <t>OTC</t>
        </is>
      </c>
      <c r="D6484" t="n">
        <v>1349706</v>
      </c>
      <c r="E6484" t="inlineStr">
        <is>
          <t>SEC</t>
        </is>
      </c>
    </row>
    <row r="6485">
      <c r="A6485" s="5">
        <f>HYPERLINK("https://finance.yahoo.com/quote/CLDI","CLDI")</f>
        <v/>
      </c>
      <c r="B6485" t="inlineStr">
        <is>
          <t>Calidi Biotherapeutics, Inc.</t>
        </is>
      </c>
      <c r="C6485" t="inlineStr">
        <is>
          <t>NYSE</t>
        </is>
      </c>
      <c r="D6485" t="n">
        <v>1855485</v>
      </c>
      <c r="E6485" t="inlineStr">
        <is>
          <t>SEC</t>
        </is>
      </c>
    </row>
    <row r="6486">
      <c r="A6486" s="5">
        <f>HYPERLINK("https://finance.yahoo.com/quote/HLSQ","HLSQ")</f>
        <v/>
      </c>
      <c r="B6486" t="inlineStr">
        <is>
          <t>Tessera Defense &amp; Homeland Security Inc.</t>
        </is>
      </c>
      <c r="C6486" t="inlineStr">
        <is>
          <t>NYSE</t>
        </is>
      </c>
      <c r="D6486" t="n">
        <v>1739174</v>
      </c>
      <c r="E6486" t="inlineStr">
        <is>
          <t>SEC</t>
        </is>
      </c>
    </row>
    <row r="6487">
      <c r="A6487" s="5">
        <f>HYPERLINK("https://finance.yahoo.com/quote/REOS","REOS")</f>
        <v/>
      </c>
      <c r="B6487" t="inlineStr">
        <is>
          <t>ReoStar Energy CORP</t>
        </is>
      </c>
      <c r="C6487" t="inlineStr">
        <is>
          <t>OTC</t>
        </is>
      </c>
      <c r="D6487" t="n">
        <v>1335288</v>
      </c>
      <c r="E6487" t="inlineStr">
        <is>
          <t>SEC</t>
        </is>
      </c>
    </row>
    <row r="6488">
      <c r="A6488" s="5">
        <f>HYPERLINK("https://finance.yahoo.com/quote/TNMG","TNMG")</f>
        <v/>
      </c>
      <c r="B6488" t="inlineStr">
        <is>
          <t>TNL Mediagene</t>
        </is>
      </c>
      <c r="C6488" t="inlineStr">
        <is>
          <t>Nasdaq</t>
        </is>
      </c>
      <c r="D6488" t="n">
        <v>2013186</v>
      </c>
      <c r="E6488" t="inlineStr">
        <is>
          <t>SEC</t>
        </is>
      </c>
    </row>
    <row r="6489">
      <c r="A6489" s="5">
        <f>HYPERLINK("https://finance.yahoo.com/quote/KUST","KUST")</f>
        <v/>
      </c>
      <c r="B6489" t="inlineStr">
        <is>
          <t>KUSTOM ENTERTAINMENT, INC.</t>
        </is>
      </c>
      <c r="C6489" t="inlineStr">
        <is>
          <t>Nasdaq</t>
        </is>
      </c>
      <c r="D6489" t="n">
        <v>1342958</v>
      </c>
      <c r="E6489" t="inlineStr">
        <is>
          <t>SEC</t>
        </is>
      </c>
    </row>
    <row r="6490">
      <c r="A6490" s="5">
        <f>HYPERLINK("https://finance.yahoo.com/quote/ONAR","ONAR")</f>
        <v/>
      </c>
      <c r="B6490" t="inlineStr">
        <is>
          <t>Onar Holding Corp</t>
        </is>
      </c>
      <c r="C6490" t="inlineStr">
        <is>
          <t>OTC</t>
        </is>
      </c>
      <c r="D6490" t="n">
        <v>1682265</v>
      </c>
      <c r="E6490" t="inlineStr">
        <is>
          <t>SEC</t>
        </is>
      </c>
    </row>
    <row r="6491">
      <c r="A6491" s="5">
        <f>HYPERLINK("https://finance.yahoo.com/quote/DCOY","DCOY")</f>
        <v/>
      </c>
      <c r="B6491" t="inlineStr">
        <is>
          <t>Decoy Therapeutics Inc.</t>
        </is>
      </c>
      <c r="C6491" t="inlineStr">
        <is>
          <t>Nasdaq</t>
        </is>
      </c>
      <c r="D6491" t="n">
        <v>1615219</v>
      </c>
      <c r="E6491" t="inlineStr">
        <is>
          <t>SEC</t>
        </is>
      </c>
    </row>
    <row r="6492">
      <c r="A6492" s="5">
        <f>HYPERLINK("https://finance.yahoo.com/quote/TOPS","TOPS")</f>
        <v/>
      </c>
      <c r="B6492" t="inlineStr">
        <is>
          <t>TOP SHIPS INC.</t>
        </is>
      </c>
      <c r="C6492" t="inlineStr">
        <is>
          <t>NYSE</t>
        </is>
      </c>
      <c r="D6492" t="n">
        <v>1296484</v>
      </c>
      <c r="E6492" t="inlineStr">
        <is>
          <t>SEC</t>
        </is>
      </c>
    </row>
    <row r="6493">
      <c r="A6493" s="5">
        <f>HYPERLINK("https://finance.yahoo.com/quote/AGNPF","AGNPF")</f>
        <v/>
      </c>
      <c r="B6493" t="inlineStr">
        <is>
          <t>Grey Matters Health Inc.</t>
        </is>
      </c>
      <c r="C6493" t="inlineStr">
        <is>
          <t>OTC</t>
        </is>
      </c>
      <c r="D6493" t="n">
        <v>1642178</v>
      </c>
      <c r="E6493" t="inlineStr">
        <is>
          <t>SEC</t>
        </is>
      </c>
    </row>
    <row r="6494">
      <c r="A6494" s="5">
        <f>HYPERLINK("https://finance.yahoo.com/quote/LBSR","LBSR")</f>
        <v/>
      </c>
      <c r="B6494" t="inlineStr">
        <is>
          <t>LIBERTY STAR URANIUM &amp; METALS CORP.</t>
        </is>
      </c>
      <c r="C6494" t="inlineStr">
        <is>
          <t>OTC</t>
        </is>
      </c>
      <c r="D6494" t="n">
        <v>1172178</v>
      </c>
      <c r="E6494" t="inlineStr">
        <is>
          <t>SEC</t>
        </is>
      </c>
    </row>
    <row r="6495">
      <c r="A6495" s="5">
        <f>HYPERLINK("https://finance.yahoo.com/quote/JZ","JZ")</f>
        <v/>
      </c>
      <c r="B6495" t="inlineStr">
        <is>
          <t>Jianzhi Education Technology Group Co Ltd</t>
        </is>
      </c>
      <c r="C6495" t="inlineStr">
        <is>
          <t>Nasdaq</t>
        </is>
      </c>
      <c r="D6495" t="n">
        <v>1852440</v>
      </c>
      <c r="E6495" t="inlineStr">
        <is>
          <t>SEC</t>
        </is>
      </c>
    </row>
    <row r="6496">
      <c r="A6496" s="5">
        <f>HYPERLINK("https://finance.yahoo.com/quote/BOXL","BOXL")</f>
        <v/>
      </c>
      <c r="B6496" t="inlineStr">
        <is>
          <t>Boxlight Corp</t>
        </is>
      </c>
      <c r="C6496" t="inlineStr">
        <is>
          <t>Nasdaq</t>
        </is>
      </c>
      <c r="D6496" t="n">
        <v>1624512</v>
      </c>
      <c r="E6496" t="inlineStr">
        <is>
          <t>SEC</t>
        </is>
      </c>
    </row>
    <row r="6497">
      <c r="A6497" s="5">
        <f>HYPERLINK("https://finance.yahoo.com/quote/CVSI","CVSI")</f>
        <v/>
      </c>
      <c r="B6497" t="inlineStr">
        <is>
          <t>CV Sciences, Inc.</t>
        </is>
      </c>
      <c r="C6497" t="inlineStr">
        <is>
          <t>OTC</t>
        </is>
      </c>
      <c r="D6497" t="n">
        <v>1510964</v>
      </c>
      <c r="E6497" t="inlineStr">
        <is>
          <t>SEC</t>
        </is>
      </c>
    </row>
    <row r="6498">
      <c r="A6498" s="5">
        <f>HYPERLINK("https://finance.yahoo.com/quote/HTCR","HTCR")</f>
        <v/>
      </c>
      <c r="B6498" t="inlineStr">
        <is>
          <t>HeartCore Enterprises, Inc.</t>
        </is>
      </c>
      <c r="C6498" t="inlineStr">
        <is>
          <t>Nasdaq</t>
        </is>
      </c>
      <c r="D6498" t="n">
        <v>1892322</v>
      </c>
      <c r="E6498" t="inlineStr">
        <is>
          <t>SEC</t>
        </is>
      </c>
    </row>
    <row r="6499">
      <c r="A6499" s="5">
        <f>HYPERLINK("https://finance.yahoo.com/quote/NCI","NCI")</f>
        <v/>
      </c>
      <c r="B6499" t="inlineStr">
        <is>
          <t>Neo-Concept International Group Holdings Ltd</t>
        </is>
      </c>
      <c r="C6499" t="inlineStr">
        <is>
          <t>Nasdaq</t>
        </is>
      </c>
      <c r="D6499" t="n">
        <v>1916331</v>
      </c>
      <c r="E6499" t="inlineStr">
        <is>
          <t>SEC</t>
        </is>
      </c>
    </row>
    <row r="6500">
      <c r="A6500" s="5">
        <f>HYPERLINK("https://finance.yahoo.com/quote/XELB","XELB")</f>
        <v/>
      </c>
      <c r="B6500" t="inlineStr">
        <is>
          <t>XCel Brands, Inc.</t>
        </is>
      </c>
      <c r="C6500" t="inlineStr">
        <is>
          <t>Nasdaq</t>
        </is>
      </c>
      <c r="D6500" t="n">
        <v>1083220</v>
      </c>
      <c r="E6500" t="inlineStr">
        <is>
          <t>SEC</t>
        </is>
      </c>
    </row>
    <row r="6501">
      <c r="A6501" s="5">
        <f>HYPERLINK("https://finance.yahoo.com/quote/BURU","BURU")</f>
        <v/>
      </c>
      <c r="B6501" t="inlineStr">
        <is>
          <t>Nuburu, Inc.</t>
        </is>
      </c>
      <c r="C6501" t="inlineStr">
        <is>
          <t>NYSE</t>
        </is>
      </c>
      <c r="D6501" t="n">
        <v>1814215</v>
      </c>
      <c r="E6501" t="inlineStr">
        <is>
          <t>SEC</t>
        </is>
      </c>
    </row>
    <row r="6502">
      <c r="A6502" s="5">
        <f>HYPERLINK("https://finance.yahoo.com/quote/MMEX","MMEX")</f>
        <v/>
      </c>
      <c r="B6502" t="inlineStr">
        <is>
          <t>MMEX Resources Corp</t>
        </is>
      </c>
      <c r="C6502" t="inlineStr">
        <is>
          <t>OTC</t>
        </is>
      </c>
      <c r="D6502" t="n">
        <v>1440799</v>
      </c>
      <c r="E6502" t="inlineStr">
        <is>
          <t>SEC</t>
        </is>
      </c>
    </row>
    <row r="6503">
      <c r="A6503" s="5">
        <f>HYPERLINK("https://finance.yahoo.com/quote/GWHT","GWHT")</f>
        <v/>
      </c>
      <c r="B6503" t="inlineStr">
        <is>
          <t>ESS Tech, Inc.</t>
        </is>
      </c>
      <c r="C6503" t="inlineStr">
        <is>
          <t>OTC</t>
        </is>
      </c>
      <c r="D6503" t="n">
        <v>1819438</v>
      </c>
      <c r="E6503" t="inlineStr">
        <is>
          <t>SEC</t>
        </is>
      </c>
    </row>
    <row r="6504">
      <c r="A6504" s="5">
        <f>HYPERLINK("https://finance.yahoo.com/quote/CHSN","CHSN")</f>
        <v/>
      </c>
      <c r="B6504" t="inlineStr">
        <is>
          <t>Chanson International Holding</t>
        </is>
      </c>
      <c r="C6504" t="inlineStr">
        <is>
          <t>Nasdaq</t>
        </is>
      </c>
      <c r="D6504" t="n">
        <v>1825349</v>
      </c>
      <c r="E6504" t="inlineStr">
        <is>
          <t>SEC</t>
        </is>
      </c>
    </row>
    <row r="6505">
      <c r="A6505" s="5">
        <f>HYPERLINK("https://finance.yahoo.com/quote/PAVS","PAVS")</f>
        <v/>
      </c>
      <c r="B6505" t="inlineStr">
        <is>
          <t>Paranovus Entertainment Technology Ltd.</t>
        </is>
      </c>
      <c r="C6505" t="inlineStr">
        <is>
          <t>Nasdaq</t>
        </is>
      </c>
      <c r="D6505" t="n">
        <v>1751876</v>
      </c>
      <c r="E6505" t="inlineStr">
        <is>
          <t>SEC</t>
        </is>
      </c>
    </row>
    <row r="6506">
      <c r="A6506" s="5">
        <f>HYPERLINK("https://finance.yahoo.com/quote/KTEL","KTEL")</f>
        <v/>
      </c>
      <c r="B6506" t="inlineStr">
        <is>
          <t>KonaTel, Inc.</t>
        </is>
      </c>
      <c r="C6506" t="inlineStr">
        <is>
          <t>OTC</t>
        </is>
      </c>
      <c r="D6506" t="n">
        <v>845819</v>
      </c>
      <c r="E6506" t="inlineStr">
        <is>
          <t>SEC</t>
        </is>
      </c>
    </row>
    <row r="6507">
      <c r="A6507" s="5">
        <f>HYPERLINK("https://finance.yahoo.com/quote/PWDY","PWDY")</f>
        <v/>
      </c>
      <c r="B6507" t="inlineStr">
        <is>
          <t>POWERDYNE INTERNATIONAL, INC.</t>
        </is>
      </c>
      <c r="C6507" t="inlineStr">
        <is>
          <t>OTC</t>
        </is>
      </c>
      <c r="D6507" t="n">
        <v>1435617</v>
      </c>
      <c r="E6507" t="inlineStr">
        <is>
          <t>SEC</t>
        </is>
      </c>
    </row>
    <row r="6508">
      <c r="A6508" s="5">
        <f>HYPERLINK("https://finance.yahoo.com/quote/REVB","REVB")</f>
        <v/>
      </c>
      <c r="B6508" t="inlineStr">
        <is>
          <t>REVELATION BIOSCIENCES, INC.</t>
        </is>
      </c>
      <c r="C6508" t="inlineStr">
        <is>
          <t>Nasdaq</t>
        </is>
      </c>
      <c r="D6508" t="n">
        <v>1810560</v>
      </c>
      <c r="E6508" t="inlineStr">
        <is>
          <t>SEC</t>
        </is>
      </c>
    </row>
    <row r="6509">
      <c r="A6509" s="5">
        <f>HYPERLINK("https://finance.yahoo.com/quote/ELAB","ELAB")</f>
        <v/>
      </c>
      <c r="B6509" t="inlineStr">
        <is>
          <t>PMGC Holdings Inc.</t>
        </is>
      </c>
      <c r="C6509" t="inlineStr">
        <is>
          <t>Nasdaq</t>
        </is>
      </c>
      <c r="D6509" t="n">
        <v>1840563</v>
      </c>
      <c r="E6509" t="inlineStr">
        <is>
          <t>SEC</t>
        </is>
      </c>
    </row>
    <row r="6510">
      <c r="A6510" s="5">
        <f>HYPERLINK("https://finance.yahoo.com/quote/ONCO","ONCO")</f>
        <v/>
      </c>
      <c r="B6510" t="inlineStr">
        <is>
          <t>Onconetix, Inc.</t>
        </is>
      </c>
      <c r="C6510" t="inlineStr">
        <is>
          <t>Nasdaq</t>
        </is>
      </c>
      <c r="D6510" t="n">
        <v>1782107</v>
      </c>
      <c r="E6510" t="inlineStr">
        <is>
          <t>SEC</t>
        </is>
      </c>
    </row>
    <row r="6511">
      <c r="A6511" s="5">
        <f>HYPERLINK("https://finance.yahoo.com/quote/XAIR","XAIR")</f>
        <v/>
      </c>
      <c r="B6511" t="inlineStr">
        <is>
          <t>Beyond Air, Inc.</t>
        </is>
      </c>
      <c r="C6511" t="inlineStr">
        <is>
          <t>Nasdaq</t>
        </is>
      </c>
      <c r="D6511" t="n">
        <v>1641631</v>
      </c>
      <c r="E6511" t="inlineStr">
        <is>
          <t>SEC</t>
        </is>
      </c>
    </row>
    <row r="6512">
      <c r="A6512" s="5">
        <f>HYPERLINK("https://finance.yahoo.com/quote/ABPO","ABPO")</f>
        <v/>
      </c>
      <c r="B6512" t="inlineStr">
        <is>
          <t>Abpro Holdings, Inc.</t>
        </is>
      </c>
      <c r="C6512" t="inlineStr">
        <is>
          <t>OTC</t>
        </is>
      </c>
      <c r="D6512" t="n">
        <v>1893219</v>
      </c>
      <c r="E6512" t="inlineStr">
        <is>
          <t>SEC</t>
        </is>
      </c>
    </row>
    <row r="6513">
      <c r="A6513" s="5">
        <f>HYPERLINK("https://finance.yahoo.com/quote/ACUT","ACUT")</f>
        <v/>
      </c>
      <c r="B6513" t="inlineStr">
        <is>
          <t>Accustem Sciences Inc.</t>
        </is>
      </c>
      <c r="C6513" t="inlineStr">
        <is>
          <t>OTC</t>
        </is>
      </c>
      <c r="D6513" t="n">
        <v>1850767</v>
      </c>
      <c r="E6513" t="inlineStr">
        <is>
          <t>SEC</t>
        </is>
      </c>
    </row>
    <row r="6514">
      <c r="A6514" s="5">
        <f>HYPERLINK("https://finance.yahoo.com/quote/SYGCF","SYGCF")</f>
        <v/>
      </c>
      <c r="B6514" t="inlineStr">
        <is>
          <t>Sylla Gold Corp.</t>
        </is>
      </c>
      <c r="C6514" t="inlineStr">
        <is>
          <t>OTC</t>
        </is>
      </c>
      <c r="D6514" t="n">
        <v>1917817</v>
      </c>
      <c r="E6514" t="inlineStr">
        <is>
          <t>SEC</t>
        </is>
      </c>
    </row>
    <row r="6515">
      <c r="A6515" s="5">
        <f>HYPERLINK("https://finance.yahoo.com/quote/ITP","ITP")</f>
        <v/>
      </c>
      <c r="B6515" t="inlineStr">
        <is>
          <t>IT TECH PACKAGING, INC.</t>
        </is>
      </c>
      <c r="C6515" t="inlineStr">
        <is>
          <t>NYSE</t>
        </is>
      </c>
      <c r="D6515" t="n">
        <v>1358190</v>
      </c>
      <c r="E6515" t="inlineStr">
        <is>
          <t>SEC</t>
        </is>
      </c>
    </row>
    <row r="6516">
      <c r="A6516" s="5">
        <f>HYPERLINK("https://finance.yahoo.com/quote/POAS","POAS")</f>
        <v/>
      </c>
      <c r="B6516" t="inlineStr">
        <is>
          <t>PHAOS TECHNOLOGY HOLDINGS (CAYMAN) Ltd</t>
        </is>
      </c>
      <c r="C6516" t="inlineStr">
        <is>
          <t>NYSE</t>
        </is>
      </c>
      <c r="D6516" t="n">
        <v>2024258</v>
      </c>
      <c r="E6516" t="inlineStr">
        <is>
          <t>SEC</t>
        </is>
      </c>
    </row>
    <row r="6517">
      <c r="A6517" s="5">
        <f>HYPERLINK("https://finance.yahoo.com/quote/AIBT","AIBT")</f>
        <v/>
      </c>
      <c r="B6517" t="inlineStr">
        <is>
          <t>AIBOTICS, INC.</t>
        </is>
      </c>
      <c r="C6517" t="inlineStr">
        <is>
          <t>OTC</t>
        </is>
      </c>
      <c r="D6517" t="n">
        <v>1763329</v>
      </c>
      <c r="E6517" t="inlineStr">
        <is>
          <t>SEC</t>
        </is>
      </c>
    </row>
    <row r="6518">
      <c r="A6518" s="5">
        <f>HYPERLINK("https://finance.yahoo.com/quote/RUBI","RUBI")</f>
        <v/>
      </c>
      <c r="B6518" t="inlineStr">
        <is>
          <t>Rubico Inc.</t>
        </is>
      </c>
      <c r="C6518" t="inlineStr">
        <is>
          <t>Nasdaq</t>
        </is>
      </c>
      <c r="D6518" t="n">
        <v>1943421</v>
      </c>
      <c r="E6518" t="inlineStr">
        <is>
          <t>SEC</t>
        </is>
      </c>
    </row>
    <row r="6519">
      <c r="A6519" s="5">
        <f>HYPERLINK("https://finance.yahoo.com/quote/OFAL","OFAL")</f>
        <v/>
      </c>
      <c r="B6519" t="inlineStr">
        <is>
          <t>OFA Group</t>
        </is>
      </c>
      <c r="C6519" t="inlineStr">
        <is>
          <t>Nasdaq</t>
        </is>
      </c>
      <c r="D6519" t="n">
        <v>2036307</v>
      </c>
      <c r="E6519" t="inlineStr">
        <is>
          <t>SEC</t>
        </is>
      </c>
    </row>
    <row r="6520">
      <c r="A6520" s="5">
        <f>HYPERLINK("https://finance.yahoo.com/quote/RIME","RIME")</f>
        <v/>
      </c>
      <c r="B6520" t="inlineStr">
        <is>
          <t>Algorhythm Holdings, Inc.</t>
        </is>
      </c>
      <c r="C6520" t="inlineStr">
        <is>
          <t>Nasdaq</t>
        </is>
      </c>
      <c r="D6520" t="n">
        <v>923601</v>
      </c>
      <c r="E6520" t="inlineStr">
        <is>
          <t>SEC</t>
        </is>
      </c>
    </row>
    <row r="6521">
      <c r="A6521" s="5">
        <f>HYPERLINK("https://finance.yahoo.com/quote/LGCL","LGCL")</f>
        <v/>
      </c>
      <c r="B6521" t="inlineStr">
        <is>
          <t>Lucas GC Ltd</t>
        </is>
      </c>
      <c r="C6521" t="inlineStr">
        <is>
          <t>Nasdaq</t>
        </is>
      </c>
      <c r="D6521" t="n">
        <v>1954694</v>
      </c>
      <c r="E6521" t="inlineStr">
        <is>
          <t>SEC</t>
        </is>
      </c>
    </row>
    <row r="6522">
      <c r="A6522" s="5">
        <f>HYPERLINK("https://finance.yahoo.com/quote/BRTX","BRTX")</f>
        <v/>
      </c>
      <c r="B6522" t="inlineStr">
        <is>
          <t>BioRestorative Therapies, Inc.</t>
        </is>
      </c>
      <c r="C6522" t="inlineStr">
        <is>
          <t>Nasdaq</t>
        </is>
      </c>
      <c r="D6522" t="n">
        <v>1505497</v>
      </c>
      <c r="E6522" t="inlineStr">
        <is>
          <t>SEC</t>
        </is>
      </c>
    </row>
    <row r="6523">
      <c r="A6523" s="5">
        <f>HYPERLINK("https://finance.yahoo.com/quote/ELPW","ELPW")</f>
        <v/>
      </c>
      <c r="B6523" t="inlineStr">
        <is>
          <t>Elong Power Holding Ltd.</t>
        </is>
      </c>
      <c r="C6523" t="inlineStr">
        <is>
          <t>Nasdaq</t>
        </is>
      </c>
      <c r="D6523" t="n">
        <v>2015691</v>
      </c>
      <c r="E6523" t="inlineStr">
        <is>
          <t>SEC</t>
        </is>
      </c>
    </row>
    <row r="6524">
      <c r="A6524" s="5">
        <f>HYPERLINK("https://finance.yahoo.com/quote/ISPC","ISPC")</f>
        <v/>
      </c>
      <c r="B6524" t="inlineStr">
        <is>
          <t>iSpecimen Inc.</t>
        </is>
      </c>
      <c r="C6524" t="inlineStr">
        <is>
          <t>Nasdaq</t>
        </is>
      </c>
      <c r="D6524" t="n">
        <v>1558569</v>
      </c>
      <c r="E6524" t="inlineStr">
        <is>
          <t>SEC</t>
        </is>
      </c>
    </row>
    <row r="6525">
      <c r="A6525" s="5">
        <f>HYPERLINK("https://finance.yahoo.com/quote/IWSH","IWSH")</f>
        <v/>
      </c>
      <c r="B6525" t="inlineStr">
        <is>
          <t>Wright Investors Service Holdings, Inc.</t>
        </is>
      </c>
      <c r="C6525" t="inlineStr">
        <is>
          <t>OTC</t>
        </is>
      </c>
      <c r="D6525" t="n">
        <v>1279715</v>
      </c>
      <c r="E6525" t="inlineStr">
        <is>
          <t>SEC</t>
        </is>
      </c>
    </row>
    <row r="6526">
      <c r="A6526" s="5">
        <f>HYPERLINK("https://finance.yahoo.com/quote/HNOI","HNOI")</f>
        <v/>
      </c>
      <c r="B6526" t="inlineStr">
        <is>
          <t>HNO International, Inc.</t>
        </is>
      </c>
      <c r="C6526" t="inlineStr">
        <is>
          <t>OTC</t>
        </is>
      </c>
      <c r="D6526" t="n">
        <v>1342916</v>
      </c>
      <c r="E6526" t="inlineStr">
        <is>
          <t>SEC</t>
        </is>
      </c>
    </row>
    <row r="6527">
      <c r="A6527" s="5">
        <f>HYPERLINK("https://finance.yahoo.com/quote/SBFM","SBFM")</f>
        <v/>
      </c>
      <c r="B6527" t="inlineStr">
        <is>
          <t>Sunshine Biopharma Inc.</t>
        </is>
      </c>
      <c r="C6527" t="inlineStr">
        <is>
          <t>Nasdaq</t>
        </is>
      </c>
      <c r="D6527" t="n">
        <v>1402328</v>
      </c>
      <c r="E6527" t="inlineStr">
        <is>
          <t>SEC</t>
        </is>
      </c>
    </row>
    <row r="6528">
      <c r="A6528" s="5">
        <f>HYPERLINK("https://finance.yahoo.com/quote/PUROF","PUROF")</f>
        <v/>
      </c>
      <c r="B6528" t="inlineStr">
        <is>
          <t>Platauro Metals Corp.</t>
        </is>
      </c>
      <c r="C6528" t="inlineStr">
        <is>
          <t>OTC</t>
        </is>
      </c>
      <c r="D6528" t="n">
        <v>1609436</v>
      </c>
      <c r="E6528" t="inlineStr">
        <is>
          <t>SEC</t>
        </is>
      </c>
    </row>
    <row r="6529">
      <c r="A6529" s="5">
        <f>HYPERLINK("https://finance.yahoo.com/quote/TOFB","TOFB")</f>
        <v/>
      </c>
      <c r="B6529" t="inlineStr">
        <is>
          <t>TOFUTTI BRANDS INC</t>
        </is>
      </c>
      <c r="C6529" t="inlineStr">
        <is>
          <t>OTC</t>
        </is>
      </c>
      <c r="D6529" t="n">
        <v>730349</v>
      </c>
      <c r="E6529" t="inlineStr">
        <is>
          <t>SEC</t>
        </is>
      </c>
    </row>
    <row r="6530">
      <c r="A6530" s="5">
        <f>HYPERLINK("https://finance.yahoo.com/quote/GPOX","GPOX")</f>
        <v/>
      </c>
      <c r="B6530" t="inlineStr">
        <is>
          <t>GPO Plus, Inc.</t>
        </is>
      </c>
      <c r="C6530" t="inlineStr">
        <is>
          <t>OTC</t>
        </is>
      </c>
      <c r="D6530" t="n">
        <v>1673475</v>
      </c>
      <c r="E6530" t="inlineStr">
        <is>
          <t>SEC</t>
        </is>
      </c>
    </row>
    <row r="6531">
      <c r="A6531" s="5">
        <f>HYPERLINK("https://finance.yahoo.com/quote/CASIF","CASIF")</f>
        <v/>
      </c>
      <c r="B6531" t="inlineStr">
        <is>
          <t>CASI Pharmaceuticals, Inc.</t>
        </is>
      </c>
      <c r="C6531" t="inlineStr">
        <is>
          <t>OTC</t>
        </is>
      </c>
      <c r="D6531" t="n">
        <v>1962738</v>
      </c>
      <c r="E6531" t="inlineStr">
        <is>
          <t>SEC</t>
        </is>
      </c>
    </row>
    <row r="6532">
      <c r="A6532" s="5">
        <f>HYPERLINK("https://finance.yahoo.com/quote/WCUFF","WCUFF")</f>
        <v/>
      </c>
      <c r="B6532" t="inlineStr">
        <is>
          <t>World Copper Ltd.</t>
        </is>
      </c>
      <c r="C6532" t="inlineStr">
        <is>
          <t>OTC</t>
        </is>
      </c>
      <c r="D6532" t="n">
        <v>1902276</v>
      </c>
      <c r="E6532" t="inlineStr">
        <is>
          <t>SEC</t>
        </is>
      </c>
    </row>
    <row r="6533">
      <c r="A6533" s="5">
        <f>HYPERLINK("https://finance.yahoo.com/quote/GOVX","GOVX")</f>
        <v/>
      </c>
      <c r="B6533" t="inlineStr">
        <is>
          <t>GeoVax Labs, Inc.</t>
        </is>
      </c>
      <c r="C6533" t="inlineStr">
        <is>
          <t>Nasdaq</t>
        </is>
      </c>
      <c r="D6533" t="n">
        <v>832489</v>
      </c>
      <c r="E6533" t="inlineStr">
        <is>
          <t>SEC</t>
        </is>
      </c>
    </row>
    <row r="6534">
      <c r="A6534" s="5">
        <f>HYPERLINK("https://finance.yahoo.com/quote/SVBL","SVBL")</f>
        <v/>
      </c>
      <c r="B6534" t="inlineStr">
        <is>
          <t>SILVER BULL RESOURCES, INC.</t>
        </is>
      </c>
      <c r="C6534" t="inlineStr">
        <is>
          <t>OTC</t>
        </is>
      </c>
      <c r="D6534" t="n">
        <v>1031093</v>
      </c>
      <c r="E6534" t="inlineStr">
        <is>
          <t>SEC</t>
        </is>
      </c>
    </row>
    <row r="6535">
      <c r="A6535" s="5">
        <f>HYPERLINK("https://finance.yahoo.com/quote/ABVEF","ABVEF")</f>
        <v/>
      </c>
      <c r="B6535" t="inlineStr">
        <is>
          <t>Above Food Ingredients Inc.</t>
        </is>
      </c>
      <c r="C6535" t="inlineStr">
        <is>
          <t>OTC</t>
        </is>
      </c>
      <c r="D6535" t="n">
        <v>1979484</v>
      </c>
      <c r="E6535" t="inlineStr">
        <is>
          <t>SEC</t>
        </is>
      </c>
    </row>
    <row r="6536">
      <c r="A6536" s="5">
        <f>HYPERLINK("https://finance.yahoo.com/quote/FMFC","FMFC")</f>
        <v/>
      </c>
      <c r="B6536" t="inlineStr">
        <is>
          <t>Kandal M Venture Ltd</t>
        </is>
      </c>
      <c r="C6536" t="inlineStr">
        <is>
          <t>Nasdaq</t>
        </is>
      </c>
      <c r="D6536" t="n">
        <v>2024656</v>
      </c>
      <c r="E6536" t="inlineStr">
        <is>
          <t>SEC</t>
        </is>
      </c>
    </row>
    <row r="6537">
      <c r="A6537" s="5">
        <f>HYPERLINK("https://finance.yahoo.com/quote/CLRI","CLRI")</f>
        <v/>
      </c>
      <c r="B6537" t="inlineStr">
        <is>
          <t>Cleartronic, Inc.</t>
        </is>
      </c>
      <c r="C6537" t="inlineStr">
        <is>
          <t>OTC</t>
        </is>
      </c>
      <c r="D6537" t="n">
        <v>1362516</v>
      </c>
      <c r="E6537" t="inlineStr">
        <is>
          <t>SEC</t>
        </is>
      </c>
    </row>
    <row r="6538">
      <c r="A6538" s="5">
        <f>HYPERLINK("https://finance.yahoo.com/quote/SGLY","SGLY")</f>
        <v/>
      </c>
      <c r="B6538" t="inlineStr">
        <is>
          <t>Singularity Future Technology Ltd.</t>
        </is>
      </c>
      <c r="C6538" t="inlineStr">
        <is>
          <t>Nasdaq</t>
        </is>
      </c>
      <c r="D6538" t="n">
        <v>1422892</v>
      </c>
      <c r="E6538" t="inlineStr">
        <is>
          <t>SEC</t>
        </is>
      </c>
    </row>
    <row r="6539">
      <c r="A6539" s="5">
        <f>HYPERLINK("https://finance.yahoo.com/quote/CSAI","CSAI")</f>
        <v/>
      </c>
      <c r="B6539" t="inlineStr">
        <is>
          <t>CLOUDASTRUCTURE, INC.</t>
        </is>
      </c>
      <c r="C6539" t="inlineStr">
        <is>
          <t>Nasdaq</t>
        </is>
      </c>
      <c r="D6539" t="n">
        <v>1709628</v>
      </c>
      <c r="E6539" t="inlineStr">
        <is>
          <t>SEC</t>
        </is>
      </c>
    </row>
    <row r="6540">
      <c r="A6540" s="5">
        <f>HYPERLINK("https://finance.yahoo.com/quote/PARA","PARA")</f>
        <v/>
      </c>
      <c r="B6540" t="inlineStr">
        <is>
          <t>Banzai International, Inc.</t>
        </is>
      </c>
      <c r="C6540" t="inlineStr">
        <is>
          <t>Nasdaq</t>
        </is>
      </c>
      <c r="D6540" t="n">
        <v>1826011</v>
      </c>
      <c r="E6540" t="inlineStr">
        <is>
          <t>SEC</t>
        </is>
      </c>
    </row>
    <row r="6541">
      <c r="A6541" s="5">
        <f>HYPERLINK("https://finance.yahoo.com/quote/CIMG","CIMG")</f>
        <v/>
      </c>
      <c r="B6541" t="inlineStr">
        <is>
          <t>CIMG Inc.</t>
        </is>
      </c>
      <c r="C6541" t="inlineStr">
        <is>
          <t>OTC</t>
        </is>
      </c>
      <c r="D6541" t="n">
        <v>1527613</v>
      </c>
      <c r="E6541" t="inlineStr">
        <is>
          <t>SEC</t>
        </is>
      </c>
    </row>
    <row r="6542">
      <c r="A6542" s="5">
        <f>HYPERLINK("https://finance.yahoo.com/quote/VYST","VYST")</f>
        <v/>
      </c>
      <c r="B6542" t="inlineStr">
        <is>
          <t>Vystar Corp</t>
        </is>
      </c>
      <c r="C6542" t="inlineStr">
        <is>
          <t>OTC</t>
        </is>
      </c>
      <c r="D6542" t="n">
        <v>1308027</v>
      </c>
      <c r="E6542" t="inlineStr">
        <is>
          <t>SEC</t>
        </is>
      </c>
    </row>
    <row r="6543">
      <c r="A6543" s="5">
        <f>HYPERLINK("https://finance.yahoo.com/quote/NXL","NXL")</f>
        <v/>
      </c>
      <c r="B6543" t="inlineStr">
        <is>
          <t>Nexalin Technology, Inc.</t>
        </is>
      </c>
      <c r="C6543" t="inlineStr">
        <is>
          <t>Nasdaq</t>
        </is>
      </c>
      <c r="D6543" t="n">
        <v>1527352</v>
      </c>
      <c r="E6543" t="inlineStr">
        <is>
          <t>SEC</t>
        </is>
      </c>
    </row>
    <row r="6544">
      <c r="A6544" s="5">
        <f>HYPERLINK("https://finance.yahoo.com/quote/AREB","AREB")</f>
        <v/>
      </c>
      <c r="B6544" t="inlineStr">
        <is>
          <t>AMERICAN REBEL HOLDINGS INC</t>
        </is>
      </c>
      <c r="C6544" t="inlineStr">
        <is>
          <t>OTC</t>
        </is>
      </c>
      <c r="D6544" t="n">
        <v>1648087</v>
      </c>
      <c r="E6544" t="inlineStr">
        <is>
          <t>SEC</t>
        </is>
      </c>
    </row>
    <row r="6545">
      <c r="A6545" s="5">
        <f>HYPERLINK("https://finance.yahoo.com/quote/SMX","SMX")</f>
        <v/>
      </c>
      <c r="B6545" t="inlineStr">
        <is>
          <t>SMX (Security Matters) Public Ltd Co</t>
        </is>
      </c>
      <c r="C6545" t="inlineStr">
        <is>
          <t>Nasdaq</t>
        </is>
      </c>
      <c r="D6545" t="n">
        <v>1940674</v>
      </c>
      <c r="E6545" t="inlineStr">
        <is>
          <t>SEC</t>
        </is>
      </c>
    </row>
    <row r="6546">
      <c r="A6546" s="5">
        <f>HYPERLINK("https://finance.yahoo.com/quote/AGMH","AGMH")</f>
        <v/>
      </c>
      <c r="B6546" t="inlineStr">
        <is>
          <t>AGM GROUP HOLDINGS, INC.</t>
        </is>
      </c>
      <c r="C6546" t="inlineStr">
        <is>
          <t>Nasdaq</t>
        </is>
      </c>
      <c r="D6546" t="n">
        <v>1705402</v>
      </c>
      <c r="E6546" t="inlineStr">
        <is>
          <t>SEC</t>
        </is>
      </c>
    </row>
    <row r="6547">
      <c r="A6547" s="5">
        <f>HYPERLINK("https://finance.yahoo.com/quote/RETO","RETO")</f>
        <v/>
      </c>
      <c r="B6547" t="inlineStr">
        <is>
          <t>ReTo Eco-Solutions, Inc.</t>
        </is>
      </c>
      <c r="C6547" t="inlineStr">
        <is>
          <t>Nasdaq</t>
        </is>
      </c>
      <c r="D6547" t="n">
        <v>1687277</v>
      </c>
      <c r="E6547" t="inlineStr">
        <is>
          <t>SEC</t>
        </is>
      </c>
    </row>
    <row r="6548">
      <c r="A6548" s="5">
        <f>HYPERLINK("https://finance.yahoo.com/quote/KAPA","KAPA")</f>
        <v/>
      </c>
      <c r="B6548" t="inlineStr">
        <is>
          <t>Kairos Pharma, LTD.</t>
        </is>
      </c>
      <c r="C6548" t="inlineStr">
        <is>
          <t>NYSE</t>
        </is>
      </c>
      <c r="D6548" t="n">
        <v>1962011</v>
      </c>
      <c r="E6548" t="inlineStr">
        <is>
          <t>SEC</t>
        </is>
      </c>
    </row>
    <row r="6549">
      <c r="A6549" s="5">
        <f>HYPERLINK("https://finance.yahoo.com/quote/CRCE","CRCE")</f>
        <v/>
      </c>
      <c r="B6549" t="inlineStr">
        <is>
          <t>Circle Energy, Inc./NV</t>
        </is>
      </c>
      <c r="C6549" t="inlineStr">
        <is>
          <t>OTC</t>
        </is>
      </c>
      <c r="D6549" t="n">
        <v>1911467</v>
      </c>
      <c r="E6549" t="inlineStr">
        <is>
          <t>SEC</t>
        </is>
      </c>
    </row>
    <row r="6550">
      <c r="A6550" s="5">
        <f>HYPERLINK("https://finance.yahoo.com/quote/VBIO","VBIO")</f>
        <v/>
      </c>
      <c r="B6550" t="inlineStr">
        <is>
          <t>Valion Bio, Inc.</t>
        </is>
      </c>
      <c r="C6550" t="inlineStr">
        <is>
          <t>Nasdaq</t>
        </is>
      </c>
      <c r="D6550" t="n">
        <v>1787740</v>
      </c>
      <c r="E6550" t="inlineStr">
        <is>
          <t>SEC</t>
        </is>
      </c>
    </row>
    <row r="6551">
      <c r="A6551" s="5">
        <f>HYPERLINK("https://finance.yahoo.com/quote/PMAX","PMAX")</f>
        <v/>
      </c>
      <c r="B6551" t="inlineStr">
        <is>
          <t>Powell Max Ltd</t>
        </is>
      </c>
      <c r="C6551" t="inlineStr">
        <is>
          <t>Nasdaq</t>
        </is>
      </c>
      <c r="D6551" t="n">
        <v>2012096</v>
      </c>
      <c r="E6551" t="inlineStr">
        <is>
          <t>SEC</t>
        </is>
      </c>
    </row>
    <row r="6552">
      <c r="A6552" s="5">
        <f>HYPERLINK("https://finance.yahoo.com/quote/TGNT","TGNT")</f>
        <v/>
      </c>
      <c r="B6552" t="inlineStr">
        <is>
          <t>Totaligent, Inc.</t>
        </is>
      </c>
      <c r="C6552" t="inlineStr">
        <is>
          <t>OTC</t>
        </is>
      </c>
      <c r="D6552" t="n">
        <v>846377</v>
      </c>
      <c r="E6552" t="inlineStr">
        <is>
          <t>SEC</t>
        </is>
      </c>
    </row>
    <row r="6553">
      <c r="A6553" s="5">
        <f>HYPERLINK("https://finance.yahoo.com/quote/CHGA","CHGA")</f>
        <v/>
      </c>
      <c r="B6553" t="inlineStr">
        <is>
          <t>Change Agents Corporation.</t>
        </is>
      </c>
      <c r="C6553" t="inlineStr">
        <is>
          <t>Nasdaq</t>
        </is>
      </c>
      <c r="D6553" t="n">
        <v>1630212</v>
      </c>
      <c r="E6553" t="inlineStr">
        <is>
          <t>SEC</t>
        </is>
      </c>
    </row>
    <row r="6554">
      <c r="A6554" s="5">
        <f>HYPERLINK("https://finance.yahoo.com/quote/OGEN","OGEN")</f>
        <v/>
      </c>
      <c r="B6554" t="inlineStr">
        <is>
          <t>ORAGENICS INC</t>
        </is>
      </c>
      <c r="C6554" t="inlineStr">
        <is>
          <t>NYSE</t>
        </is>
      </c>
      <c r="D6554" t="n">
        <v>1174940</v>
      </c>
      <c r="E6554" t="inlineStr">
        <is>
          <t>SEC</t>
        </is>
      </c>
    </row>
    <row r="6555">
      <c r="A6555" s="5">
        <f>HYPERLINK("https://finance.yahoo.com/quote/GSUN","GSUN")</f>
        <v/>
      </c>
      <c r="B6555" t="inlineStr">
        <is>
          <t>Golden Sun Technology Group Ltd.</t>
        </is>
      </c>
      <c r="C6555" t="inlineStr">
        <is>
          <t>Nasdaq</t>
        </is>
      </c>
      <c r="D6555" t="n">
        <v>1826376</v>
      </c>
      <c r="E6555" t="inlineStr">
        <is>
          <t>SEC</t>
        </is>
      </c>
    </row>
    <row r="6556">
      <c r="A6556" s="5">
        <f>HYPERLINK("https://finance.yahoo.com/quote/IZM","IZM")</f>
        <v/>
      </c>
      <c r="B6556" t="inlineStr">
        <is>
          <t>ICZOOM Group Inc.</t>
        </is>
      </c>
      <c r="C6556" t="inlineStr">
        <is>
          <t>Nasdaq</t>
        </is>
      </c>
      <c r="D6556" t="n">
        <v>1854572</v>
      </c>
      <c r="E6556" t="inlineStr">
        <is>
          <t>SEC</t>
        </is>
      </c>
    </row>
    <row r="6557">
      <c r="A6557" s="5">
        <f>HYPERLINK("https://finance.yahoo.com/quote/EDVA","EDVA")</f>
        <v/>
      </c>
      <c r="B6557" t="inlineStr">
        <is>
          <t>Endovia Health Sciences, Inc.</t>
        </is>
      </c>
      <c r="C6557" t="inlineStr">
        <is>
          <t>NYSE</t>
        </is>
      </c>
      <c r="D6557" t="n">
        <v>1553788</v>
      </c>
      <c r="E6557" t="inlineStr">
        <is>
          <t>SEC</t>
        </is>
      </c>
    </row>
    <row r="6558">
      <c r="A6558" s="5">
        <f>HYPERLINK("https://finance.yahoo.com/quote/HCAI","HCAI")</f>
        <v/>
      </c>
      <c r="B6558" t="inlineStr">
        <is>
          <t>Huachen AI Parking Management Technology Holding Co., Ltd</t>
        </is>
      </c>
      <c r="C6558" t="inlineStr">
        <is>
          <t>Nasdaq</t>
        </is>
      </c>
      <c r="D6558" t="n">
        <v>1958399</v>
      </c>
      <c r="E6558" t="inlineStr">
        <is>
          <t>SEC</t>
        </is>
      </c>
    </row>
    <row r="6559">
      <c r="A6559" s="5">
        <f>HYPERLINK("https://finance.yahoo.com/quote/OVTZ","OVTZ")</f>
        <v/>
      </c>
      <c r="B6559" t="inlineStr">
        <is>
          <t>OCULUS INC.</t>
        </is>
      </c>
      <c r="C6559" t="inlineStr">
        <is>
          <t>OTC</t>
        </is>
      </c>
      <c r="D6559" t="n">
        <v>1107280</v>
      </c>
      <c r="E6559" t="inlineStr">
        <is>
          <t>SEC</t>
        </is>
      </c>
    </row>
    <row r="6560">
      <c r="A6560" s="5">
        <f>HYPERLINK("https://finance.yahoo.com/quote/CISS","CISS")</f>
        <v/>
      </c>
      <c r="B6560" t="inlineStr">
        <is>
          <t>C3is Inc.</t>
        </is>
      </c>
      <c r="C6560" t="inlineStr">
        <is>
          <t>Nasdaq</t>
        </is>
      </c>
      <c r="D6560" t="n">
        <v>1951067</v>
      </c>
      <c r="E6560" t="inlineStr">
        <is>
          <t>SEC</t>
        </is>
      </c>
    </row>
    <row r="6561">
      <c r="A6561" s="5">
        <f>HYPERLINK("https://finance.yahoo.com/quote/CIIT","CIIT")</f>
        <v/>
      </c>
      <c r="B6561" t="inlineStr">
        <is>
          <t>Tianci International, Inc.</t>
        </is>
      </c>
      <c r="C6561" t="inlineStr">
        <is>
          <t>Nasdaq</t>
        </is>
      </c>
      <c r="D6561" t="n">
        <v>1557798</v>
      </c>
      <c r="E6561" t="inlineStr">
        <is>
          <t>SEC</t>
        </is>
      </c>
    </row>
    <row r="6562">
      <c r="A6562" s="5">
        <f>HYPERLINK("https://finance.yahoo.com/quote/LINMF","LINMF")</f>
        <v/>
      </c>
      <c r="B6562" t="inlineStr">
        <is>
          <t>Linear Minerals Corp</t>
        </is>
      </c>
      <c r="C6562" t="inlineStr">
        <is>
          <t>OTC</t>
        </is>
      </c>
      <c r="D6562" t="n">
        <v>1066130</v>
      </c>
      <c r="E6562" t="inlineStr">
        <is>
          <t>SEC</t>
        </is>
      </c>
    </row>
    <row r="6563">
      <c r="A6563" s="5">
        <f>HYPERLINK("https://finance.yahoo.com/quote/SRKZF","SRKZF")</f>
        <v/>
      </c>
      <c r="B6563" t="inlineStr">
        <is>
          <t>SKY GOLD CORP.</t>
        </is>
      </c>
      <c r="C6563" t="inlineStr">
        <is>
          <t>OTC</t>
        </is>
      </c>
      <c r="D6563" t="n">
        <v>1723455</v>
      </c>
      <c r="E6563" t="inlineStr">
        <is>
          <t>SEC</t>
        </is>
      </c>
    </row>
    <row r="6564">
      <c r="A6564" s="5">
        <f>HYPERLINK("https://finance.yahoo.com/quote/IPTNF","IPTNF")</f>
        <v/>
      </c>
      <c r="B6564" t="inlineStr">
        <is>
          <t>IMPACT ANALYTICS INC.</t>
        </is>
      </c>
      <c r="C6564" t="inlineStr">
        <is>
          <t>OTC</t>
        </is>
      </c>
      <c r="D6564" t="n">
        <v>1680513</v>
      </c>
      <c r="E6564" t="inlineStr">
        <is>
          <t>SEC</t>
        </is>
      </c>
    </row>
    <row r="6565">
      <c r="A6565" s="5">
        <f>HYPERLINK("https://finance.yahoo.com/quote/JEM","JEM")</f>
        <v/>
      </c>
      <c r="B6565" t="inlineStr">
        <is>
          <t>707 Cayman Holdings Ltd.</t>
        </is>
      </c>
      <c r="C6565" t="inlineStr">
        <is>
          <t>Nasdaq</t>
        </is>
      </c>
      <c r="D6565" t="n">
        <v>2018222</v>
      </c>
      <c r="E6565" t="inlineStr">
        <is>
          <t>SEC</t>
        </is>
      </c>
    </row>
    <row r="6566">
      <c r="A6566" s="5">
        <f>HYPERLINK("https://finance.yahoo.com/quote/MITI","MITI")</f>
        <v/>
      </c>
      <c r="B6566" t="inlineStr">
        <is>
          <t>Mitesco, Inc.</t>
        </is>
      </c>
      <c r="C6566" t="inlineStr">
        <is>
          <t>OTC</t>
        </is>
      </c>
      <c r="D6566" t="n">
        <v>802257</v>
      </c>
      <c r="E6566" t="inlineStr">
        <is>
          <t>SEC</t>
        </is>
      </c>
    </row>
    <row r="6567">
      <c r="A6567" s="5">
        <f>HYPERLINK("https://finance.yahoo.com/quote/IPST","IPST")</f>
        <v/>
      </c>
      <c r="B6567" t="inlineStr">
        <is>
          <t>IP STRATEGY HOLDINGS, INC.</t>
        </is>
      </c>
      <c r="C6567" t="inlineStr">
        <is>
          <t>Nasdaq</t>
        </is>
      </c>
      <c r="D6567" t="n">
        <v>1788230</v>
      </c>
      <c r="E6567" t="inlineStr">
        <is>
          <t>SEC</t>
        </is>
      </c>
    </row>
    <row r="6568">
      <c r="A6568" s="5">
        <f>HYPERLINK("https://finance.yahoo.com/quote/CBIH","CBIH")</f>
        <v/>
      </c>
      <c r="B6568" t="inlineStr">
        <is>
          <t>Cannabis Bioscience International Holdings, Inc.</t>
        </is>
      </c>
      <c r="C6568" t="inlineStr">
        <is>
          <t>OTC</t>
        </is>
      </c>
      <c r="D6568" t="n">
        <v>1411057</v>
      </c>
      <c r="E6568" t="inlineStr">
        <is>
          <t>SEC</t>
        </is>
      </c>
    </row>
    <row r="6569">
      <c r="A6569" s="5">
        <f>HYPERLINK("https://finance.yahoo.com/quote/AVPMF","AVPMF")</f>
        <v/>
      </c>
      <c r="B6569" t="inlineStr">
        <is>
          <t>AVRUPA MINERALS LTD.</t>
        </is>
      </c>
      <c r="C6569" t="inlineStr">
        <is>
          <t>OTC</t>
        </is>
      </c>
      <c r="D6569" t="n">
        <v>1445467</v>
      </c>
      <c r="E6569" t="inlineStr">
        <is>
          <t>SEC</t>
        </is>
      </c>
    </row>
    <row r="6570">
      <c r="A6570" s="5">
        <f>HYPERLINK("https://finance.yahoo.com/quote/AIXI","AIXI")</f>
        <v/>
      </c>
      <c r="B6570" t="inlineStr">
        <is>
          <t>Xiao-I Corp</t>
        </is>
      </c>
      <c r="C6570" t="inlineStr">
        <is>
          <t>Nasdaq</t>
        </is>
      </c>
      <c r="D6570" t="n">
        <v>1935172</v>
      </c>
      <c r="E6570" t="inlineStr">
        <is>
          <t>SEC</t>
        </is>
      </c>
    </row>
    <row r="6571">
      <c r="A6571" s="5">
        <f>HYPERLINK("https://finance.yahoo.com/quote/XRTX","XRTX")</f>
        <v/>
      </c>
      <c r="B6571" t="inlineStr">
        <is>
          <t>XORTX Therapeutics Inc.</t>
        </is>
      </c>
      <c r="C6571" t="inlineStr">
        <is>
          <t>Nasdaq</t>
        </is>
      </c>
      <c r="D6571" t="n">
        <v>1729214</v>
      </c>
      <c r="E6571" t="inlineStr">
        <is>
          <t>SEC</t>
        </is>
      </c>
    </row>
    <row r="6572">
      <c r="A6572" s="5">
        <f>HYPERLINK("https://finance.yahoo.com/quote/EEGI","EEGI")</f>
        <v/>
      </c>
      <c r="B6572" t="inlineStr">
        <is>
          <t>Eline Entertainment Group, Inc.</t>
        </is>
      </c>
      <c r="C6572" t="inlineStr">
        <is>
          <t>OTC</t>
        </is>
      </c>
      <c r="D6572" t="n">
        <v>1043150</v>
      </c>
      <c r="E6572" t="inlineStr">
        <is>
          <t>SEC</t>
        </is>
      </c>
    </row>
    <row r="6573">
      <c r="A6573" s="5">
        <f>HYPERLINK("https://finance.yahoo.com/quote/SCDA","SCDA")</f>
        <v/>
      </c>
      <c r="B6573" t="inlineStr">
        <is>
          <t>B-Scada, Inc.</t>
        </is>
      </c>
      <c r="C6573" t="inlineStr">
        <is>
          <t>OTC</t>
        </is>
      </c>
      <c r="D6573" t="n">
        <v>1341878</v>
      </c>
      <c r="E6573" t="inlineStr">
        <is>
          <t>SEC</t>
        </is>
      </c>
    </row>
    <row r="6574">
      <c r="A6574" s="5">
        <f>HYPERLINK("https://finance.yahoo.com/quote/FLZH","FLZH")</f>
        <v/>
      </c>
      <c r="B6574" t="inlineStr">
        <is>
          <t>Flash Sports &amp; Media Holdings, Inc.</t>
        </is>
      </c>
      <c r="C6574" t="inlineStr">
        <is>
          <t>OTC</t>
        </is>
      </c>
      <c r="D6574" t="n">
        <v>1706524</v>
      </c>
      <c r="E6574" t="inlineStr">
        <is>
          <t>SEC</t>
        </is>
      </c>
    </row>
    <row r="6575">
      <c r="A6575" s="5">
        <f>HYPERLINK("https://finance.yahoo.com/quote/MTNB","MTNB")</f>
        <v/>
      </c>
      <c r="B6575" t="inlineStr">
        <is>
          <t>Matinas BioPharma Holdings, Inc.</t>
        </is>
      </c>
      <c r="C6575" t="inlineStr">
        <is>
          <t>NYSE</t>
        </is>
      </c>
      <c r="D6575" t="n">
        <v>1582554</v>
      </c>
      <c r="E6575" t="inlineStr">
        <is>
          <t>SEC</t>
        </is>
      </c>
    </row>
    <row r="6576">
      <c r="A6576" s="5">
        <f>HYPERLINK("https://finance.yahoo.com/quote/VRAX","VRAX")</f>
        <v/>
      </c>
      <c r="B6576" t="inlineStr">
        <is>
          <t>Virax Biolabs Group Ltd</t>
        </is>
      </c>
      <c r="C6576" t="inlineStr">
        <is>
          <t>Nasdaq</t>
        </is>
      </c>
      <c r="D6576" t="n">
        <v>1885827</v>
      </c>
      <c r="E6576" t="inlineStr">
        <is>
          <t>SEC</t>
        </is>
      </c>
    </row>
    <row r="6577">
      <c r="A6577" s="5">
        <f>HYPERLINK("https://finance.yahoo.com/quote/PPBT","PPBT")</f>
        <v/>
      </c>
      <c r="B6577" t="inlineStr">
        <is>
          <t>PURPLE BIOTECH LTD.</t>
        </is>
      </c>
      <c r="C6577" t="inlineStr">
        <is>
          <t>Nasdaq</t>
        </is>
      </c>
      <c r="D6577" t="n">
        <v>1614744</v>
      </c>
      <c r="E6577" t="inlineStr">
        <is>
          <t>SEC</t>
        </is>
      </c>
    </row>
    <row r="6578">
      <c r="A6578" s="5">
        <f>HYPERLINK("https://finance.yahoo.com/quote/YFOR","YFOR")</f>
        <v/>
      </c>
      <c r="B6578" t="inlineStr">
        <is>
          <t>YYForce Inc.</t>
        </is>
      </c>
      <c r="C6578" t="inlineStr">
        <is>
          <t>Nasdaq</t>
        </is>
      </c>
      <c r="D6578" t="n">
        <v>1985337</v>
      </c>
      <c r="E6578" t="inlineStr">
        <is>
          <t>SEC</t>
        </is>
      </c>
    </row>
    <row r="6579">
      <c r="A6579" s="5">
        <f>HYPERLINK("https://finance.yahoo.com/quote/EDBL","EDBL")</f>
        <v/>
      </c>
      <c r="B6579" t="inlineStr">
        <is>
          <t>Edible Garden AG Inc</t>
        </is>
      </c>
      <c r="C6579" t="inlineStr">
        <is>
          <t>Nasdaq</t>
        </is>
      </c>
      <c r="D6579" t="n">
        <v>1809750</v>
      </c>
      <c r="E6579" t="inlineStr">
        <is>
          <t>SEC</t>
        </is>
      </c>
    </row>
    <row r="6580">
      <c r="A6580" s="5">
        <f>HYPERLINK("https://finance.yahoo.com/quote/ILLR","ILLR")</f>
        <v/>
      </c>
      <c r="B6580" t="inlineStr">
        <is>
          <t>Triller Group Inc.</t>
        </is>
      </c>
      <c r="C6580" t="inlineStr">
        <is>
          <t>OTC</t>
        </is>
      </c>
      <c r="D6580" t="n">
        <v>1769624</v>
      </c>
      <c r="E6580" t="inlineStr">
        <is>
          <t>SEC</t>
        </is>
      </c>
    </row>
    <row r="6581">
      <c r="A6581" s="5">
        <f>HYPERLINK("https://finance.yahoo.com/quote/SSM","SSM")</f>
        <v/>
      </c>
      <c r="B6581" t="inlineStr">
        <is>
          <t>Sono Group N.V.</t>
        </is>
      </c>
      <c r="C6581" t="inlineStr">
        <is>
          <t>Nasdaq</t>
        </is>
      </c>
      <c r="D6581" t="n">
        <v>1840416</v>
      </c>
      <c r="E6581" t="inlineStr">
        <is>
          <t>SEC</t>
        </is>
      </c>
    </row>
    <row r="6582">
      <c r="A6582" s="5">
        <f>HYPERLINK("https://finance.yahoo.com/quote/IPDN","IPDN")</f>
        <v/>
      </c>
      <c r="B6582" t="inlineStr">
        <is>
          <t>Professional Diversity Network, Inc.</t>
        </is>
      </c>
      <c r="C6582" t="inlineStr">
        <is>
          <t>Nasdaq</t>
        </is>
      </c>
      <c r="D6582" t="n">
        <v>1546296</v>
      </c>
      <c r="E6582" t="inlineStr">
        <is>
          <t>SEC</t>
        </is>
      </c>
    </row>
    <row r="6583">
      <c r="A6583" s="5">
        <f>HYPERLINK("https://finance.yahoo.com/quote/CLDVF","CLDVF")</f>
        <v/>
      </c>
      <c r="B6583" t="inlineStr">
        <is>
          <t>Cloud3 Ventures Inc.</t>
        </is>
      </c>
      <c r="C6583" t="inlineStr">
        <is>
          <t>OTC</t>
        </is>
      </c>
      <c r="D6583" t="n">
        <v>1971260</v>
      </c>
      <c r="E6583" t="inlineStr">
        <is>
          <t>SEC</t>
        </is>
      </c>
    </row>
    <row r="6584">
      <c r="A6584" s="5">
        <f>HYPERLINK("https://finance.yahoo.com/quote/PSYCF","PSYCF")</f>
        <v/>
      </c>
      <c r="B6584" t="inlineStr">
        <is>
          <t>Psyched Wellness Ltd.</t>
        </is>
      </c>
      <c r="C6584" t="inlineStr">
        <is>
          <t>OTC</t>
        </is>
      </c>
      <c r="D6584" t="n">
        <v>1847706</v>
      </c>
      <c r="E6584" t="inlineStr">
        <is>
          <t>SEC</t>
        </is>
      </c>
    </row>
    <row r="6585">
      <c r="A6585" s="5">
        <f>HYPERLINK("https://finance.yahoo.com/quote/MDLK","MDLK")</f>
        <v/>
      </c>
      <c r="B6585" t="inlineStr">
        <is>
          <t>ModuLink Inc.</t>
        </is>
      </c>
      <c r="C6585" t="inlineStr">
        <is>
          <t>OTC</t>
        </is>
      </c>
      <c r="D6585" t="n">
        <v>1611046</v>
      </c>
      <c r="E6585" t="inlineStr">
        <is>
          <t>SEC</t>
        </is>
      </c>
    </row>
    <row r="6586">
      <c r="A6586" s="5">
        <f>HYPERLINK("https://finance.yahoo.com/quote/KITT","KITT")</f>
        <v/>
      </c>
      <c r="B6586" t="inlineStr">
        <is>
          <t>Nauticus Robotics, Inc.</t>
        </is>
      </c>
      <c r="C6586" t="inlineStr">
        <is>
          <t>Nasdaq</t>
        </is>
      </c>
      <c r="D6586" t="n">
        <v>1849820</v>
      </c>
      <c r="E6586" t="inlineStr">
        <is>
          <t>SEC</t>
        </is>
      </c>
    </row>
    <row r="6587">
      <c r="A6587" s="5">
        <f>HYPERLINK("https://finance.yahoo.com/quote/PWCM","PWCM")</f>
        <v/>
      </c>
      <c r="B6587" t="inlineStr">
        <is>
          <t>POWERCOMPUTE, INC.</t>
        </is>
      </c>
      <c r="C6587" t="inlineStr">
        <is>
          <t>Nasdaq</t>
        </is>
      </c>
      <c r="D6587" t="n">
        <v>1640384</v>
      </c>
      <c r="E6587" t="inlineStr">
        <is>
          <t>SEC</t>
        </is>
      </c>
    </row>
    <row r="6588">
      <c r="A6588" s="5">
        <f>HYPERLINK("https://finance.yahoo.com/quote/BRNX","BRNX")</f>
        <v/>
      </c>
      <c r="B6588" t="inlineStr">
        <is>
          <t>BRENX LTD.</t>
        </is>
      </c>
      <c r="C6588" t="inlineStr">
        <is>
          <t>Nasdaq</t>
        </is>
      </c>
      <c r="D6588" t="n">
        <v>1901215</v>
      </c>
      <c r="E6588" t="inlineStr">
        <is>
          <t>SEC</t>
        </is>
      </c>
    </row>
    <row r="6589">
      <c r="A6589" s="5">
        <f>HYPERLINK("https://finance.yahoo.com/quote/SNBH","SNBH")</f>
        <v/>
      </c>
      <c r="B6589" t="inlineStr">
        <is>
          <t>SENTIENT BRANDS HOLDINGS INC.</t>
        </is>
      </c>
      <c r="C6589" t="inlineStr">
        <is>
          <t>OTC</t>
        </is>
      </c>
      <c r="D6589" t="n">
        <v>1358633</v>
      </c>
      <c r="E6589" t="inlineStr">
        <is>
          <t>SEC</t>
        </is>
      </c>
    </row>
    <row r="6590">
      <c r="A6590" s="5">
        <f>HYPERLINK("https://finance.yahoo.com/quote/PTOS","PTOS")</f>
        <v/>
      </c>
      <c r="B6590" t="inlineStr">
        <is>
          <t>P2 Solar, Inc.</t>
        </is>
      </c>
      <c r="C6590" t="inlineStr">
        <is>
          <t>OTC</t>
        </is>
      </c>
      <c r="D6590" t="n">
        <v>1172069</v>
      </c>
      <c r="E6590" t="inlineStr">
        <is>
          <t>SEC</t>
        </is>
      </c>
    </row>
    <row r="6591">
      <c r="A6591" s="5">
        <f>HYPERLINK("https://finance.yahoo.com/quote/OLOX","OLOX")</f>
        <v/>
      </c>
      <c r="B6591" t="inlineStr">
        <is>
          <t>OLENOX INDUSTRIES INC.</t>
        </is>
      </c>
      <c r="C6591" t="inlineStr">
        <is>
          <t>Nasdaq</t>
        </is>
      </c>
      <c r="D6591" t="n">
        <v>1023994</v>
      </c>
      <c r="E6591" t="inlineStr">
        <is>
          <t>SEC</t>
        </is>
      </c>
    </row>
    <row r="6592">
      <c r="A6592" s="5">
        <f>HYPERLINK("https://finance.yahoo.com/quote/FBCD","FBCD")</f>
        <v/>
      </c>
      <c r="B6592" t="inlineStr">
        <is>
          <t>FBC Holding, Inc.</t>
        </is>
      </c>
      <c r="C6592" t="inlineStr">
        <is>
          <t>OTC</t>
        </is>
      </c>
      <c r="D6592" t="n">
        <v>1370816</v>
      </c>
      <c r="E6592" t="inlineStr">
        <is>
          <t>SEC</t>
        </is>
      </c>
    </row>
    <row r="6593">
      <c r="A6593" s="5">
        <f>HYPERLINK("https://finance.yahoo.com/quote/IMTE","IMTE")</f>
        <v/>
      </c>
      <c r="B6593" t="inlineStr">
        <is>
          <t>Integrated Media Technology Ltd</t>
        </is>
      </c>
      <c r="C6593" t="inlineStr">
        <is>
          <t>Nasdaq</t>
        </is>
      </c>
      <c r="D6593" t="n">
        <v>1668438</v>
      </c>
      <c r="E6593" t="inlineStr">
        <is>
          <t>SEC</t>
        </is>
      </c>
    </row>
    <row r="6594">
      <c r="A6594" s="5">
        <f>HYPERLINK("https://finance.yahoo.com/quote/SSEBF","SSEBF")</f>
        <v/>
      </c>
      <c r="B6594" t="inlineStr">
        <is>
          <t>SILVER SPRUCE RESOURCES INC.</t>
        </is>
      </c>
      <c r="C6594" t="inlineStr">
        <is>
          <t>OTC</t>
        </is>
      </c>
      <c r="D6594" t="n">
        <v>1771039</v>
      </c>
      <c r="E6594" t="inlineStr">
        <is>
          <t>SEC</t>
        </is>
      </c>
    </row>
    <row r="6595">
      <c r="A6595" s="5">
        <f>HYPERLINK("https://finance.yahoo.com/quote/VSEE","VSEE")</f>
        <v/>
      </c>
      <c r="B6595" t="inlineStr">
        <is>
          <t>VSEE HEALTH, INC.</t>
        </is>
      </c>
      <c r="C6595" t="inlineStr"/>
      <c r="D6595" t="n">
        <v>1864531</v>
      </c>
      <c r="E6595" t="inlineStr">
        <is>
          <t>SEC</t>
        </is>
      </c>
    </row>
    <row r="6596">
      <c r="A6596" s="5">
        <f>HYPERLINK("https://finance.yahoo.com/quote/GNPX","GNPX")</f>
        <v/>
      </c>
      <c r="B6596" t="inlineStr">
        <is>
          <t>Genprex, Inc.</t>
        </is>
      </c>
      <c r="C6596" t="inlineStr">
        <is>
          <t>Nasdaq</t>
        </is>
      </c>
      <c r="D6596" t="n">
        <v>1595248</v>
      </c>
      <c r="E6596" t="inlineStr">
        <is>
          <t>SEC</t>
        </is>
      </c>
    </row>
    <row r="6597">
      <c r="A6597" s="5">
        <f>HYPERLINK("https://finance.yahoo.com/quote/VJET","VJET")</f>
        <v/>
      </c>
      <c r="B6597" t="inlineStr">
        <is>
          <t>Flyte Aviation, Inc.</t>
        </is>
      </c>
      <c r="C6597" t="inlineStr">
        <is>
          <t>NYSE</t>
        </is>
      </c>
      <c r="D6597" t="n">
        <v>1716621</v>
      </c>
      <c r="E6597" t="inlineStr">
        <is>
          <t>SEC</t>
        </is>
      </c>
    </row>
    <row r="6598">
      <c r="A6598" s="5">
        <f>HYPERLINK("https://finance.yahoo.com/quote/GTLL","GTLL")</f>
        <v/>
      </c>
      <c r="B6598" t="inlineStr">
        <is>
          <t>GLOBAL TECHNOLOGIES LTD</t>
        </is>
      </c>
      <c r="C6598" t="inlineStr">
        <is>
          <t>OTC</t>
        </is>
      </c>
      <c r="D6598" t="n">
        <v>932021</v>
      </c>
      <c r="E6598" t="inlineStr">
        <is>
          <t>SEC</t>
        </is>
      </c>
    </row>
    <row r="6599">
      <c r="A6599" s="5">
        <f>HYPERLINK("https://finance.yahoo.com/quote/ATPC","ATPC")</f>
        <v/>
      </c>
      <c r="B6599" t="inlineStr">
        <is>
          <t>Agape ATP Corp</t>
        </is>
      </c>
      <c r="C6599" t="inlineStr">
        <is>
          <t>Nasdaq</t>
        </is>
      </c>
      <c r="D6599" t="n">
        <v>1713210</v>
      </c>
      <c r="E6599" t="inlineStr">
        <is>
          <t>SEC</t>
        </is>
      </c>
    </row>
    <row r="6600">
      <c r="A6600" s="5">
        <f>HYPERLINK("https://finance.yahoo.com/quote/CPMD","CPMD")</f>
        <v/>
      </c>
      <c r="B6600" t="inlineStr">
        <is>
          <t>CANNAPHARMARX, INC.</t>
        </is>
      </c>
      <c r="C6600" t="inlineStr">
        <is>
          <t>OTC</t>
        </is>
      </c>
      <c r="D6600" t="n">
        <v>1081938</v>
      </c>
      <c r="E6600" t="inlineStr">
        <is>
          <t>SEC</t>
        </is>
      </c>
    </row>
    <row r="6601">
      <c r="A6601" s="5">
        <f>HYPERLINK("https://finance.yahoo.com/quote/ARRT","ARRT")</f>
        <v/>
      </c>
      <c r="B6601" t="inlineStr">
        <is>
          <t>Artisan Consumer Goods, Inc.</t>
        </is>
      </c>
      <c r="C6601" t="inlineStr">
        <is>
          <t>OTC</t>
        </is>
      </c>
      <c r="D6601" t="n">
        <v>1530425</v>
      </c>
      <c r="E6601" t="inlineStr">
        <is>
          <t>SEC</t>
        </is>
      </c>
    </row>
    <row r="6602">
      <c r="A6602" s="5">
        <f>HYPERLINK("https://finance.yahoo.com/quote/KIDZ","KIDZ")</f>
        <v/>
      </c>
      <c r="B6602" t="inlineStr">
        <is>
          <t>KIDZ AI Inc.</t>
        </is>
      </c>
      <c r="C6602" t="inlineStr">
        <is>
          <t>Nasdaq</t>
        </is>
      </c>
      <c r="D6602" t="n">
        <v>2022308</v>
      </c>
      <c r="E6602" t="inlineStr">
        <is>
          <t>SEC</t>
        </is>
      </c>
    </row>
    <row r="6603">
      <c r="A6603" s="5">
        <f>HYPERLINK("https://finance.yahoo.com/quote/ARTL","ARTL")</f>
        <v/>
      </c>
      <c r="B6603" t="inlineStr">
        <is>
          <t>ARTELO BIOSCIENCES, INC.</t>
        </is>
      </c>
      <c r="C6603" t="inlineStr">
        <is>
          <t>Nasdaq</t>
        </is>
      </c>
      <c r="D6603" t="n">
        <v>1621221</v>
      </c>
      <c r="E6603" t="inlineStr">
        <is>
          <t>SEC</t>
        </is>
      </c>
    </row>
    <row r="6604">
      <c r="A6604" s="5">
        <f>HYPERLINK("https://finance.yahoo.com/quote/CYCL","CYCL")</f>
        <v/>
      </c>
      <c r="B6604" t="inlineStr">
        <is>
          <t>Cycclone, Inc.</t>
        </is>
      </c>
      <c r="C6604" t="inlineStr">
        <is>
          <t>OTC</t>
        </is>
      </c>
      <c r="D6604" t="n">
        <v>2077135</v>
      </c>
      <c r="E6604" t="inlineStr">
        <is>
          <t>SEC</t>
        </is>
      </c>
    </row>
    <row r="6605">
      <c r="A6605" s="5">
        <f>HYPERLINK("https://finance.yahoo.com/quote/CONC","CONC")</f>
        <v/>
      </c>
      <c r="B6605" t="inlineStr">
        <is>
          <t>CONECTISYS CORP</t>
        </is>
      </c>
      <c r="C6605" t="inlineStr">
        <is>
          <t>OTC</t>
        </is>
      </c>
      <c r="D6605" t="n">
        <v>790273</v>
      </c>
      <c r="E6605" t="inlineStr">
        <is>
          <t>SEC</t>
        </is>
      </c>
    </row>
    <row r="6606">
      <c r="A6606" s="5">
        <f>HYPERLINK("https://finance.yahoo.com/quote/HIGR","HIGR")</f>
        <v/>
      </c>
      <c r="B6606" t="inlineStr">
        <is>
          <t>Hi-Great Group Holding Co</t>
        </is>
      </c>
      <c r="C6606" t="inlineStr">
        <is>
          <t>OTC</t>
        </is>
      </c>
      <c r="D6606" t="n">
        <v>1807616</v>
      </c>
      <c r="E6606" t="inlineStr">
        <is>
          <t>SEC</t>
        </is>
      </c>
    </row>
    <row r="6607">
      <c r="A6607" s="5">
        <f>HYPERLINK("https://finance.yahoo.com/quote/NTCL","NTCL")</f>
        <v/>
      </c>
      <c r="B6607" t="inlineStr">
        <is>
          <t>NetClass Technology Inc</t>
        </is>
      </c>
      <c r="C6607" t="inlineStr">
        <is>
          <t>Nasdaq</t>
        </is>
      </c>
      <c r="D6607" t="n">
        <v>1927578</v>
      </c>
      <c r="E6607" t="inlineStr">
        <is>
          <t>SEC</t>
        </is>
      </c>
    </row>
    <row r="6608">
      <c r="A6608" s="5">
        <f>HYPERLINK("https://finance.yahoo.com/quote/FUST","FUST")</f>
        <v/>
      </c>
      <c r="B6608" t="inlineStr">
        <is>
          <t>FUSE GROUP HOLDING INC.</t>
        </is>
      </c>
      <c r="C6608" t="inlineStr">
        <is>
          <t>OTC</t>
        </is>
      </c>
      <c r="D6608" t="n">
        <v>1636051</v>
      </c>
      <c r="E6608" t="inlineStr">
        <is>
          <t>SEC</t>
        </is>
      </c>
    </row>
    <row r="6609">
      <c r="A6609" s="5">
        <f>HYPERLINK("https://finance.yahoo.com/quote/SETO","SETO")</f>
        <v/>
      </c>
      <c r="B6609" t="inlineStr">
        <is>
          <t>SETO HOLDINGS INC</t>
        </is>
      </c>
      <c r="C6609" t="inlineStr">
        <is>
          <t>OTC</t>
        </is>
      </c>
      <c r="D6609" t="n">
        <v>794998</v>
      </c>
      <c r="E6609" t="inlineStr">
        <is>
          <t>SEC</t>
        </is>
      </c>
    </row>
    <row r="6610">
      <c r="A6610" s="5">
        <f>HYPERLINK("https://finance.yahoo.com/quote/GNLN","GNLN")</f>
        <v/>
      </c>
      <c r="B6610" t="inlineStr">
        <is>
          <t>Greenlane Holdings, Inc.</t>
        </is>
      </c>
      <c r="C6610" t="inlineStr">
        <is>
          <t>Nasdaq</t>
        </is>
      </c>
      <c r="D6610" t="n">
        <v>1743745</v>
      </c>
      <c r="E6610" t="inlineStr">
        <is>
          <t>SEC</t>
        </is>
      </c>
    </row>
    <row r="6611">
      <c r="A6611" s="5">
        <f>HYPERLINK("https://finance.yahoo.com/quote/KSEZ","KSEZ")</f>
        <v/>
      </c>
      <c r="B6611" t="inlineStr">
        <is>
          <t>Kinetic Seas Inc.</t>
        </is>
      </c>
      <c r="C6611" t="inlineStr">
        <is>
          <t>OTC</t>
        </is>
      </c>
      <c r="D6611" t="n">
        <v>1945619</v>
      </c>
      <c r="E6611" t="inlineStr">
        <is>
          <t>SEC</t>
        </is>
      </c>
    </row>
    <row r="6612">
      <c r="A6612" s="5">
        <f>HYPERLINK("https://finance.yahoo.com/quote/SNRG","SNRG")</f>
        <v/>
      </c>
      <c r="B6612" t="inlineStr">
        <is>
          <t>SusGlobal Energy Corp.</t>
        </is>
      </c>
      <c r="C6612" t="inlineStr">
        <is>
          <t>OTC</t>
        </is>
      </c>
      <c r="D6612" t="n">
        <v>1652539</v>
      </c>
      <c r="E6612" t="inlineStr">
        <is>
          <t>SEC</t>
        </is>
      </c>
    </row>
    <row r="6613">
      <c r="A6613" s="5">
        <f>HYPERLINK("https://finance.yahoo.com/quote/PTIX","PTIX")</f>
        <v/>
      </c>
      <c r="B6613" t="inlineStr">
        <is>
          <t>Protagenic Therapeutics, Inc.\new</t>
        </is>
      </c>
      <c r="C6613" t="inlineStr">
        <is>
          <t>OTC</t>
        </is>
      </c>
      <c r="D6613" t="n">
        <v>1022899</v>
      </c>
      <c r="E6613" t="inlineStr">
        <is>
          <t>SEC</t>
        </is>
      </c>
    </row>
    <row r="6614">
      <c r="A6614" s="5">
        <f>HYPERLINK("https://finance.yahoo.com/quote/IMCC","IMCC")</f>
        <v/>
      </c>
      <c r="B6614" t="inlineStr">
        <is>
          <t>IM Cannabis Corp.</t>
        </is>
      </c>
      <c r="C6614" t="inlineStr">
        <is>
          <t>Nasdaq</t>
        </is>
      </c>
      <c r="D6614" t="n">
        <v>1792030</v>
      </c>
      <c r="E6614" t="inlineStr">
        <is>
          <t>SEC</t>
        </is>
      </c>
    </row>
    <row r="6615">
      <c r="A6615" s="5">
        <f>HYPERLINK("https://finance.yahoo.com/quote/ESMC","ESMC")</f>
        <v/>
      </c>
      <c r="B6615" t="inlineStr">
        <is>
          <t>ESCALON MEDICAL CORP</t>
        </is>
      </c>
      <c r="C6615" t="inlineStr">
        <is>
          <t>OTC</t>
        </is>
      </c>
      <c r="D6615" t="n">
        <v>862668</v>
      </c>
      <c r="E6615" t="inlineStr">
        <is>
          <t>SEC</t>
        </is>
      </c>
    </row>
    <row r="6616">
      <c r="A6616" s="5">
        <f>HYPERLINK("https://finance.yahoo.com/quote/RAYA","RAYA")</f>
        <v/>
      </c>
      <c r="B6616" t="inlineStr">
        <is>
          <t>Erayak Power Solution Group Inc.</t>
        </is>
      </c>
      <c r="C6616" t="inlineStr">
        <is>
          <t>Nasdaq</t>
        </is>
      </c>
      <c r="D6616" t="n">
        <v>1825875</v>
      </c>
      <c r="E6616" t="inlineStr">
        <is>
          <t>SEC</t>
        </is>
      </c>
    </row>
    <row r="6617">
      <c r="A6617" s="5">
        <f>HYPERLINK("https://finance.yahoo.com/quote/NCT","NCT")</f>
        <v/>
      </c>
      <c r="B6617" t="inlineStr">
        <is>
          <t>Intercont (Cayman) Ltd</t>
        </is>
      </c>
      <c r="C6617" t="inlineStr">
        <is>
          <t>Nasdaq</t>
        </is>
      </c>
      <c r="D6617" t="n">
        <v>2018529</v>
      </c>
      <c r="E6617" t="inlineStr">
        <is>
          <t>SEC</t>
        </is>
      </c>
    </row>
    <row r="6618">
      <c r="A6618" s="5">
        <f>HYPERLINK("https://finance.yahoo.com/quote/ATXI","ATXI")</f>
        <v/>
      </c>
      <c r="B6618" t="inlineStr">
        <is>
          <t>AVENUE THERAPEUTICS, INC.</t>
        </is>
      </c>
      <c r="C6618" t="inlineStr">
        <is>
          <t>OTC</t>
        </is>
      </c>
      <c r="D6618" t="n">
        <v>1644963</v>
      </c>
      <c r="E6618" t="inlineStr">
        <is>
          <t>SEC</t>
        </is>
      </c>
    </row>
    <row r="6619">
      <c r="A6619" s="5">
        <f>HYPERLINK("https://finance.yahoo.com/quote/MRPT","MRPT")</f>
        <v/>
      </c>
      <c r="B6619" t="inlineStr">
        <is>
          <t>MACREPORT NET INC</t>
        </is>
      </c>
      <c r="C6619" t="inlineStr">
        <is>
          <t>OTC</t>
        </is>
      </c>
      <c r="D6619" t="n">
        <v>1143994</v>
      </c>
      <c r="E6619" t="inlineStr">
        <is>
          <t>SEC</t>
        </is>
      </c>
    </row>
    <row r="6620">
      <c r="A6620" s="5">
        <f>HYPERLINK("https://finance.yahoo.com/quote/QPRC","QPRC")</f>
        <v/>
      </c>
      <c r="B6620" t="inlineStr">
        <is>
          <t>QUEST PATENT RESEARCH CORP</t>
        </is>
      </c>
      <c r="C6620" t="inlineStr">
        <is>
          <t>OTC</t>
        </is>
      </c>
      <c r="D6620" t="n">
        <v>824416</v>
      </c>
      <c r="E6620" t="inlineStr">
        <is>
          <t>SEC</t>
        </is>
      </c>
    </row>
    <row r="6621">
      <c r="A6621" s="5">
        <f>HYPERLINK("https://finance.yahoo.com/quote/LNAI","LNAI")</f>
        <v/>
      </c>
      <c r="B6621" t="inlineStr">
        <is>
          <t>Lunai Bioworks Inc.</t>
        </is>
      </c>
      <c r="C6621" t="inlineStr">
        <is>
          <t>Nasdaq</t>
        </is>
      </c>
      <c r="D6621" t="n">
        <v>1527728</v>
      </c>
      <c r="E6621" t="inlineStr">
        <is>
          <t>SEC</t>
        </is>
      </c>
    </row>
    <row r="6622">
      <c r="A6622" s="5">
        <f>HYPERLINK("https://finance.yahoo.com/quote/GHST","GHST")</f>
        <v/>
      </c>
      <c r="B6622" t="inlineStr">
        <is>
          <t>GHST World Inc.</t>
        </is>
      </c>
      <c r="C6622" t="inlineStr">
        <is>
          <t>OTC</t>
        </is>
      </c>
      <c r="D6622" t="n">
        <v>1121795</v>
      </c>
      <c r="E6622" t="inlineStr">
        <is>
          <t>SEC</t>
        </is>
      </c>
    </row>
    <row r="6623">
      <c r="A6623" s="5">
        <f>HYPERLINK("https://finance.yahoo.com/quote/CETI","CETI")</f>
        <v/>
      </c>
      <c r="B6623" t="inlineStr">
        <is>
          <t>Cyber Enviro-Tech, Inc.</t>
        </is>
      </c>
      <c r="C6623" t="inlineStr">
        <is>
          <t>OTC</t>
        </is>
      </c>
      <c r="D6623" t="n">
        <v>1935092</v>
      </c>
      <c r="E6623" t="inlineStr">
        <is>
          <t>SEC</t>
        </is>
      </c>
    </row>
    <row r="6624">
      <c r="A6624" s="5">
        <f>HYPERLINK("https://finance.yahoo.com/quote/TRUG","TRUG")</f>
        <v/>
      </c>
      <c r="B6624" t="inlineStr">
        <is>
          <t>TruGolf Holdings, Inc.</t>
        </is>
      </c>
      <c r="C6624" t="inlineStr">
        <is>
          <t>Nasdaq</t>
        </is>
      </c>
      <c r="D6624" t="n">
        <v>1857086</v>
      </c>
      <c r="E6624" t="inlineStr">
        <is>
          <t>SEC</t>
        </is>
      </c>
    </row>
    <row r="6625">
      <c r="A6625" s="5">
        <f>HYPERLINK("https://finance.yahoo.com/quote/ONFO","ONFO")</f>
        <v/>
      </c>
      <c r="B6625" t="inlineStr">
        <is>
          <t>Onfolio Holdings, Inc</t>
        </is>
      </c>
      <c r="C6625" t="inlineStr">
        <is>
          <t>Nasdaq</t>
        </is>
      </c>
      <c r="D6625" t="n">
        <v>1825452</v>
      </c>
      <c r="E6625" t="inlineStr">
        <is>
          <t>SEC</t>
        </is>
      </c>
    </row>
    <row r="6626">
      <c r="A6626" s="5">
        <f>HYPERLINK("https://finance.yahoo.com/quote/ALDS","ALDS")</f>
        <v/>
      </c>
      <c r="B6626" t="inlineStr">
        <is>
          <t>APPlife Digital Solutions Inc</t>
        </is>
      </c>
      <c r="C6626" t="inlineStr">
        <is>
          <t>OTC</t>
        </is>
      </c>
      <c r="D6626" t="n">
        <v>1755101</v>
      </c>
      <c r="E6626" t="inlineStr">
        <is>
          <t>SEC</t>
        </is>
      </c>
    </row>
    <row r="6627">
      <c r="A6627" s="5">
        <f>HYPERLINK("https://finance.yahoo.com/quote/NUWE","NUWE")</f>
        <v/>
      </c>
      <c r="B6627" t="inlineStr">
        <is>
          <t>Nuwellis, Inc.</t>
        </is>
      </c>
      <c r="C6627" t="inlineStr">
        <is>
          <t>Nasdaq</t>
        </is>
      </c>
      <c r="D6627" t="n">
        <v>1506492</v>
      </c>
      <c r="E6627" t="inlineStr">
        <is>
          <t>SEC</t>
        </is>
      </c>
    </row>
    <row r="6628">
      <c r="A6628" s="5">
        <f>HYPERLINK("https://finance.yahoo.com/quote/RITRF","RITRF")</f>
        <v/>
      </c>
      <c r="B6628" t="inlineStr">
        <is>
          <t>Reitar Logtech Holdings Ltd</t>
        </is>
      </c>
      <c r="C6628" t="inlineStr">
        <is>
          <t>OTC</t>
        </is>
      </c>
      <c r="D6628" t="n">
        <v>1951229</v>
      </c>
      <c r="E6628" t="inlineStr">
        <is>
          <t>SEC</t>
        </is>
      </c>
    </row>
    <row r="6629">
      <c r="A6629" s="5">
        <f>HYPERLINK("https://finance.yahoo.com/quote/MLEC","MLEC")</f>
        <v/>
      </c>
      <c r="B6629" t="inlineStr">
        <is>
          <t>Moolec Science SA</t>
        </is>
      </c>
      <c r="C6629" t="inlineStr">
        <is>
          <t>Nasdaq</t>
        </is>
      </c>
      <c r="D6629" t="n">
        <v>1937737</v>
      </c>
      <c r="E6629" t="inlineStr">
        <is>
          <t>SEC</t>
        </is>
      </c>
    </row>
    <row r="6630">
      <c r="A6630" s="5">
        <f>HYPERLINK("https://finance.yahoo.com/quote/NXAT","NXAT")</f>
        <v/>
      </c>
      <c r="B6630" t="inlineStr">
        <is>
          <t>Nexus Advanced Technologies Inc.</t>
        </is>
      </c>
      <c r="C6630" t="inlineStr">
        <is>
          <t>Nasdaq</t>
        </is>
      </c>
      <c r="D6630" t="n">
        <v>2000756</v>
      </c>
      <c r="E6630" t="inlineStr">
        <is>
          <t>SEC</t>
        </is>
      </c>
    </row>
    <row r="6631">
      <c r="A6631" s="5">
        <f>HYPERLINK("https://finance.yahoo.com/quote/UK","UK")</f>
        <v/>
      </c>
      <c r="B6631" t="inlineStr">
        <is>
          <t>Ucommune International Ltd</t>
        </is>
      </c>
      <c r="C6631" t="inlineStr">
        <is>
          <t>Nasdaq</t>
        </is>
      </c>
      <c r="D6631" t="n">
        <v>1821424</v>
      </c>
      <c r="E6631" t="inlineStr">
        <is>
          <t>SEC</t>
        </is>
      </c>
    </row>
    <row r="6632">
      <c r="A6632" s="5">
        <f>HYPERLINK("https://finance.yahoo.com/quote/WORX","WORX")</f>
        <v/>
      </c>
      <c r="B6632" t="inlineStr">
        <is>
          <t>SCWorx Corp.</t>
        </is>
      </c>
      <c r="C6632" t="inlineStr">
        <is>
          <t>Nasdaq</t>
        </is>
      </c>
      <c r="D6632" t="n">
        <v>1674227</v>
      </c>
      <c r="E6632" t="inlineStr">
        <is>
          <t>SEC</t>
        </is>
      </c>
    </row>
    <row r="6633">
      <c r="A6633" s="5">
        <f>HYPERLINK("https://finance.yahoo.com/quote/ASNS","ASNS")</f>
        <v/>
      </c>
      <c r="B6633" t="inlineStr">
        <is>
          <t>ACTELIS NETWORKS INC</t>
        </is>
      </c>
      <c r="C6633" t="inlineStr">
        <is>
          <t>OTC</t>
        </is>
      </c>
      <c r="D6633" t="n">
        <v>1141284</v>
      </c>
      <c r="E6633" t="inlineStr">
        <is>
          <t>SEC</t>
        </is>
      </c>
    </row>
    <row r="6634">
      <c r="A6634" s="5">
        <f>HYPERLINK("https://finance.yahoo.com/quote/FCHL","FCHL")</f>
        <v/>
      </c>
      <c r="B6634" t="inlineStr">
        <is>
          <t>Fitness Champs Holdings Ltd</t>
        </is>
      </c>
      <c r="C6634" t="inlineStr">
        <is>
          <t>Nasdaq</t>
        </is>
      </c>
      <c r="D6634" t="n">
        <v>2023796</v>
      </c>
      <c r="E6634" t="inlineStr">
        <is>
          <t>SEC</t>
        </is>
      </c>
    </row>
    <row r="6635">
      <c r="A6635" s="5">
        <f>HYPERLINK("https://finance.yahoo.com/quote/FECOF","FECOF")</f>
        <v/>
      </c>
      <c r="B6635" t="inlineStr">
        <is>
          <t>FEC Resources Inc.</t>
        </is>
      </c>
      <c r="C6635" t="inlineStr">
        <is>
          <t>OTC</t>
        </is>
      </c>
      <c r="D6635" t="n">
        <v>849997</v>
      </c>
      <c r="E6635" t="inlineStr">
        <is>
          <t>SEC</t>
        </is>
      </c>
    </row>
    <row r="6636">
      <c r="A6636" s="5">
        <f>HYPERLINK("https://finance.yahoo.com/quote/SQFT","SQFT")</f>
        <v/>
      </c>
      <c r="B6636" t="inlineStr">
        <is>
          <t>Presidio Property Trust, Inc.</t>
        </is>
      </c>
      <c r="C6636" t="inlineStr">
        <is>
          <t>Nasdaq</t>
        </is>
      </c>
      <c r="D6636" t="n">
        <v>1080657</v>
      </c>
      <c r="E6636" t="inlineStr">
        <is>
          <t>SEC</t>
        </is>
      </c>
    </row>
    <row r="6637">
      <c r="A6637" s="5">
        <f>HYPERLINK("https://finance.yahoo.com/quote/NIVF","NIVF")</f>
        <v/>
      </c>
      <c r="B6637" t="inlineStr">
        <is>
          <t>NewGenIvf Group Ltd</t>
        </is>
      </c>
      <c r="C6637" t="inlineStr">
        <is>
          <t>Nasdaq</t>
        </is>
      </c>
      <c r="D6637" t="n">
        <v>1981662</v>
      </c>
      <c r="E6637" t="inlineStr">
        <is>
          <t>SEC</t>
        </is>
      </c>
    </row>
    <row r="6638">
      <c r="A6638" s="5">
        <f>HYPERLINK("https://finance.yahoo.com/quote/LITSF","LITSF")</f>
        <v/>
      </c>
      <c r="B6638" t="inlineStr">
        <is>
          <t>LITHOS GROUP LTD.</t>
        </is>
      </c>
      <c r="C6638" t="inlineStr">
        <is>
          <t>OTC</t>
        </is>
      </c>
      <c r="D6638" t="n">
        <v>1978165</v>
      </c>
      <c r="E6638" t="inlineStr">
        <is>
          <t>SEC</t>
        </is>
      </c>
    </row>
    <row r="6639">
      <c r="A6639" s="5">
        <f>HYPERLINK("https://finance.yahoo.com/quote/GIPR","GIPR")</f>
        <v/>
      </c>
      <c r="B6639" t="inlineStr">
        <is>
          <t>GENERATION INCOME PROPERTIES, INC.</t>
        </is>
      </c>
      <c r="C6639" t="inlineStr">
        <is>
          <t>Nasdaq</t>
        </is>
      </c>
      <c r="D6639" t="n">
        <v>1651721</v>
      </c>
      <c r="E6639" t="inlineStr">
        <is>
          <t>SEC</t>
        </is>
      </c>
    </row>
    <row r="6640">
      <c r="A6640" s="5">
        <f>HYPERLINK("https://finance.yahoo.com/quote/VYCO","VYCO")</f>
        <v/>
      </c>
      <c r="B6640" t="inlineStr">
        <is>
          <t>VYCOR MEDICAL INC</t>
        </is>
      </c>
      <c r="C6640" t="inlineStr">
        <is>
          <t>OTC</t>
        </is>
      </c>
      <c r="D6640" t="n">
        <v>1424768</v>
      </c>
      <c r="E6640" t="inlineStr">
        <is>
          <t>SEC</t>
        </is>
      </c>
    </row>
    <row r="6641">
      <c r="A6641" s="5">
        <f>HYPERLINK("https://finance.yahoo.com/quote/ASFT","ASFT")</f>
        <v/>
      </c>
      <c r="B6641" t="inlineStr">
        <is>
          <t>Appsoft Technologies, Inc.</t>
        </is>
      </c>
      <c r="C6641" t="inlineStr">
        <is>
          <t>OTC</t>
        </is>
      </c>
      <c r="D6641" t="n">
        <v>1651992</v>
      </c>
      <c r="E6641" t="inlineStr">
        <is>
          <t>SEC</t>
        </is>
      </c>
    </row>
    <row r="6642">
      <c r="A6642" s="5">
        <f>HYPERLINK("https://finance.yahoo.com/quote/FDXTF","FDXTF")</f>
        <v/>
      </c>
      <c r="B6642" t="inlineStr">
        <is>
          <t>FENDX TECHNOLOGIES INC.</t>
        </is>
      </c>
      <c r="C6642" t="inlineStr">
        <is>
          <t>OTC</t>
        </is>
      </c>
      <c r="D6642" t="n">
        <v>1970125</v>
      </c>
      <c r="E6642" t="inlineStr">
        <is>
          <t>SEC</t>
        </is>
      </c>
    </row>
    <row r="6643">
      <c r="A6643" s="5">
        <f>HYPERLINK("https://finance.yahoo.com/quote/EARI","EARI")</f>
        <v/>
      </c>
      <c r="B6643" t="inlineStr">
        <is>
          <t>ENTERTAINMENT ARTS RESEARCH, INC.</t>
        </is>
      </c>
      <c r="C6643" t="inlineStr">
        <is>
          <t>OTC</t>
        </is>
      </c>
      <c r="D6643" t="n">
        <v>1083468</v>
      </c>
      <c r="E6643" t="inlineStr">
        <is>
          <t>SEC</t>
        </is>
      </c>
    </row>
    <row r="6644">
      <c r="A6644" s="5">
        <f>HYPERLINK("https://finance.yahoo.com/quote/LBGJ","LBGJ")</f>
        <v/>
      </c>
      <c r="B6644" t="inlineStr">
        <is>
          <t>Li Bang International Corp Inc.</t>
        </is>
      </c>
      <c r="C6644" t="inlineStr">
        <is>
          <t>Nasdaq</t>
        </is>
      </c>
      <c r="D6644" t="n">
        <v>1896425</v>
      </c>
      <c r="E6644" t="inlineStr">
        <is>
          <t>SEC</t>
        </is>
      </c>
    </row>
    <row r="6645">
      <c r="A6645" s="5">
        <f>HYPERLINK("https://finance.yahoo.com/quote/DOGP","DOGP")</f>
        <v/>
      </c>
      <c r="B6645" t="inlineStr">
        <is>
          <t>Dogecoin Cash, Inc.</t>
        </is>
      </c>
      <c r="C6645" t="inlineStr">
        <is>
          <t>OTC</t>
        </is>
      </c>
      <c r="D6645" t="n">
        <v>1360442</v>
      </c>
      <c r="E6645" t="inlineStr">
        <is>
          <t>SEC</t>
        </is>
      </c>
    </row>
    <row r="6646">
      <c r="A6646" s="5">
        <f>HYPERLINK("https://finance.yahoo.com/quote/NVNIF","NVNIF")</f>
        <v/>
      </c>
      <c r="B6646" t="inlineStr">
        <is>
          <t>Nvni Group Ltd</t>
        </is>
      </c>
      <c r="C6646" t="inlineStr">
        <is>
          <t>OTC</t>
        </is>
      </c>
      <c r="D6646" t="n">
        <v>1965143</v>
      </c>
      <c r="E6646" t="inlineStr">
        <is>
          <t>SEC</t>
        </is>
      </c>
    </row>
    <row r="6647">
      <c r="A6647" s="5">
        <f>HYPERLINK("https://finance.yahoo.com/quote/CNRCF","CNRCF")</f>
        <v/>
      </c>
      <c r="B6647" t="inlineStr">
        <is>
          <t>Canter Resources Corp.</t>
        </is>
      </c>
      <c r="C6647" t="inlineStr">
        <is>
          <t>OTC</t>
        </is>
      </c>
      <c r="D6647" t="n">
        <v>1996586</v>
      </c>
      <c r="E6647" t="inlineStr">
        <is>
          <t>SEC</t>
        </is>
      </c>
    </row>
    <row r="6648">
      <c r="A6648" s="5">
        <f>HYPERLINK("https://finance.yahoo.com/quote/BBLG","BBLG")</f>
        <v/>
      </c>
      <c r="B6648" t="inlineStr">
        <is>
          <t>Bone Biologics Corp</t>
        </is>
      </c>
      <c r="C6648" t="inlineStr">
        <is>
          <t>Nasdaq</t>
        </is>
      </c>
      <c r="D6648" t="n">
        <v>1419554</v>
      </c>
      <c r="E6648" t="inlineStr">
        <is>
          <t>SEC</t>
        </is>
      </c>
    </row>
    <row r="6649">
      <c r="A6649" s="5">
        <f>HYPERLINK("https://finance.yahoo.com/quote/ISCO","ISCO")</f>
        <v/>
      </c>
      <c r="B6649" t="inlineStr">
        <is>
          <t>International Stem Cell CORP</t>
        </is>
      </c>
      <c r="C6649" t="inlineStr">
        <is>
          <t>OTC</t>
        </is>
      </c>
      <c r="D6649" t="n">
        <v>1355790</v>
      </c>
      <c r="E6649" t="inlineStr">
        <is>
          <t>SEC</t>
        </is>
      </c>
    </row>
    <row r="6650">
      <c r="A6650" s="5">
        <f>HYPERLINK("https://finance.yahoo.com/quote/VIVK","VIVK")</f>
        <v/>
      </c>
      <c r="B6650" t="inlineStr">
        <is>
          <t>Vivakor, Inc.</t>
        </is>
      </c>
      <c r="C6650" t="inlineStr">
        <is>
          <t>Nasdaq</t>
        </is>
      </c>
      <c r="D6650" t="n">
        <v>1450704</v>
      </c>
      <c r="E6650" t="inlineStr">
        <is>
          <t>SEC</t>
        </is>
      </c>
    </row>
    <row r="6651">
      <c r="A6651" s="5">
        <f>HYPERLINK("https://finance.yahoo.com/quote/ALLN","ALLN")</f>
        <v/>
      </c>
      <c r="B6651" t="inlineStr">
        <is>
          <t>Allarity Acquisition Corp.</t>
        </is>
      </c>
      <c r="C6651" t="inlineStr"/>
      <c r="D6651" t="n">
        <v>2141983</v>
      </c>
      <c r="E6651" t="inlineStr">
        <is>
          <t>SEC</t>
        </is>
      </c>
    </row>
    <row r="6652">
      <c r="A6652" s="5">
        <f>HYPERLINK("https://finance.yahoo.com/quote/OMQS","OMQS")</f>
        <v/>
      </c>
      <c r="B6652" t="inlineStr">
        <is>
          <t>OMNIQ Corp.</t>
        </is>
      </c>
      <c r="C6652" t="inlineStr">
        <is>
          <t>OTC</t>
        </is>
      </c>
      <c r="D6652" t="n">
        <v>278165</v>
      </c>
      <c r="E6652" t="inlineStr">
        <is>
          <t>SEC</t>
        </is>
      </c>
    </row>
    <row r="6653">
      <c r="A6653" s="5">
        <f>HYPERLINK("https://finance.yahoo.com/quote/BIOM","BIOM")</f>
        <v/>
      </c>
      <c r="B6653" t="inlineStr">
        <is>
          <t>BIOMOLECULAR LIFE HOLDINGS, INC.</t>
        </is>
      </c>
      <c r="C6653" t="inlineStr">
        <is>
          <t>OTC</t>
        </is>
      </c>
      <c r="D6653" t="n">
        <v>1091326</v>
      </c>
      <c r="E6653" t="inlineStr">
        <is>
          <t>SEC</t>
        </is>
      </c>
    </row>
    <row r="6654">
      <c r="A6654" s="5">
        <f>HYPERLINK("https://finance.yahoo.com/quote/LIFD","LIFD")</f>
        <v/>
      </c>
      <c r="B6654" t="inlineStr">
        <is>
          <t>LFTD PARTNERS INC.</t>
        </is>
      </c>
      <c r="C6654" t="inlineStr">
        <is>
          <t>OTC</t>
        </is>
      </c>
      <c r="D6654" t="n">
        <v>1391135</v>
      </c>
      <c r="E6654" t="inlineStr">
        <is>
          <t>SEC</t>
        </is>
      </c>
    </row>
    <row r="6655">
      <c r="A6655" s="5">
        <f>HYPERLINK("https://finance.yahoo.com/quote/MNDR","MNDR")</f>
        <v/>
      </c>
      <c r="B6655" t="inlineStr">
        <is>
          <t>Mobile-health Network Solutions</t>
        </is>
      </c>
      <c r="C6655" t="inlineStr">
        <is>
          <t>Nasdaq</t>
        </is>
      </c>
      <c r="D6655" t="n">
        <v>1976695</v>
      </c>
      <c r="E6655" t="inlineStr">
        <is>
          <t>SEC</t>
        </is>
      </c>
    </row>
    <row r="6656">
      <c r="A6656" s="5">
        <f>HYPERLINK("https://finance.yahoo.com/quote/MSS","MSS")</f>
        <v/>
      </c>
      <c r="B6656" t="inlineStr">
        <is>
          <t>Maison Solutions Inc.</t>
        </is>
      </c>
      <c r="C6656" t="inlineStr">
        <is>
          <t>Nasdaq</t>
        </is>
      </c>
      <c r="D6656" t="n">
        <v>1892292</v>
      </c>
      <c r="E6656" t="inlineStr">
        <is>
          <t>SEC</t>
        </is>
      </c>
    </row>
    <row r="6657">
      <c r="A6657" s="5">
        <f>HYPERLINK("https://finance.yahoo.com/quote/DBGI","DBGI")</f>
        <v/>
      </c>
      <c r="B6657" t="inlineStr">
        <is>
          <t>Digital Brands Group, Inc.</t>
        </is>
      </c>
      <c r="C6657" t="inlineStr">
        <is>
          <t>Nasdaq</t>
        </is>
      </c>
      <c r="D6657" t="n">
        <v>1668010</v>
      </c>
      <c r="E6657" t="inlineStr">
        <is>
          <t>SEC</t>
        </is>
      </c>
    </row>
    <row r="6658">
      <c r="A6658" s="5">
        <f>HYPERLINK("https://finance.yahoo.com/quote/DPLS","DPLS")</f>
        <v/>
      </c>
      <c r="B6658" t="inlineStr">
        <is>
          <t>DarkPulse, Inc.</t>
        </is>
      </c>
      <c r="C6658" t="inlineStr">
        <is>
          <t>OTC</t>
        </is>
      </c>
      <c r="D6658" t="n">
        <v>866439</v>
      </c>
      <c r="E6658" t="inlineStr">
        <is>
          <t>SEC</t>
        </is>
      </c>
    </row>
    <row r="6659">
      <c r="A6659" s="5">
        <f>HYPERLINK("https://finance.yahoo.com/quote/LNKS","LNKS")</f>
        <v/>
      </c>
      <c r="B6659" t="inlineStr">
        <is>
          <t>Linkers Industries Ltd</t>
        </is>
      </c>
      <c r="C6659" t="inlineStr">
        <is>
          <t>Nasdaq</t>
        </is>
      </c>
      <c r="D6659" t="n">
        <v>1972074</v>
      </c>
      <c r="E6659" t="inlineStr">
        <is>
          <t>SEC</t>
        </is>
      </c>
    </row>
    <row r="6660">
      <c r="A6660" s="5">
        <f>HYPERLINK("https://finance.yahoo.com/quote/BTCY","BTCY")</f>
        <v/>
      </c>
      <c r="B6660" t="inlineStr">
        <is>
          <t>BIOTRICITY INC.</t>
        </is>
      </c>
      <c r="C6660" t="inlineStr">
        <is>
          <t>OTC</t>
        </is>
      </c>
      <c r="D6660" t="n">
        <v>1630113</v>
      </c>
      <c r="E6660" t="inlineStr">
        <is>
          <t>SEC</t>
        </is>
      </c>
    </row>
    <row r="6661">
      <c r="A6661" s="5">
        <f>HYPERLINK("https://finance.yahoo.com/quote/ADTX","ADTX")</f>
        <v/>
      </c>
      <c r="B6661" t="inlineStr">
        <is>
          <t>Aditxt, Inc.</t>
        </is>
      </c>
      <c r="C6661" t="inlineStr">
        <is>
          <t>OTC</t>
        </is>
      </c>
      <c r="D6661" t="n">
        <v>1726711</v>
      </c>
      <c r="E6661" t="inlineStr">
        <is>
          <t>SEC</t>
        </is>
      </c>
    </row>
    <row r="6662">
      <c r="A6662" s="5">
        <f>HYPERLINK("https://finance.yahoo.com/quote/MNTR","MNTR")</f>
        <v/>
      </c>
      <c r="B6662" t="inlineStr">
        <is>
          <t>Mentor Capital, Inc.</t>
        </is>
      </c>
      <c r="C6662" t="inlineStr">
        <is>
          <t>OTC</t>
        </is>
      </c>
      <c r="D6662" t="n">
        <v>1599117</v>
      </c>
      <c r="E6662" t="inlineStr">
        <is>
          <t>SEC</t>
        </is>
      </c>
    </row>
    <row r="6663">
      <c r="A6663" s="5">
        <f>HYPERLINK("https://finance.yahoo.com/quote/NATNF","NATNF")</f>
        <v/>
      </c>
      <c r="B6663" t="inlineStr">
        <is>
          <t>Nation Gold Corp.</t>
        </is>
      </c>
      <c r="C6663" t="inlineStr">
        <is>
          <t>OTC</t>
        </is>
      </c>
      <c r="D6663" t="n">
        <v>2096533</v>
      </c>
      <c r="E6663" t="inlineStr">
        <is>
          <t>SEC</t>
        </is>
      </c>
    </row>
    <row r="6664">
      <c r="A6664" s="5">
        <f>HYPERLINK("https://finance.yahoo.com/quote/BRVO","BRVO")</f>
        <v/>
      </c>
      <c r="B6664" t="inlineStr">
        <is>
          <t>Bravo Multinational Inc.</t>
        </is>
      </c>
      <c r="C6664" t="inlineStr">
        <is>
          <t>OTC</t>
        </is>
      </c>
      <c r="D6664" t="n">
        <v>1444839</v>
      </c>
      <c r="E6664" t="inlineStr">
        <is>
          <t>SEC</t>
        </is>
      </c>
    </row>
    <row r="6665">
      <c r="A6665" s="5">
        <f>HYPERLINK("https://finance.yahoo.com/quote/CRIS","CRIS")</f>
        <v/>
      </c>
      <c r="B6665" t="inlineStr">
        <is>
          <t>CURIS INC</t>
        </is>
      </c>
      <c r="C6665" t="inlineStr">
        <is>
          <t>Nasdaq</t>
        </is>
      </c>
      <c r="D6665" t="n">
        <v>1108205</v>
      </c>
      <c r="E6665" t="inlineStr">
        <is>
          <t>SEC</t>
        </is>
      </c>
    </row>
    <row r="6666">
      <c r="A6666" s="5">
        <f>HYPERLINK("https://finance.yahoo.com/quote/QIND","QIND")</f>
        <v/>
      </c>
      <c r="B6666" t="inlineStr">
        <is>
          <t>Quality Industrial Corp.</t>
        </is>
      </c>
      <c r="C6666" t="inlineStr">
        <is>
          <t>OTC</t>
        </is>
      </c>
      <c r="D6666" t="n">
        <v>1393781</v>
      </c>
      <c r="E6666" t="inlineStr">
        <is>
          <t>SEC</t>
        </is>
      </c>
    </row>
    <row r="6667">
      <c r="A6667" s="5">
        <f>HYPERLINK("https://finance.yahoo.com/quote/WETO","WETO")</f>
        <v/>
      </c>
      <c r="B6667" t="inlineStr">
        <is>
          <t>Wetour Robotics Ltd</t>
        </is>
      </c>
      <c r="C6667" t="inlineStr">
        <is>
          <t>Nasdaq</t>
        </is>
      </c>
      <c r="D6667" t="n">
        <v>1941158</v>
      </c>
      <c r="E6667" t="inlineStr">
        <is>
          <t>SEC</t>
        </is>
      </c>
    </row>
    <row r="6668">
      <c r="A6668" s="5">
        <f>HYPERLINK("https://finance.yahoo.com/quote/BDRX","BDRX")</f>
        <v/>
      </c>
      <c r="B6668" t="inlineStr">
        <is>
          <t>Biodexa Pharmaceuticals Plc</t>
        </is>
      </c>
      <c r="C6668" t="inlineStr">
        <is>
          <t>Nasdaq</t>
        </is>
      </c>
      <c r="D6668" t="n">
        <v>1643918</v>
      </c>
      <c r="E6668" t="inlineStr">
        <is>
          <t>SEC</t>
        </is>
      </c>
    </row>
    <row r="6669">
      <c r="A6669" s="5">
        <f>HYPERLINK("https://finance.yahoo.com/quote/MYSZ","MYSZ")</f>
        <v/>
      </c>
      <c r="B6669" t="inlineStr">
        <is>
          <t>My Size, Inc.</t>
        </is>
      </c>
      <c r="C6669" t="inlineStr">
        <is>
          <t>Nasdaq</t>
        </is>
      </c>
      <c r="D6669" t="n">
        <v>1211805</v>
      </c>
      <c r="E6669" t="inlineStr">
        <is>
          <t>SEC</t>
        </is>
      </c>
    </row>
    <row r="6670">
      <c r="A6670" s="5">
        <f>HYPERLINK("https://finance.yahoo.com/quote/WTER","WTER")</f>
        <v/>
      </c>
      <c r="B6670" t="inlineStr">
        <is>
          <t>ALKALINE WATER Co INC</t>
        </is>
      </c>
      <c r="C6670" t="inlineStr">
        <is>
          <t>OTC</t>
        </is>
      </c>
      <c r="D6670" t="n">
        <v>1532390</v>
      </c>
      <c r="E6670" t="inlineStr">
        <is>
          <t>SEC</t>
        </is>
      </c>
    </row>
    <row r="6671">
      <c r="A6671" s="5">
        <f>HYPERLINK("https://finance.yahoo.com/quote/YBGJ","YBGJ")</f>
        <v/>
      </c>
      <c r="B6671" t="inlineStr">
        <is>
          <t>Yubo International Biotech Ltd</t>
        </is>
      </c>
      <c r="C6671" t="inlineStr">
        <is>
          <t>OTC</t>
        </is>
      </c>
      <c r="D6671" t="n">
        <v>895464</v>
      </c>
      <c r="E6671" t="inlineStr">
        <is>
          <t>SEC</t>
        </is>
      </c>
    </row>
    <row r="6672">
      <c r="A6672" s="5">
        <f>HYPERLINK("https://finance.yahoo.com/quote/DXF","DXF")</f>
        <v/>
      </c>
      <c r="B6672" t="inlineStr">
        <is>
          <t>Eason Technology Ltd</t>
        </is>
      </c>
      <c r="C6672" t="inlineStr">
        <is>
          <t>NYSE</t>
        </is>
      </c>
      <c r="D6672" t="n">
        <v>1499494</v>
      </c>
      <c r="E6672" t="inlineStr">
        <is>
          <t>SEC</t>
        </is>
      </c>
    </row>
    <row r="6673">
      <c r="A6673" s="5">
        <f>HYPERLINK("https://finance.yahoo.com/quote/EVFM","EVFM")</f>
        <v/>
      </c>
      <c r="B6673" t="inlineStr">
        <is>
          <t>Evofem Biosciences, Inc.</t>
        </is>
      </c>
      <c r="C6673" t="inlineStr">
        <is>
          <t>OTC</t>
        </is>
      </c>
      <c r="D6673" t="n">
        <v>1618835</v>
      </c>
      <c r="E6673" t="inlineStr">
        <is>
          <t>SEC</t>
        </is>
      </c>
    </row>
    <row r="6674">
      <c r="A6674" s="5">
        <f>HYPERLINK("https://finance.yahoo.com/quote/SKVI","SKVI")</f>
        <v/>
      </c>
      <c r="B6674" t="inlineStr">
        <is>
          <t>SKINVISIBLE, INC.</t>
        </is>
      </c>
      <c r="C6674" t="inlineStr">
        <is>
          <t>OTC</t>
        </is>
      </c>
      <c r="D6674" t="n">
        <v>1085277</v>
      </c>
      <c r="E6674" t="inlineStr">
        <is>
          <t>SEC</t>
        </is>
      </c>
    </row>
    <row r="6675">
      <c r="A6675" s="5">
        <f>HYPERLINK("https://finance.yahoo.com/quote/SATT","SATT")</f>
        <v/>
      </c>
      <c r="B6675" t="inlineStr">
        <is>
          <t>SATIVUS TECH CORP.</t>
        </is>
      </c>
      <c r="C6675" t="inlineStr">
        <is>
          <t>OTC</t>
        </is>
      </c>
      <c r="D6675" t="n">
        <v>1661600</v>
      </c>
      <c r="E6675" t="inlineStr">
        <is>
          <t>SEC</t>
        </is>
      </c>
    </row>
    <row r="6676">
      <c r="A6676" s="5">
        <f>HYPERLINK("https://finance.yahoo.com/quote/ODYY","ODYY")</f>
        <v/>
      </c>
      <c r="B6676" t="inlineStr">
        <is>
          <t>Odyssey Health, Inc.</t>
        </is>
      </c>
      <c r="C6676" t="inlineStr">
        <is>
          <t>OTC</t>
        </is>
      </c>
      <c r="D6676" t="n">
        <v>1626644</v>
      </c>
      <c r="E6676" t="inlineStr">
        <is>
          <t>SEC</t>
        </is>
      </c>
    </row>
    <row r="6677">
      <c r="A6677" s="5">
        <f>HYPERLINK("https://finance.yahoo.com/quote/NVVE","NVVE")</f>
        <v/>
      </c>
      <c r="B6677" t="inlineStr">
        <is>
          <t>Nuvve Holding Corp.</t>
        </is>
      </c>
      <c r="C6677" t="inlineStr">
        <is>
          <t>OTC</t>
        </is>
      </c>
      <c r="D6677" t="n">
        <v>1836875</v>
      </c>
      <c r="E6677" t="inlineStr">
        <is>
          <t>SEC</t>
        </is>
      </c>
    </row>
    <row r="6678">
      <c r="A6678" s="5">
        <f>HYPERLINK("https://finance.yahoo.com/quote/MECPF","MECPF")</f>
        <v/>
      </c>
      <c r="B6678" t="inlineStr">
        <is>
          <t>MUSTANG ENERGY CORP.</t>
        </is>
      </c>
      <c r="C6678" t="inlineStr">
        <is>
          <t>OTC</t>
        </is>
      </c>
      <c r="D6678" t="n">
        <v>1945166</v>
      </c>
      <c r="E6678" t="inlineStr">
        <is>
          <t>SEC</t>
        </is>
      </c>
    </row>
    <row r="6679">
      <c r="A6679" s="5">
        <f>HYPERLINK("https://finance.yahoo.com/quote/GLOH","GLOH")</f>
        <v/>
      </c>
      <c r="B6679" t="inlineStr">
        <is>
          <t>Glow Holdings, Inc.</t>
        </is>
      </c>
      <c r="C6679" t="inlineStr">
        <is>
          <t>OTC</t>
        </is>
      </c>
      <c r="D6679" t="n">
        <v>1114859</v>
      </c>
      <c r="E6679" t="inlineStr">
        <is>
          <t>SEC</t>
        </is>
      </c>
    </row>
    <row r="6680">
      <c r="A6680" s="5">
        <f>HYPERLINK("https://finance.yahoo.com/quote/HAO","HAO")</f>
        <v/>
      </c>
      <c r="B6680" t="inlineStr">
        <is>
          <t>Haoxi Health Technology Ltd</t>
        </is>
      </c>
      <c r="C6680" t="inlineStr">
        <is>
          <t>Nasdaq</t>
        </is>
      </c>
      <c r="D6680" t="n">
        <v>1954594</v>
      </c>
      <c r="E6680" t="inlineStr">
        <is>
          <t>SEC</t>
        </is>
      </c>
    </row>
    <row r="6681">
      <c r="A6681" s="5">
        <f>HYPERLINK("https://finance.yahoo.com/quote/SKYI","SKYI")</f>
        <v/>
      </c>
      <c r="B6681" t="inlineStr">
        <is>
          <t>Sky Century Investment, Inc.</t>
        </is>
      </c>
      <c r="C6681" t="inlineStr">
        <is>
          <t>OTC</t>
        </is>
      </c>
      <c r="D6681" t="n">
        <v>1555017</v>
      </c>
      <c r="E6681" t="inlineStr">
        <is>
          <t>SEC</t>
        </is>
      </c>
    </row>
    <row r="6682">
      <c r="A6682" s="5">
        <f>HYPERLINK("https://finance.yahoo.com/quote/NXTS","NXTS")</f>
        <v/>
      </c>
      <c r="B6682" t="inlineStr">
        <is>
          <t>Nexentis Technologies Inc.</t>
        </is>
      </c>
      <c r="C6682" t="inlineStr">
        <is>
          <t>Nasdaq</t>
        </is>
      </c>
      <c r="D6682" t="n">
        <v>1789192</v>
      </c>
      <c r="E6682" t="inlineStr">
        <is>
          <t>SEC</t>
        </is>
      </c>
    </row>
    <row r="6683">
      <c r="A6683" s="5">
        <f>HYPERLINK("https://finance.yahoo.com/quote/DBMM","DBMM")</f>
        <v/>
      </c>
      <c r="B6683" t="inlineStr">
        <is>
          <t>Digital Brand Media &amp; Marketing Group, Inc.</t>
        </is>
      </c>
      <c r="C6683" t="inlineStr">
        <is>
          <t>OTC</t>
        </is>
      </c>
      <c r="D6683" t="n">
        <v>1127475</v>
      </c>
      <c r="E6683" t="inlineStr">
        <is>
          <t>SEC</t>
        </is>
      </c>
    </row>
    <row r="6684">
      <c r="A6684" s="5">
        <f>HYPERLINK("https://finance.yahoo.com/quote/GNTOF","GNTOF")</f>
        <v/>
      </c>
      <c r="B6684" t="inlineStr">
        <is>
          <t>GENTOR RESOURCES INC.</t>
        </is>
      </c>
      <c r="C6684" t="inlineStr">
        <is>
          <t>OTC</t>
        </is>
      </c>
      <c r="D6684" t="n">
        <v>1346917</v>
      </c>
      <c r="E6684" t="inlineStr">
        <is>
          <t>SEC</t>
        </is>
      </c>
    </row>
    <row r="6685">
      <c r="A6685" s="5">
        <f>HYPERLINK("https://finance.yahoo.com/quote/SCNI","SCNI")</f>
        <v/>
      </c>
      <c r="B6685" t="inlineStr">
        <is>
          <t>Scinai Immunotherapeutics Ltd.</t>
        </is>
      </c>
      <c r="C6685" t="inlineStr">
        <is>
          <t>Nasdaq</t>
        </is>
      </c>
      <c r="D6685" t="n">
        <v>1611747</v>
      </c>
      <c r="E6685" t="inlineStr">
        <is>
          <t>SEC</t>
        </is>
      </c>
    </row>
    <row r="6686">
      <c r="A6686" s="5">
        <f>HYPERLINK("https://finance.yahoo.com/quote/NEXR","NEXR")</f>
        <v/>
      </c>
      <c r="B6686" t="inlineStr">
        <is>
          <t>Nexera Technologies Ltd</t>
        </is>
      </c>
      <c r="C6686" t="inlineStr">
        <is>
          <t>Nasdaq</t>
        </is>
      </c>
      <c r="D6686" t="n">
        <v>1885408</v>
      </c>
      <c r="E6686" t="inlineStr">
        <is>
          <t>SEC</t>
        </is>
      </c>
    </row>
    <row r="6687">
      <c r="A6687" s="5">
        <f>HYPERLINK("https://finance.yahoo.com/quote/AGSS","AGSS")</f>
        <v/>
      </c>
      <c r="B6687" t="inlineStr">
        <is>
          <t>AMERIGUARD SECURITY SERVICES, INC.</t>
        </is>
      </c>
      <c r="C6687" t="inlineStr"/>
      <c r="D6687" t="n">
        <v>1514443</v>
      </c>
      <c r="E6687" t="inlineStr">
        <is>
          <t>SEC</t>
        </is>
      </c>
    </row>
    <row r="6688">
      <c r="A6688" s="5">
        <f>HYPERLINK("https://finance.yahoo.com/quote/PNYG","PNYG")</f>
        <v/>
      </c>
      <c r="B6688" t="inlineStr">
        <is>
          <t>Pony Group Inc.</t>
        </is>
      </c>
      <c r="C6688" t="inlineStr">
        <is>
          <t>OTC</t>
        </is>
      </c>
      <c r="D6688" t="n">
        <v>1784058</v>
      </c>
      <c r="E6688" t="inlineStr">
        <is>
          <t>SEC</t>
        </is>
      </c>
    </row>
    <row r="6689">
      <c r="A6689" s="5">
        <f>HYPERLINK("https://finance.yahoo.com/quote/SGRX","SGRX")</f>
        <v/>
      </c>
      <c r="B6689" t="inlineStr">
        <is>
          <t>SANGRIX INC.</t>
        </is>
      </c>
      <c r="C6689" t="inlineStr">
        <is>
          <t>Nasdaq</t>
        </is>
      </c>
      <c r="D6689" t="n">
        <v>1735556</v>
      </c>
      <c r="E6689" t="inlineStr">
        <is>
          <t>SEC</t>
        </is>
      </c>
    </row>
    <row r="6690">
      <c r="A6690" s="5">
        <f>HYPERLINK("https://finance.yahoo.com/quote/HSTA","HSTA")</f>
        <v/>
      </c>
      <c r="B6690" t="inlineStr">
        <is>
          <t>Hestia Insight Inc.</t>
        </is>
      </c>
      <c r="C6690" t="inlineStr">
        <is>
          <t>OTC</t>
        </is>
      </c>
      <c r="D6690" t="n">
        <v>1813603</v>
      </c>
      <c r="E6690" t="inlineStr">
        <is>
          <t>SEC</t>
        </is>
      </c>
    </row>
    <row r="6691">
      <c r="A6691" s="5">
        <f>HYPERLINK("https://finance.yahoo.com/quote/QSJC","QSJC")</f>
        <v/>
      </c>
      <c r="B6691" t="inlineStr">
        <is>
          <t>TANCHENG GROUP CO., LTD.</t>
        </is>
      </c>
      <c r="C6691" t="inlineStr">
        <is>
          <t>OTC</t>
        </is>
      </c>
      <c r="D6691" t="n">
        <v>1753391</v>
      </c>
      <c r="E6691" t="inlineStr">
        <is>
          <t>SEC</t>
        </is>
      </c>
    </row>
    <row r="6692">
      <c r="A6692" s="5">
        <f>HYPERLINK("https://finance.yahoo.com/quote/FUNI","FUNI")</f>
        <v/>
      </c>
      <c r="B6692" t="inlineStr">
        <is>
          <t>Hypha Labs, Inc.</t>
        </is>
      </c>
      <c r="C6692" t="inlineStr">
        <is>
          <t>OTC</t>
        </is>
      </c>
      <c r="D6692" t="n">
        <v>1502966</v>
      </c>
      <c r="E6692" t="inlineStr">
        <is>
          <t>SEC</t>
        </is>
      </c>
    </row>
    <row r="6693">
      <c r="A6693" s="5">
        <f>HYPERLINK("https://finance.yahoo.com/quote/LABT","LABT")</f>
        <v/>
      </c>
      <c r="B6693" t="inlineStr">
        <is>
          <t>Lakewood-Amedex Biotherapeutics Inc.</t>
        </is>
      </c>
      <c r="C6693" t="inlineStr">
        <is>
          <t>Nasdaq</t>
        </is>
      </c>
      <c r="D6693" t="n">
        <v>2079272</v>
      </c>
      <c r="E6693" t="inlineStr">
        <is>
          <t>SEC</t>
        </is>
      </c>
    </row>
    <row r="6694">
      <c r="A6694" s="5">
        <f>HYPERLINK("https://finance.yahoo.com/quote/NPHC","NPHC")</f>
        <v/>
      </c>
      <c r="B6694" t="inlineStr">
        <is>
          <t>NUTRA PHARMA CORP</t>
        </is>
      </c>
      <c r="C6694" t="inlineStr">
        <is>
          <t>OTC</t>
        </is>
      </c>
      <c r="D6694" t="n">
        <v>1119643</v>
      </c>
      <c r="E6694" t="inlineStr">
        <is>
          <t>SEC</t>
        </is>
      </c>
    </row>
    <row r="6695">
      <c r="A6695" s="5">
        <f>HYPERLINK("https://finance.yahoo.com/quote/LESLQ","LESLQ")</f>
        <v/>
      </c>
      <c r="B6695" t="inlineStr">
        <is>
          <t>Leslie's, Inc.</t>
        </is>
      </c>
      <c r="C6695" t="inlineStr">
        <is>
          <t>OTC</t>
        </is>
      </c>
      <c r="D6695" t="n">
        <v>1821806</v>
      </c>
      <c r="E6695" t="inlineStr">
        <is>
          <t>SEC</t>
        </is>
      </c>
    </row>
    <row r="6696">
      <c r="A6696" s="5">
        <f>HYPERLINK("https://finance.yahoo.com/quote/MVNC","MVNC")</f>
        <v/>
      </c>
      <c r="B6696" t="inlineStr">
        <is>
          <t>Marvion Inc.</t>
        </is>
      </c>
      <c r="C6696" t="inlineStr"/>
      <c r="D6696" t="n">
        <v>1439264</v>
      </c>
      <c r="E6696" t="inlineStr">
        <is>
          <t>SEC</t>
        </is>
      </c>
    </row>
    <row r="6697">
      <c r="A6697" s="5">
        <f>HYPERLINK("https://finance.yahoo.com/quote/LUDG","LUDG")</f>
        <v/>
      </c>
      <c r="B6697" t="inlineStr">
        <is>
          <t>LUDWIG ENTERPRISES, INC.</t>
        </is>
      </c>
      <c r="C6697" t="inlineStr">
        <is>
          <t>OTC</t>
        </is>
      </c>
      <c r="D6697" t="n">
        <v>1960262</v>
      </c>
      <c r="E6697" t="inlineStr">
        <is>
          <t>SEC</t>
        </is>
      </c>
    </row>
    <row r="6698">
      <c r="A6698" s="5">
        <f>HYPERLINK("https://finance.yahoo.com/quote/SBIG","SBIG")</f>
        <v/>
      </c>
      <c r="B6698" t="inlineStr">
        <is>
          <t>SBIG Holdings, Inc.</t>
        </is>
      </c>
      <c r="C6698" t="inlineStr">
        <is>
          <t>OTC</t>
        </is>
      </c>
      <c r="D6698" t="n">
        <v>1801602</v>
      </c>
      <c r="E6698" t="inlineStr">
        <is>
          <t>SEC</t>
        </is>
      </c>
    </row>
    <row r="6699">
      <c r="A6699" s="5">
        <f>HYPERLINK("https://finance.yahoo.com/quote/NIHK","NIHK")</f>
        <v/>
      </c>
      <c r="B6699" t="inlineStr">
        <is>
          <t>Video River Networks, Inc.</t>
        </is>
      </c>
      <c r="C6699" t="inlineStr">
        <is>
          <t>OTC</t>
        </is>
      </c>
      <c r="D6699" t="n">
        <v>1084475</v>
      </c>
      <c r="E6699" t="inlineStr">
        <is>
          <t>SEC</t>
        </is>
      </c>
    </row>
    <row r="6700">
      <c r="A6700" s="5">
        <f>HYPERLINK("https://finance.yahoo.com/quote/GMER","GMER")</f>
        <v/>
      </c>
      <c r="B6700" t="inlineStr">
        <is>
          <t>GOOD GAMING, INC.</t>
        </is>
      </c>
      <c r="C6700" t="inlineStr">
        <is>
          <t>OTC</t>
        </is>
      </c>
      <c r="D6700" t="n">
        <v>1454742</v>
      </c>
      <c r="E6700" t="inlineStr">
        <is>
          <t>SEC</t>
        </is>
      </c>
    </row>
    <row r="6701">
      <c r="A6701" s="5">
        <f>HYPERLINK("https://finance.yahoo.com/quote/SPRC","SPRC")</f>
        <v/>
      </c>
      <c r="B6701" t="inlineStr">
        <is>
          <t>SciSparc Ltd.</t>
        </is>
      </c>
      <c r="C6701" t="inlineStr">
        <is>
          <t>Nasdaq</t>
        </is>
      </c>
      <c r="D6701" t="n">
        <v>1611746</v>
      </c>
      <c r="E6701" t="inlineStr">
        <is>
          <t>SEC</t>
        </is>
      </c>
    </row>
    <row r="6702">
      <c r="A6702" s="5">
        <f>HYPERLINK("https://finance.yahoo.com/quote/BNBX","BNBX")</f>
        <v/>
      </c>
      <c r="B6702" t="inlineStr">
        <is>
          <t>BNB PLUS CORP.</t>
        </is>
      </c>
      <c r="C6702" t="inlineStr">
        <is>
          <t>OTC</t>
        </is>
      </c>
      <c r="D6702" t="n">
        <v>744452</v>
      </c>
      <c r="E6702" t="inlineStr">
        <is>
          <t>SEC</t>
        </is>
      </c>
    </row>
    <row r="6703">
      <c r="A6703" s="5">
        <f>HYPERLINK("https://finance.yahoo.com/quote/CBDY","CBDY")</f>
        <v/>
      </c>
      <c r="B6703" t="inlineStr">
        <is>
          <t>Target Group Inc.</t>
        </is>
      </c>
      <c r="C6703" t="inlineStr">
        <is>
          <t>OTC</t>
        </is>
      </c>
      <c r="D6703" t="n">
        <v>1586554</v>
      </c>
      <c r="E6703" t="inlineStr">
        <is>
          <t>SEC</t>
        </is>
      </c>
    </row>
    <row r="6704">
      <c r="A6704" s="5">
        <f>HYPERLINK("https://finance.yahoo.com/quote/REEAF","REEAF")</f>
        <v/>
      </c>
      <c r="B6704" t="inlineStr">
        <is>
          <t>REE Automotive Ltd.</t>
        </is>
      </c>
      <c r="C6704" t="inlineStr">
        <is>
          <t>OTC</t>
        </is>
      </c>
      <c r="D6704" t="n">
        <v>1843588</v>
      </c>
      <c r="E6704" t="inlineStr">
        <is>
          <t>SEC</t>
        </is>
      </c>
    </row>
    <row r="6705">
      <c r="A6705" s="5">
        <f>HYPERLINK("https://finance.yahoo.com/quote/CBDL","CBDL")</f>
        <v/>
      </c>
      <c r="B6705" t="inlineStr">
        <is>
          <t>CBD Life Sciences Inc.</t>
        </is>
      </c>
      <c r="C6705" t="inlineStr">
        <is>
          <t>OTC</t>
        </is>
      </c>
      <c r="D6705" t="n">
        <v>1776073</v>
      </c>
      <c r="E6705" t="inlineStr">
        <is>
          <t>SEC</t>
        </is>
      </c>
    </row>
    <row r="6706">
      <c r="A6706" s="5">
        <f>HYPERLINK("https://finance.yahoo.com/quote/NUMD","NUMD")</f>
        <v/>
      </c>
      <c r="B6706" t="inlineStr">
        <is>
          <t>Nu-Med Plus, Inc.</t>
        </is>
      </c>
      <c r="C6706" t="inlineStr">
        <is>
          <t>OTC</t>
        </is>
      </c>
      <c r="D6706" t="n">
        <v>1543637</v>
      </c>
      <c r="E6706" t="inlineStr">
        <is>
          <t>SEC</t>
        </is>
      </c>
    </row>
    <row r="6707">
      <c r="A6707" s="5">
        <f>HYPERLINK("https://finance.yahoo.com/quote/SLAIY","SLAIY")</f>
        <v/>
      </c>
      <c r="B6707" t="inlineStr">
        <is>
          <t>SOLAI Ltd</t>
        </is>
      </c>
      <c r="C6707" t="inlineStr">
        <is>
          <t>OTC</t>
        </is>
      </c>
      <c r="D6707" t="n">
        <v>1517496</v>
      </c>
      <c r="E6707" t="inlineStr">
        <is>
          <t>SEC</t>
        </is>
      </c>
    </row>
    <row r="6708">
      <c r="A6708" s="5">
        <f>HYPERLINK("https://finance.yahoo.com/quote/GMEX","GMEX")</f>
        <v/>
      </c>
      <c r="B6708" t="inlineStr">
        <is>
          <t>GMEX Robotics Corp</t>
        </is>
      </c>
      <c r="C6708" t="inlineStr">
        <is>
          <t>Nasdaq</t>
        </is>
      </c>
      <c r="D6708" t="n">
        <v>1928581</v>
      </c>
      <c r="E6708" t="inlineStr">
        <is>
          <t>SEC</t>
        </is>
      </c>
    </row>
    <row r="6709">
      <c r="A6709" s="5">
        <f>HYPERLINK("https://finance.yahoo.com/quote/IPW","IPW")</f>
        <v/>
      </c>
      <c r="B6709" t="inlineStr">
        <is>
          <t>iPower Inc.</t>
        </is>
      </c>
      <c r="C6709" t="inlineStr">
        <is>
          <t>Nasdaq</t>
        </is>
      </c>
      <c r="D6709" t="n">
        <v>1830072</v>
      </c>
      <c r="E6709" t="inlineStr">
        <is>
          <t>SEC</t>
        </is>
      </c>
    </row>
    <row r="6710">
      <c r="A6710" s="5">
        <f>HYPERLINK("https://finance.yahoo.com/quote/CBMJ","CBMJ")</f>
        <v/>
      </c>
      <c r="B6710" t="inlineStr">
        <is>
          <t>CONSERVATIVE BROADCAST MEDIA &amp; PUBLISHING, INC.</t>
        </is>
      </c>
      <c r="C6710" t="inlineStr">
        <is>
          <t>OTC</t>
        </is>
      </c>
      <c r="D6710" t="n">
        <v>1452583</v>
      </c>
      <c r="E6710" t="inlineStr">
        <is>
          <t>SEC</t>
        </is>
      </c>
    </row>
    <row r="6711">
      <c r="A6711" s="5">
        <f>HYPERLINK("https://finance.yahoo.com/quote/WAST","WAST")</f>
        <v/>
      </c>
      <c r="B6711" t="inlineStr">
        <is>
          <t>WASTE ENERGY CORP.</t>
        </is>
      </c>
      <c r="C6711" t="inlineStr">
        <is>
          <t>OTC</t>
        </is>
      </c>
      <c r="D6711" t="n">
        <v>1515139</v>
      </c>
      <c r="E6711" t="inlineStr">
        <is>
          <t>SEC</t>
        </is>
      </c>
    </row>
    <row r="6712">
      <c r="A6712" s="5">
        <f>HYPERLINK("https://finance.yahoo.com/quote/RMTG","RMTG")</f>
        <v/>
      </c>
      <c r="B6712" t="inlineStr">
        <is>
          <t>Regenerative Medical Technology Group Inc.</t>
        </is>
      </c>
      <c r="C6712" t="inlineStr">
        <is>
          <t>OTC</t>
        </is>
      </c>
      <c r="D6712" t="n">
        <v>1760026</v>
      </c>
      <c r="E6712" t="inlineStr">
        <is>
          <t>SEC</t>
        </is>
      </c>
    </row>
    <row r="6713">
      <c r="A6713" s="5">
        <f>HYPERLINK("https://finance.yahoo.com/quote/OMTK","OMTK")</f>
        <v/>
      </c>
      <c r="B6713" t="inlineStr">
        <is>
          <t>Omnitek Engineering Corp</t>
        </is>
      </c>
      <c r="C6713" t="inlineStr">
        <is>
          <t>OTC</t>
        </is>
      </c>
      <c r="D6713" t="n">
        <v>1404804</v>
      </c>
      <c r="E6713" t="inlineStr">
        <is>
          <t>SEC</t>
        </is>
      </c>
    </row>
    <row r="6714">
      <c r="A6714" s="5">
        <f>HYPERLINK("https://finance.yahoo.com/quote/AITX","AITX")</f>
        <v/>
      </c>
      <c r="B6714" t="inlineStr">
        <is>
          <t>Artificial Intelligence Technology Solutions Inc.</t>
        </is>
      </c>
      <c r="C6714" t="inlineStr">
        <is>
          <t>OTC</t>
        </is>
      </c>
      <c r="D6714" t="n">
        <v>1498148</v>
      </c>
      <c r="E6714" t="inlineStr">
        <is>
          <t>SEC</t>
        </is>
      </c>
    </row>
    <row r="6715">
      <c r="A6715" s="5">
        <f>HYPERLINK("https://finance.yahoo.com/quote/CSUI","CSUI")</f>
        <v/>
      </c>
      <c r="B6715" t="inlineStr">
        <is>
          <t>CANNABIS SUISSE CORP.</t>
        </is>
      </c>
      <c r="C6715" t="inlineStr">
        <is>
          <t>OTC</t>
        </is>
      </c>
      <c r="D6715" t="n">
        <v>1680132</v>
      </c>
      <c r="E6715" t="inlineStr">
        <is>
          <t>SEC</t>
        </is>
      </c>
    </row>
    <row r="6716">
      <c r="A6716" s="5">
        <f>HYPERLINK("https://finance.yahoo.com/quote/PFSA","PFSA")</f>
        <v/>
      </c>
      <c r="B6716" t="inlineStr">
        <is>
          <t>Profusa, Inc.</t>
        </is>
      </c>
      <c r="C6716" t="inlineStr">
        <is>
          <t>Nasdaq</t>
        </is>
      </c>
      <c r="D6716" t="n">
        <v>1859807</v>
      </c>
      <c r="E6716" t="inlineStr">
        <is>
          <t>SEC</t>
        </is>
      </c>
    </row>
    <row r="6717">
      <c r="A6717" s="5">
        <f>HYPERLINK("https://finance.yahoo.com/quote/XESP","XESP")</f>
        <v/>
      </c>
      <c r="B6717" t="inlineStr">
        <is>
          <t>Electronic Servitor Publication Network, Inc.</t>
        </is>
      </c>
      <c r="C6717" t="inlineStr">
        <is>
          <t>OTC</t>
        </is>
      </c>
      <c r="D6717" t="n">
        <v>1709542</v>
      </c>
      <c r="E6717" t="inlineStr">
        <is>
          <t>SEC</t>
        </is>
      </c>
    </row>
    <row r="6718">
      <c r="A6718" s="5">
        <f>HYPERLINK("https://finance.yahoo.com/quote/WHLR","WHLR")</f>
        <v/>
      </c>
      <c r="B6718" t="inlineStr">
        <is>
          <t>Wheeler Real Estate Investment Trust, Inc.</t>
        </is>
      </c>
      <c r="C6718" t="inlineStr">
        <is>
          <t>Nasdaq</t>
        </is>
      </c>
      <c r="D6718" t="n">
        <v>1527541</v>
      </c>
      <c r="E6718" t="inlineStr">
        <is>
          <t>SEC</t>
        </is>
      </c>
    </row>
    <row r="6719">
      <c r="A6719" s="5">
        <f>HYPERLINK("https://finance.yahoo.com/quote/GGLXD","GGLXD")</f>
        <v/>
      </c>
      <c r="B6719" t="inlineStr">
        <is>
          <t>GGL RESOURCES CORP.</t>
        </is>
      </c>
      <c r="C6719" t="inlineStr">
        <is>
          <t>OTC</t>
        </is>
      </c>
      <c r="D6719" t="n">
        <v>800523</v>
      </c>
      <c r="E6719" t="inlineStr">
        <is>
          <t>SEC</t>
        </is>
      </c>
    </row>
    <row r="6720">
      <c r="A6720" s="5">
        <f>HYPERLINK("https://finance.yahoo.com/quote/SLDC","SLDC")</f>
        <v/>
      </c>
      <c r="B6720" t="inlineStr">
        <is>
          <t>Solidus Communications, Inc.</t>
        </is>
      </c>
      <c r="C6720" t="inlineStr">
        <is>
          <t>OTC</t>
        </is>
      </c>
      <c r="D6720" t="n">
        <v>1427644</v>
      </c>
      <c r="E6720" t="inlineStr">
        <is>
          <t>SEC</t>
        </is>
      </c>
    </row>
    <row r="6721">
      <c r="A6721" s="5">
        <f>HYPERLINK("https://finance.yahoo.com/quote/STKH","STKH")</f>
        <v/>
      </c>
      <c r="B6721" t="inlineStr">
        <is>
          <t>Steakholder Foods Ltd.</t>
        </is>
      </c>
      <c r="C6721" t="inlineStr">
        <is>
          <t>Nasdaq</t>
        </is>
      </c>
      <c r="D6721" t="n">
        <v>1828098</v>
      </c>
      <c r="E6721" t="inlineStr">
        <is>
          <t>SEC</t>
        </is>
      </c>
    </row>
    <row r="6722">
      <c r="A6722" s="5">
        <f>HYPERLINK("https://finance.yahoo.com/quote/SDST","SDST")</f>
        <v/>
      </c>
      <c r="B6722" t="inlineStr">
        <is>
          <t>Stardust Power Inc.</t>
        </is>
      </c>
      <c r="C6722" t="inlineStr">
        <is>
          <t>OTC</t>
        </is>
      </c>
      <c r="D6722" t="n">
        <v>1831979</v>
      </c>
      <c r="E6722" t="inlineStr">
        <is>
          <t>SEC</t>
        </is>
      </c>
    </row>
    <row r="6723">
      <c r="A6723" s="5">
        <f>HYPERLINK("https://finance.yahoo.com/quote/CYTOF","CYTOF")</f>
        <v/>
      </c>
      <c r="B6723" t="inlineStr">
        <is>
          <t>Altamira Therapeutics Ltd.</t>
        </is>
      </c>
      <c r="C6723" t="inlineStr">
        <is>
          <t>OTC</t>
        </is>
      </c>
      <c r="D6723" t="n">
        <v>1601936</v>
      </c>
      <c r="E6723" t="inlineStr">
        <is>
          <t>SEC</t>
        </is>
      </c>
    </row>
    <row r="6724">
      <c r="A6724" s="5">
        <f>HYPERLINK("https://finance.yahoo.com/quote/SMTK","SMTK")</f>
        <v/>
      </c>
      <c r="B6724" t="inlineStr">
        <is>
          <t>SmartKem, Inc.</t>
        </is>
      </c>
      <c r="C6724" t="inlineStr">
        <is>
          <t>Nasdaq</t>
        </is>
      </c>
      <c r="D6724" t="n">
        <v>1817760</v>
      </c>
      <c r="E6724" t="inlineStr">
        <is>
          <t>SEC</t>
        </is>
      </c>
    </row>
    <row r="6725">
      <c r="A6725" s="5">
        <f>HYPERLINK("https://finance.yahoo.com/quote/VCIG","VCIG")</f>
        <v/>
      </c>
      <c r="B6725" t="inlineStr">
        <is>
          <t>VCI Global Ltd</t>
        </is>
      </c>
      <c r="C6725" t="inlineStr">
        <is>
          <t>Nasdaq</t>
        </is>
      </c>
      <c r="D6725" t="n">
        <v>1930510</v>
      </c>
      <c r="E6725" t="inlineStr">
        <is>
          <t>SEC</t>
        </is>
      </c>
    </row>
    <row r="6726">
      <c r="A6726" s="5">
        <f>HYPERLINK("https://finance.yahoo.com/quote/NRHI","NRHI")</f>
        <v/>
      </c>
      <c r="B6726" t="inlineStr">
        <is>
          <t>Natural Resource Holdings, Inc.</t>
        </is>
      </c>
      <c r="C6726" t="inlineStr">
        <is>
          <t>OTC</t>
        </is>
      </c>
      <c r="D6726" t="n">
        <v>1680689</v>
      </c>
      <c r="E6726" t="inlineStr">
        <is>
          <t>SEC</t>
        </is>
      </c>
    </row>
    <row r="6727">
      <c r="A6727" s="5">
        <f>HYPERLINK("https://finance.yahoo.com/quote/INKW","INKW")</f>
        <v/>
      </c>
      <c r="B6727" t="inlineStr">
        <is>
          <t>Greene Concepts, Inc</t>
        </is>
      </c>
      <c r="C6727" t="inlineStr">
        <is>
          <t>OTC</t>
        </is>
      </c>
      <c r="D6727" t="n">
        <v>1585380</v>
      </c>
      <c r="E6727" t="inlineStr">
        <is>
          <t>SEC</t>
        </is>
      </c>
    </row>
    <row r="6728">
      <c r="A6728" s="5">
        <f>HYPERLINK("https://finance.yahoo.com/quote/TSEOQ","TSEOQ")</f>
        <v/>
      </c>
      <c r="B6728" t="inlineStr">
        <is>
          <t>Trinseo PLC</t>
        </is>
      </c>
      <c r="C6728" t="inlineStr">
        <is>
          <t>OTC</t>
        </is>
      </c>
      <c r="D6728" t="n">
        <v>1519061</v>
      </c>
      <c r="E6728" t="inlineStr">
        <is>
          <t>SEC</t>
        </is>
      </c>
    </row>
    <row r="6729">
      <c r="A6729" s="5">
        <f>HYPERLINK("https://finance.yahoo.com/quote/CDIX","CDIX")</f>
        <v/>
      </c>
      <c r="B6729" t="inlineStr">
        <is>
          <t>Cardiff Lexington Corp</t>
        </is>
      </c>
      <c r="C6729" t="inlineStr">
        <is>
          <t>OTC</t>
        </is>
      </c>
      <c r="D6729" t="n">
        <v>811222</v>
      </c>
      <c r="E6729" t="inlineStr">
        <is>
          <t>SEC</t>
        </is>
      </c>
    </row>
    <row r="6730">
      <c r="A6730" s="5">
        <f>HYPERLINK("https://finance.yahoo.com/quote/FTRKF","FTRKF")</f>
        <v/>
      </c>
      <c r="B6730" t="inlineStr">
        <is>
          <t>Fast Track Group</t>
        </is>
      </c>
      <c r="C6730" t="inlineStr">
        <is>
          <t>OTC</t>
        </is>
      </c>
      <c r="D6730" t="n">
        <v>2027262</v>
      </c>
      <c r="E6730" t="inlineStr">
        <is>
          <t>SEC</t>
        </is>
      </c>
    </row>
    <row r="6731">
      <c r="A6731" s="5">
        <f>HYPERLINK("https://finance.yahoo.com/quote/GTIC","GTIC")</f>
        <v/>
      </c>
      <c r="B6731" t="inlineStr">
        <is>
          <t>Greentech Innovations, Inc.</t>
        </is>
      </c>
      <c r="C6731" t="inlineStr">
        <is>
          <t>OTC</t>
        </is>
      </c>
      <c r="D6731" t="n">
        <v>1584480</v>
      </c>
      <c r="E6731" t="inlineStr">
        <is>
          <t>SEC</t>
        </is>
      </c>
    </row>
    <row r="6732">
      <c r="A6732" s="5">
        <f>HYPERLINK("https://finance.yahoo.com/quote/BMTM","BMTM")</f>
        <v/>
      </c>
      <c r="B6732" t="inlineStr">
        <is>
          <t>Bright Mountain Media, Inc.</t>
        </is>
      </c>
      <c r="C6732" t="inlineStr">
        <is>
          <t>OTC</t>
        </is>
      </c>
      <c r="D6732" t="n">
        <v>1568385</v>
      </c>
      <c r="E6732" t="inlineStr">
        <is>
          <t>SEC</t>
        </is>
      </c>
    </row>
    <row r="6733">
      <c r="A6733" s="5">
        <f>HYPERLINK("https://finance.yahoo.com/quote/SUGP","SUGP")</f>
        <v/>
      </c>
      <c r="B6733" t="inlineStr">
        <is>
          <t>SU Group Holdings Ltd</t>
        </is>
      </c>
      <c r="C6733" t="inlineStr">
        <is>
          <t>Nasdaq</t>
        </is>
      </c>
      <c r="D6733" t="n">
        <v>1969863</v>
      </c>
      <c r="E6733" t="inlineStr">
        <is>
          <t>SEC</t>
        </is>
      </c>
    </row>
    <row r="6734">
      <c r="A6734" s="5">
        <f>HYPERLINK("https://finance.yahoo.com/quote/CPMV","CPMV")</f>
        <v/>
      </c>
      <c r="B6734" t="inlineStr">
        <is>
          <t>Mosaic ImmunoEngineering Inc.</t>
        </is>
      </c>
      <c r="C6734" t="inlineStr">
        <is>
          <t>OTC</t>
        </is>
      </c>
      <c r="D6734" t="n">
        <v>836564</v>
      </c>
      <c r="E6734" t="inlineStr">
        <is>
          <t>SEC</t>
        </is>
      </c>
    </row>
    <row r="6735">
      <c r="A6735" s="5">
        <f>HYPERLINK("https://finance.yahoo.com/quote/KAVL","KAVL")</f>
        <v/>
      </c>
      <c r="B6735" t="inlineStr">
        <is>
          <t>Kaival Brands Innovations Group, Inc.</t>
        </is>
      </c>
      <c r="C6735" t="inlineStr">
        <is>
          <t>OTC</t>
        </is>
      </c>
      <c r="D6735" t="n">
        <v>1762239</v>
      </c>
      <c r="E6735" t="inlineStr">
        <is>
          <t>SEC</t>
        </is>
      </c>
    </row>
    <row r="6736">
      <c r="A6736" s="5">
        <f>HYPERLINK("https://finance.yahoo.com/quote/SXTC","SXTC")</f>
        <v/>
      </c>
      <c r="B6736" t="inlineStr">
        <is>
          <t>China SXT Pharmaceuticals, Inc.</t>
        </is>
      </c>
      <c r="C6736" t="inlineStr">
        <is>
          <t>Nasdaq</t>
        </is>
      </c>
      <c r="D6736" t="n">
        <v>1723980</v>
      </c>
      <c r="E6736" t="inlineStr">
        <is>
          <t>SEC</t>
        </is>
      </c>
    </row>
    <row r="6737">
      <c r="A6737" s="5">
        <f>HYPERLINK("https://finance.yahoo.com/quote/TGL","TGL")</f>
        <v/>
      </c>
      <c r="B6737" t="inlineStr">
        <is>
          <t>TREASURE GLOBAL INC</t>
        </is>
      </c>
      <c r="C6737" t="inlineStr">
        <is>
          <t>Nasdaq</t>
        </is>
      </c>
      <c r="D6737" t="n">
        <v>1905956</v>
      </c>
      <c r="E6737" t="inlineStr">
        <is>
          <t>SEC</t>
        </is>
      </c>
    </row>
    <row r="6738">
      <c r="A6738" s="5">
        <f>HYPERLINK("https://finance.yahoo.com/quote/GCTK","GCTK")</f>
        <v/>
      </c>
      <c r="B6738" t="inlineStr">
        <is>
          <t>Glucotrack, Inc.</t>
        </is>
      </c>
      <c r="C6738" t="inlineStr">
        <is>
          <t>Nasdaq</t>
        </is>
      </c>
      <c r="D6738" t="n">
        <v>1506983</v>
      </c>
      <c r="E6738" t="inlineStr">
        <is>
          <t>SEC</t>
        </is>
      </c>
    </row>
    <row r="6739">
      <c r="A6739" s="5">
        <f>HYPERLINK("https://finance.yahoo.com/quote/DTCKF","DTCKF")</f>
        <v/>
      </c>
      <c r="B6739" t="inlineStr">
        <is>
          <t>DAVIS COMMODITIES Ltd</t>
        </is>
      </c>
      <c r="C6739" t="inlineStr">
        <is>
          <t>OTC</t>
        </is>
      </c>
      <c r="D6739" t="n">
        <v>1949478</v>
      </c>
      <c r="E6739" t="inlineStr">
        <is>
          <t>SEC</t>
        </is>
      </c>
    </row>
    <row r="6740">
      <c r="A6740" s="5">
        <f>HYPERLINK("https://finance.yahoo.com/quote/FMTOF","FMTOF")</f>
        <v/>
      </c>
      <c r="B6740" t="inlineStr">
        <is>
          <t>Femto Technologies Inc.</t>
        </is>
      </c>
      <c r="C6740" t="inlineStr">
        <is>
          <t>OTC</t>
        </is>
      </c>
      <c r="D6740" t="n">
        <v>1888151</v>
      </c>
      <c r="E6740" t="inlineStr">
        <is>
          <t>SEC</t>
        </is>
      </c>
    </row>
    <row r="6741">
      <c r="A6741" s="5">
        <f>HYPERLINK("https://finance.yahoo.com/quote/DDDX","DDDX")</f>
        <v/>
      </c>
      <c r="B6741" t="inlineStr">
        <is>
          <t>3DX Industries, Inc.</t>
        </is>
      </c>
      <c r="C6741" t="inlineStr">
        <is>
          <t>OTC</t>
        </is>
      </c>
      <c r="D6741" t="n">
        <v>1453122</v>
      </c>
      <c r="E6741" t="inlineStr">
        <is>
          <t>SEC</t>
        </is>
      </c>
    </row>
    <row r="6742">
      <c r="A6742" s="5">
        <f>HYPERLINK("https://finance.yahoo.com/quote/SPOWF","SPOWF")</f>
        <v/>
      </c>
      <c r="B6742" t="inlineStr">
        <is>
          <t>Strata Power Corp</t>
        </is>
      </c>
      <c r="C6742" t="inlineStr">
        <is>
          <t>OTC</t>
        </is>
      </c>
      <c r="D6742" t="n">
        <v>1227282</v>
      </c>
      <c r="E6742" t="inlineStr">
        <is>
          <t>SEC</t>
        </is>
      </c>
    </row>
    <row r="6743">
      <c r="A6743" s="5">
        <f>HYPERLINK("https://finance.yahoo.com/quote/IPSI","IPSI")</f>
        <v/>
      </c>
      <c r="B6743" t="inlineStr">
        <is>
          <t>Innovative Payment Solutions, Inc.</t>
        </is>
      </c>
      <c r="C6743" t="inlineStr">
        <is>
          <t>OTC</t>
        </is>
      </c>
      <c r="D6743" t="n">
        <v>1591913</v>
      </c>
      <c r="E6743" t="inlineStr">
        <is>
          <t>SEC</t>
        </is>
      </c>
    </row>
    <row r="6744">
      <c r="A6744" s="5">
        <f>HYPERLINK("https://finance.yahoo.com/quote/GREH","GREH")</f>
        <v/>
      </c>
      <c r="B6744" t="inlineStr">
        <is>
          <t>Green Rain Energy Holdings Inc.</t>
        </is>
      </c>
      <c r="C6744" t="inlineStr">
        <is>
          <t>OTC</t>
        </is>
      </c>
      <c r="D6744" t="n">
        <v>1084937</v>
      </c>
      <c r="E6744" t="inlineStr">
        <is>
          <t>SEC</t>
        </is>
      </c>
    </row>
    <row r="6745">
      <c r="A6745" s="5">
        <f>HYPERLINK("https://finance.yahoo.com/quote/GCDT","GCDT")</f>
        <v/>
      </c>
      <c r="B6745" t="inlineStr">
        <is>
          <t>Green Circle Decarbonize Technology Ltd</t>
        </is>
      </c>
      <c r="C6745" t="inlineStr">
        <is>
          <t>NYSE</t>
        </is>
      </c>
      <c r="D6745" t="n">
        <v>1926293</v>
      </c>
      <c r="E6745" t="inlineStr">
        <is>
          <t>SEC</t>
        </is>
      </c>
    </row>
    <row r="6746">
      <c r="A6746" s="5">
        <f>HYPERLINK("https://finance.yahoo.com/quote/JFIL","JFIL")</f>
        <v/>
      </c>
      <c r="B6746" t="inlineStr">
        <is>
          <t>Jubilant Flame International, Ltd</t>
        </is>
      </c>
      <c r="C6746" t="inlineStr">
        <is>
          <t>OTC</t>
        </is>
      </c>
      <c r="D6746" t="n">
        <v>1517389</v>
      </c>
      <c r="E6746" t="inlineStr">
        <is>
          <t>SEC</t>
        </is>
      </c>
    </row>
    <row r="6747">
      <c r="A6747" s="5">
        <f>HYPERLINK("https://finance.yahoo.com/quote/TAAG","TAAG")</f>
        <v/>
      </c>
      <c r="B6747" t="inlineStr">
        <is>
          <t>Awareness Group, Inc.</t>
        </is>
      </c>
      <c r="C6747" t="inlineStr">
        <is>
          <t>OTC</t>
        </is>
      </c>
      <c r="D6747" t="n">
        <v>1386044</v>
      </c>
      <c r="E6747" t="inlineStr">
        <is>
          <t>SEC</t>
        </is>
      </c>
    </row>
    <row r="6748">
      <c r="A6748" s="5">
        <f>HYPERLINK("https://finance.yahoo.com/quote/GFMH","GFMH")</f>
        <v/>
      </c>
      <c r="B6748" t="inlineStr">
        <is>
          <t>Goliath Film &amp; Media Holdings</t>
        </is>
      </c>
      <c r="C6748" t="inlineStr">
        <is>
          <t>OTC</t>
        </is>
      </c>
      <c r="D6748" t="n">
        <v>820771</v>
      </c>
      <c r="E6748" t="inlineStr">
        <is>
          <t>SEC</t>
        </is>
      </c>
    </row>
    <row r="6749">
      <c r="A6749" s="5">
        <f>HYPERLINK("https://finance.yahoo.com/quote/NOTE","NOTE")</f>
        <v/>
      </c>
      <c r="B6749" t="inlineStr">
        <is>
          <t>FiscalNote Holdings, Inc.</t>
        </is>
      </c>
      <c r="C6749" t="inlineStr">
        <is>
          <t>OTC</t>
        </is>
      </c>
      <c r="D6749" t="n">
        <v>1823466</v>
      </c>
      <c r="E6749" t="inlineStr">
        <is>
          <t>SEC</t>
        </is>
      </c>
    </row>
    <row r="6750">
      <c r="A6750" s="5">
        <f>HYPERLINK("https://finance.yahoo.com/quote/CERO","CERO")</f>
        <v/>
      </c>
      <c r="B6750" t="inlineStr">
        <is>
          <t>CERO THERAPEUTICS HOLDINGS, INC.</t>
        </is>
      </c>
      <c r="C6750" t="inlineStr">
        <is>
          <t>OTC</t>
        </is>
      </c>
      <c r="D6750" t="n">
        <v>1870404</v>
      </c>
      <c r="E6750" t="inlineStr">
        <is>
          <t>SEC</t>
        </is>
      </c>
    </row>
    <row r="6751">
      <c r="A6751" s="5">
        <f>HYPERLINK("https://finance.yahoo.com/quote/RKDA","RKDA")</f>
        <v/>
      </c>
      <c r="B6751" t="inlineStr">
        <is>
          <t>Arcadia Biosciences, Inc.</t>
        </is>
      </c>
      <c r="C6751" t="inlineStr">
        <is>
          <t>Nasdaq</t>
        </is>
      </c>
      <c r="D6751" t="n">
        <v>1469443</v>
      </c>
      <c r="E6751" t="inlineStr">
        <is>
          <t>SEC</t>
        </is>
      </c>
    </row>
    <row r="6752">
      <c r="A6752" s="5">
        <f>HYPERLINK("https://finance.yahoo.com/quote/ITOX","ITOX")</f>
        <v/>
      </c>
      <c r="B6752" t="inlineStr">
        <is>
          <t>IIOT-OXYS, Inc.</t>
        </is>
      </c>
      <c r="C6752" t="inlineStr">
        <is>
          <t>OTC</t>
        </is>
      </c>
      <c r="D6752" t="n">
        <v>1290658</v>
      </c>
      <c r="E6752" t="inlineStr">
        <is>
          <t>SEC</t>
        </is>
      </c>
    </row>
    <row r="6753">
      <c r="A6753" s="5">
        <f>HYPERLINK("https://finance.yahoo.com/quote/ECPL","ECPL")</f>
        <v/>
      </c>
      <c r="B6753" t="inlineStr">
        <is>
          <t>ECOPLUS INC</t>
        </is>
      </c>
      <c r="C6753" t="inlineStr">
        <is>
          <t>OTC</t>
        </is>
      </c>
      <c r="D6753" t="n">
        <v>1356914</v>
      </c>
      <c r="E6753" t="inlineStr">
        <is>
          <t>SEC</t>
        </is>
      </c>
    </row>
    <row r="6754">
      <c r="A6754" s="5">
        <f>HYPERLINK("https://finance.yahoo.com/quote/BABYF","BABYF")</f>
        <v/>
      </c>
      <c r="B6754" t="inlineStr">
        <is>
          <t>Else Nutrition Holdings Inc.</t>
        </is>
      </c>
      <c r="C6754" t="inlineStr">
        <is>
          <t>OTC</t>
        </is>
      </c>
      <c r="D6754" t="n">
        <v>1807936</v>
      </c>
      <c r="E6754" t="inlineStr">
        <is>
          <t>SEC</t>
        </is>
      </c>
    </row>
    <row r="6755">
      <c r="A6755" s="5">
        <f>HYPERLINK("https://finance.yahoo.com/quote/AOXY","AOXY")</f>
        <v/>
      </c>
      <c r="B6755" t="inlineStr">
        <is>
          <t>ADVANCED OXYGEN TECHNOLOGIES INC</t>
        </is>
      </c>
      <c r="C6755" t="inlineStr">
        <is>
          <t>OTC</t>
        </is>
      </c>
      <c r="D6755" t="n">
        <v>352991</v>
      </c>
      <c r="E6755" t="inlineStr">
        <is>
          <t>SEC</t>
        </is>
      </c>
    </row>
    <row r="6756">
      <c r="A6756" s="5">
        <f>HYPERLINK("https://finance.yahoo.com/quote/HGAS","HGAS")</f>
        <v/>
      </c>
      <c r="B6756" t="inlineStr">
        <is>
          <t>Global Gas Corp</t>
        </is>
      </c>
      <c r="C6756" t="inlineStr">
        <is>
          <t>OTC</t>
        </is>
      </c>
      <c r="D6756" t="n">
        <v>1817232</v>
      </c>
      <c r="E6756" t="inlineStr">
        <is>
          <t>SEC</t>
        </is>
      </c>
    </row>
    <row r="6757">
      <c r="A6757" s="5">
        <f>HYPERLINK("https://finance.yahoo.com/quote/NSTM","NSTM")</f>
        <v/>
      </c>
      <c r="B6757" t="inlineStr">
        <is>
          <t>NovelStem International Corp.</t>
        </is>
      </c>
      <c r="C6757" t="inlineStr">
        <is>
          <t>OTC</t>
        </is>
      </c>
      <c r="D6757" t="n">
        <v>912544</v>
      </c>
      <c r="E6757" t="inlineStr">
        <is>
          <t>SEC</t>
        </is>
      </c>
    </row>
    <row r="6758">
      <c r="A6758" s="5">
        <f>HYPERLINK("https://finance.yahoo.com/quote/MDCE","MDCE")</f>
        <v/>
      </c>
      <c r="B6758" t="inlineStr">
        <is>
          <t>Medical Care Technologies Inc.</t>
        </is>
      </c>
      <c r="C6758" t="inlineStr">
        <is>
          <t>OTC</t>
        </is>
      </c>
      <c r="D6758" t="n">
        <v>1404593</v>
      </c>
      <c r="E6758" t="inlineStr">
        <is>
          <t>SEC</t>
        </is>
      </c>
    </row>
    <row r="6759">
      <c r="A6759" s="5">
        <f>HYPERLINK("https://finance.yahoo.com/quote/ENRT","ENRT")</f>
        <v/>
      </c>
      <c r="B6759" t="inlineStr">
        <is>
          <t>Enertopia Corp.</t>
        </is>
      </c>
      <c r="C6759" t="inlineStr">
        <is>
          <t>OTC</t>
        </is>
      </c>
      <c r="D6759" t="n">
        <v>1346022</v>
      </c>
      <c r="E6759" t="inlineStr">
        <is>
          <t>SEC</t>
        </is>
      </c>
    </row>
    <row r="6760">
      <c r="A6760" s="5">
        <f>HYPERLINK("https://finance.yahoo.com/quote/VIVC","VIVC")</f>
        <v/>
      </c>
      <c r="B6760" t="inlineStr">
        <is>
          <t>VIVIC CORP.</t>
        </is>
      </c>
      <c r="C6760" t="inlineStr">
        <is>
          <t>OTC</t>
        </is>
      </c>
      <c r="D6760" t="n">
        <v>1703073</v>
      </c>
      <c r="E6760" t="inlineStr">
        <is>
          <t>SEC</t>
        </is>
      </c>
    </row>
    <row r="6761">
      <c r="A6761" s="5">
        <f>HYPERLINK("https://finance.yahoo.com/quote/STEK","STEK")</f>
        <v/>
      </c>
      <c r="B6761" t="inlineStr">
        <is>
          <t>Stemtech Corp</t>
        </is>
      </c>
      <c r="C6761" t="inlineStr">
        <is>
          <t>OTC</t>
        </is>
      </c>
      <c r="D6761" t="n">
        <v>1511820</v>
      </c>
      <c r="E6761" t="inlineStr">
        <is>
          <t>SEC</t>
        </is>
      </c>
    </row>
    <row r="6762">
      <c r="A6762" s="5">
        <f>HYPERLINK("https://finance.yahoo.com/quote/GRVE","GRVE")</f>
        <v/>
      </c>
      <c r="B6762" t="inlineStr">
        <is>
          <t>GROOVE BOTANICALS INC.</t>
        </is>
      </c>
      <c r="C6762" t="inlineStr">
        <is>
          <t>OTC</t>
        </is>
      </c>
      <c r="D6762" t="n">
        <v>918573</v>
      </c>
      <c r="E6762" t="inlineStr">
        <is>
          <t>SEC</t>
        </is>
      </c>
    </row>
    <row r="6763">
      <c r="A6763" s="5">
        <f>HYPERLINK("https://finance.yahoo.com/quote/ALUR","ALUR")</f>
        <v/>
      </c>
      <c r="B6763" t="inlineStr">
        <is>
          <t>ALLURION TECHNOLOGIES, INC.</t>
        </is>
      </c>
      <c r="C6763" t="inlineStr">
        <is>
          <t>OTC</t>
        </is>
      </c>
      <c r="D6763" t="n">
        <v>1964979</v>
      </c>
      <c r="E6763" t="inlineStr">
        <is>
          <t>SEC</t>
        </is>
      </c>
    </row>
    <row r="6764">
      <c r="A6764" s="5">
        <f>HYPERLINK("https://finance.yahoo.com/quote/HUBC","HUBC")</f>
        <v/>
      </c>
      <c r="B6764" t="inlineStr">
        <is>
          <t>Hub Cyber Security Ltd.</t>
        </is>
      </c>
      <c r="C6764" t="inlineStr">
        <is>
          <t>Nasdaq</t>
        </is>
      </c>
      <c r="D6764" t="n">
        <v>1905660</v>
      </c>
      <c r="E6764" t="inlineStr">
        <is>
          <t>SEC</t>
        </is>
      </c>
    </row>
    <row r="6765">
      <c r="A6765" s="5">
        <f>HYPERLINK("https://finance.yahoo.com/quote/XAGE","XAGE")</f>
        <v/>
      </c>
      <c r="B6765" t="inlineStr">
        <is>
          <t>Longevity Health Holdings, Inc.</t>
        </is>
      </c>
      <c r="C6765" t="inlineStr">
        <is>
          <t>OTC</t>
        </is>
      </c>
      <c r="D6765" t="n">
        <v>1842939</v>
      </c>
      <c r="E6765" t="inlineStr">
        <is>
          <t>SEC</t>
        </is>
      </c>
    </row>
    <row r="6766">
      <c r="A6766" s="5">
        <f>HYPERLINK("https://finance.yahoo.com/quote/BDPT","BDPT")</f>
        <v/>
      </c>
      <c r="B6766" t="inlineStr">
        <is>
          <t>BIOADAPTIVES, INC.</t>
        </is>
      </c>
      <c r="C6766" t="inlineStr">
        <is>
          <t>OTC</t>
        </is>
      </c>
      <c r="D6766" t="n">
        <v>1575142</v>
      </c>
      <c r="E6766" t="inlineStr">
        <is>
          <t>SEC</t>
        </is>
      </c>
    </row>
    <row r="6767">
      <c r="A6767" s="5">
        <f>HYPERLINK("https://finance.yahoo.com/quote/FCHS","FCHS")</f>
        <v/>
      </c>
      <c r="B6767" t="inlineStr">
        <is>
          <t>First Choice Healthcare Solutions, Inc.</t>
        </is>
      </c>
      <c r="C6767" t="inlineStr">
        <is>
          <t>OTC</t>
        </is>
      </c>
      <c r="D6767" t="n">
        <v>1416876</v>
      </c>
      <c r="E6767" t="inlineStr">
        <is>
          <t>SEC</t>
        </is>
      </c>
    </row>
    <row r="6768">
      <c r="A6768" s="5">
        <f>HYPERLINK("https://finance.yahoo.com/quote/DGTEF","DGTEF")</f>
        <v/>
      </c>
      <c r="B6768" t="inlineStr">
        <is>
          <t>Eat &amp; Beyond Global Holdings Inc.</t>
        </is>
      </c>
      <c r="C6768" t="inlineStr">
        <is>
          <t>OTC</t>
        </is>
      </c>
      <c r="D6768" t="n">
        <v>1978151</v>
      </c>
      <c r="E6768" t="inlineStr">
        <is>
          <t>SEC</t>
        </is>
      </c>
    </row>
    <row r="6769">
      <c r="A6769" s="5">
        <f>HYPERLINK("https://finance.yahoo.com/quote/CBDW","CBDW")</f>
        <v/>
      </c>
      <c r="B6769" t="inlineStr">
        <is>
          <t>1606 CORP.</t>
        </is>
      </c>
      <c r="C6769" t="inlineStr">
        <is>
          <t>OTC</t>
        </is>
      </c>
      <c r="D6769" t="n">
        <v>1877461</v>
      </c>
      <c r="E6769" t="inlineStr">
        <is>
          <t>SEC</t>
        </is>
      </c>
    </row>
    <row r="6770">
      <c r="A6770" s="5">
        <f>HYPERLINK("https://finance.yahoo.com/quote/GPLB","GPLB")</f>
        <v/>
      </c>
      <c r="B6770" t="inlineStr">
        <is>
          <t>Green Planet Bio Engineering Co. Ltd.</t>
        </is>
      </c>
      <c r="C6770" t="inlineStr">
        <is>
          <t>OTC</t>
        </is>
      </c>
      <c r="D6770" t="n">
        <v>1392449</v>
      </c>
      <c r="E6770" t="inlineStr">
        <is>
          <t>SEC</t>
        </is>
      </c>
    </row>
    <row r="6771">
      <c r="A6771" s="5">
        <f>HYPERLINK("https://finance.yahoo.com/quote/MEHA","MEHA")</f>
        <v/>
      </c>
      <c r="B6771" t="inlineStr">
        <is>
          <t>Functional Brands Inc.</t>
        </is>
      </c>
      <c r="C6771" t="inlineStr">
        <is>
          <t>OTC</t>
        </is>
      </c>
      <c r="D6771" t="n">
        <v>1837254</v>
      </c>
      <c r="E6771" t="inlineStr">
        <is>
          <t>SEC</t>
        </is>
      </c>
    </row>
    <row r="6772">
      <c r="A6772" s="5">
        <f>HYPERLINK("https://finance.yahoo.com/quote/MTLK","MTLK")</f>
        <v/>
      </c>
      <c r="B6772" t="inlineStr">
        <is>
          <t>METALINK LTD</t>
        </is>
      </c>
      <c r="C6772" t="inlineStr">
        <is>
          <t>OTC</t>
        </is>
      </c>
      <c r="D6772" t="n">
        <v>1098462</v>
      </c>
      <c r="E6772" t="inlineStr">
        <is>
          <t>SEC</t>
        </is>
      </c>
    </row>
    <row r="6773">
      <c r="A6773" s="5">
        <f>HYPERLINK("https://finance.yahoo.com/quote/BFCH","BFCH")</f>
        <v/>
      </c>
      <c r="B6773" t="inlineStr">
        <is>
          <t>UNLOCKD, Inc.</t>
        </is>
      </c>
      <c r="C6773" t="inlineStr">
        <is>
          <t>OTC</t>
        </is>
      </c>
      <c r="D6773" t="n">
        <v>1395005</v>
      </c>
      <c r="E6773" t="inlineStr">
        <is>
          <t>SEC</t>
        </is>
      </c>
    </row>
    <row r="6774">
      <c r="A6774" s="5">
        <f>HYPERLINK("https://finance.yahoo.com/quote/SRTM","SRTM")</f>
        <v/>
      </c>
      <c r="B6774" t="inlineStr">
        <is>
          <t>La Rosa Holdings Corp.</t>
        </is>
      </c>
      <c r="C6774" t="inlineStr">
        <is>
          <t>Nasdaq</t>
        </is>
      </c>
      <c r="D6774" t="n">
        <v>1879403</v>
      </c>
      <c r="E6774" t="inlineStr">
        <is>
          <t>SEC</t>
        </is>
      </c>
    </row>
    <row r="6775">
      <c r="A6775" s="5">
        <f>HYPERLINK("https://finance.yahoo.com/quote/RBNE","RBNE")</f>
        <v/>
      </c>
      <c r="B6775" t="inlineStr">
        <is>
          <t>Robin Energy Ltd.</t>
        </is>
      </c>
      <c r="C6775" t="inlineStr">
        <is>
          <t>Nasdaq</t>
        </is>
      </c>
      <c r="D6775" t="n">
        <v>2039060</v>
      </c>
      <c r="E6775" t="inlineStr">
        <is>
          <t>SEC</t>
        </is>
      </c>
    </row>
    <row r="6776">
      <c r="A6776" s="5">
        <f>HYPERLINK("https://finance.yahoo.com/quote/CWPE","CWPE")</f>
        <v/>
      </c>
      <c r="B6776" t="inlineStr">
        <is>
          <t>CW Petroleum Corp</t>
        </is>
      </c>
      <c r="C6776" t="inlineStr">
        <is>
          <t>OTC</t>
        </is>
      </c>
      <c r="D6776" t="n">
        <v>1741220</v>
      </c>
      <c r="E6776" t="inlineStr">
        <is>
          <t>SEC</t>
        </is>
      </c>
    </row>
    <row r="6777">
      <c r="A6777" s="5">
        <f>HYPERLINK("https://finance.yahoo.com/quote/SOBR","SOBR")</f>
        <v/>
      </c>
      <c r="B6777" t="inlineStr">
        <is>
          <t>SOBR Safe, Inc.</t>
        </is>
      </c>
      <c r="C6777" t="inlineStr">
        <is>
          <t>OTC</t>
        </is>
      </c>
      <c r="D6777" t="n">
        <v>1425627</v>
      </c>
      <c r="E6777" t="inlineStr">
        <is>
          <t>SEC</t>
        </is>
      </c>
    </row>
    <row r="6778">
      <c r="A6778" s="5">
        <f>HYPERLINK("https://finance.yahoo.com/quote/GRXXF","GRXXF")</f>
        <v/>
      </c>
      <c r="B6778" t="inlineStr">
        <is>
          <t>Critical Reagent Processing Corp.</t>
        </is>
      </c>
      <c r="C6778" t="inlineStr">
        <is>
          <t>OTC</t>
        </is>
      </c>
      <c r="D6778" t="n">
        <v>1823126</v>
      </c>
      <c r="E6778" t="inlineStr">
        <is>
          <t>SEC</t>
        </is>
      </c>
    </row>
    <row r="6779">
      <c r="A6779" s="5">
        <f>HYPERLINK("https://finance.yahoo.com/quote/GLG","GLG")</f>
        <v/>
      </c>
      <c r="B6779" t="inlineStr">
        <is>
          <t>GLGHK Ltd</t>
        </is>
      </c>
      <c r="C6779" t="inlineStr"/>
      <c r="D6779" t="n">
        <v>2119287</v>
      </c>
      <c r="E6779" t="inlineStr">
        <is>
          <t>SEC</t>
        </is>
      </c>
    </row>
    <row r="6780">
      <c r="A6780" s="5">
        <f>HYPERLINK("https://finance.yahoo.com/quote/AMZE","AMZE")</f>
        <v/>
      </c>
      <c r="B6780" t="inlineStr">
        <is>
          <t>AMAZE HOLDINGS, INC.</t>
        </is>
      </c>
      <c r="C6780" t="inlineStr">
        <is>
          <t>OTC</t>
        </is>
      </c>
      <c r="D6780" t="n">
        <v>1880343</v>
      </c>
      <c r="E6780" t="inlineStr">
        <is>
          <t>SEC</t>
        </is>
      </c>
    </row>
    <row r="6781">
      <c r="A6781" s="5">
        <f>HYPERLINK("https://finance.yahoo.com/quote/INLF","INLF")</f>
        <v/>
      </c>
      <c r="B6781" t="inlineStr">
        <is>
          <t>INLIF Ltd</t>
        </is>
      </c>
      <c r="C6781" t="inlineStr">
        <is>
          <t>Nasdaq</t>
        </is>
      </c>
      <c r="D6781" t="n">
        <v>1991592</v>
      </c>
      <c r="E6781" t="inlineStr">
        <is>
          <t>SEC</t>
        </is>
      </c>
    </row>
    <row r="6782">
      <c r="A6782" s="5">
        <f>HYPERLINK("https://finance.yahoo.com/quote/UOKAF","UOKAF")</f>
        <v/>
      </c>
      <c r="B6782" t="inlineStr">
        <is>
          <t>MDJM LTD</t>
        </is>
      </c>
      <c r="C6782" t="inlineStr">
        <is>
          <t>OTC</t>
        </is>
      </c>
      <c r="D6782" t="n">
        <v>1741534</v>
      </c>
      <c r="E6782" t="inlineStr">
        <is>
          <t>SEC</t>
        </is>
      </c>
    </row>
    <row r="6783">
      <c r="A6783" s="5">
        <f>HYPERLINK("https://finance.yahoo.com/quote/BRGX","BRGX")</f>
        <v/>
      </c>
      <c r="B6783" t="inlineStr">
        <is>
          <t>BIOREGENX, INC.</t>
        </is>
      </c>
      <c r="C6783" t="inlineStr">
        <is>
          <t>OTC</t>
        </is>
      </c>
      <c r="D6783" t="n">
        <v>1593184</v>
      </c>
      <c r="E6783" t="inlineStr">
        <is>
          <t>SEC</t>
        </is>
      </c>
    </row>
    <row r="6784">
      <c r="A6784" s="5">
        <f>HYPERLINK("https://finance.yahoo.com/quote/GBUX","GBUX")</f>
        <v/>
      </c>
      <c r="B6784" t="inlineStr">
        <is>
          <t>GIVBUX, INC.</t>
        </is>
      </c>
      <c r="C6784" t="inlineStr">
        <is>
          <t>OTC</t>
        </is>
      </c>
      <c r="D6784" t="n">
        <v>1169138</v>
      </c>
      <c r="E6784" t="inlineStr">
        <is>
          <t>SEC</t>
        </is>
      </c>
    </row>
    <row r="6785">
      <c r="A6785" s="5">
        <f>HYPERLINK("https://finance.yahoo.com/quote/DRCT","DRCT")</f>
        <v/>
      </c>
      <c r="B6785" t="inlineStr">
        <is>
          <t>Direct Digital Holdings, Inc.</t>
        </is>
      </c>
      <c r="C6785" t="inlineStr">
        <is>
          <t>OTC</t>
        </is>
      </c>
      <c r="D6785" t="n">
        <v>1880613</v>
      </c>
      <c r="E6785" t="inlineStr">
        <is>
          <t>SEC</t>
        </is>
      </c>
    </row>
    <row r="6786">
      <c r="A6786" s="5">
        <f>HYPERLINK("https://finance.yahoo.com/quote/NMHI","NMHI")</f>
        <v/>
      </c>
      <c r="B6786" t="inlineStr">
        <is>
          <t>Nature's Miracle Holding Inc.</t>
        </is>
      </c>
      <c r="C6786" t="inlineStr">
        <is>
          <t>OTC</t>
        </is>
      </c>
      <c r="D6786" t="n">
        <v>1947861</v>
      </c>
      <c r="E6786" t="inlineStr">
        <is>
          <t>SEC</t>
        </is>
      </c>
    </row>
    <row r="6787">
      <c r="A6787" s="5">
        <f>HYPERLINK("https://finance.yahoo.com/quote/TRWD","TRWD")</f>
        <v/>
      </c>
      <c r="B6787" t="inlineStr">
        <is>
          <t>Tradewinds Universal</t>
        </is>
      </c>
      <c r="C6787" t="inlineStr">
        <is>
          <t>OTC</t>
        </is>
      </c>
      <c r="D6787" t="n">
        <v>1916558</v>
      </c>
      <c r="E6787" t="inlineStr">
        <is>
          <t>SEC</t>
        </is>
      </c>
    </row>
    <row r="6788">
      <c r="A6788" s="5">
        <f>HYPERLINK("https://finance.yahoo.com/quote/ORISF","ORISF")</f>
        <v/>
      </c>
      <c r="B6788" t="inlineStr">
        <is>
          <t>ORIENTAL RISE HOLDINGS Ltd</t>
        </is>
      </c>
      <c r="C6788" t="inlineStr">
        <is>
          <t>OTC</t>
        </is>
      </c>
      <c r="D6788" t="n">
        <v>1964664</v>
      </c>
      <c r="E6788" t="inlineStr">
        <is>
          <t>SEC</t>
        </is>
      </c>
    </row>
    <row r="6789">
      <c r="A6789" s="5">
        <f>HYPERLINK("https://finance.yahoo.com/quote/RGBP","RGBP")</f>
        <v/>
      </c>
      <c r="B6789" t="inlineStr">
        <is>
          <t>Regen BioPharma Inc</t>
        </is>
      </c>
      <c r="C6789" t="inlineStr">
        <is>
          <t>OTC</t>
        </is>
      </c>
      <c r="D6789" t="n">
        <v>1589150</v>
      </c>
      <c r="E6789" t="inlineStr">
        <is>
          <t>SEC</t>
        </is>
      </c>
    </row>
    <row r="6790">
      <c r="A6790" s="5">
        <f>HYPERLINK("https://finance.yahoo.com/quote/FEED","FEED")</f>
        <v/>
      </c>
      <c r="B6790" t="inlineStr">
        <is>
          <t>ENvue Medical, Inc.</t>
        </is>
      </c>
      <c r="C6790" t="inlineStr">
        <is>
          <t>OTC</t>
        </is>
      </c>
      <c r="D6790" t="n">
        <v>1326706</v>
      </c>
      <c r="E6790" t="inlineStr">
        <is>
          <t>SEC</t>
        </is>
      </c>
    </row>
    <row r="6791">
      <c r="A6791" s="5">
        <f>HYPERLINK("https://finance.yahoo.com/quote/FOXO","FOXO")</f>
        <v/>
      </c>
      <c r="B6791" t="inlineStr">
        <is>
          <t>FOXO TECHNOLOGIES INC.</t>
        </is>
      </c>
      <c r="C6791" t="inlineStr">
        <is>
          <t>OTC</t>
        </is>
      </c>
      <c r="D6791" t="n">
        <v>1812360</v>
      </c>
      <c r="E6791" t="inlineStr">
        <is>
          <t>SEC</t>
        </is>
      </c>
    </row>
    <row r="6792">
      <c r="A6792" s="5">
        <f>HYPERLINK("https://finance.yahoo.com/quote/CNBX","CNBX")</f>
        <v/>
      </c>
      <c r="B6792" t="inlineStr">
        <is>
          <t>CNBX Pharmaceuticals Inc.</t>
        </is>
      </c>
      <c r="C6792" t="inlineStr">
        <is>
          <t>OTC</t>
        </is>
      </c>
      <c r="D6792" t="n">
        <v>1343009</v>
      </c>
      <c r="E6792" t="inlineStr">
        <is>
          <t>SEC</t>
        </is>
      </c>
    </row>
    <row r="6793">
      <c r="A6793" s="5">
        <f>HYPERLINK("https://finance.yahoo.com/quote/TRFA","TRFA")</f>
        <v/>
      </c>
      <c r="B6793" t="inlineStr">
        <is>
          <t>TRAFALGAR INTERNATIONAL, INC.</t>
        </is>
      </c>
      <c r="C6793" t="inlineStr">
        <is>
          <t>OTC</t>
        </is>
      </c>
      <c r="D6793" t="n">
        <v>1695473</v>
      </c>
      <c r="E6793" t="inlineStr">
        <is>
          <t>SEC</t>
        </is>
      </c>
    </row>
    <row r="6794">
      <c r="A6794" s="5">
        <f>HYPERLINK("https://finance.yahoo.com/quote/CDT","CDT")</f>
        <v/>
      </c>
      <c r="B6794" t="inlineStr">
        <is>
          <t>CDT Equity Inc.</t>
        </is>
      </c>
      <c r="C6794" t="inlineStr">
        <is>
          <t>Nasdaq</t>
        </is>
      </c>
      <c r="D6794" t="n">
        <v>1896212</v>
      </c>
      <c r="E6794" t="inlineStr">
        <is>
          <t>SEC</t>
        </is>
      </c>
    </row>
    <row r="6795">
      <c r="A6795" s="5">
        <f>HYPERLINK("https://finance.yahoo.com/quote/PTCO","PTCO")</f>
        <v/>
      </c>
      <c r="B6795" t="inlineStr">
        <is>
          <t>PetroGas Co</t>
        </is>
      </c>
      <c r="C6795" t="inlineStr">
        <is>
          <t>OTC</t>
        </is>
      </c>
      <c r="D6795" t="n">
        <v>1609258</v>
      </c>
      <c r="E6795" t="inlineStr">
        <is>
          <t>SEC</t>
        </is>
      </c>
    </row>
    <row r="6796">
      <c r="A6796" s="5">
        <f>HYPERLINK("https://finance.yahoo.com/quote/XXII","XXII")</f>
        <v/>
      </c>
      <c r="B6796" t="inlineStr">
        <is>
          <t>22nd Century Group, Inc.</t>
        </is>
      </c>
      <c r="C6796" t="inlineStr">
        <is>
          <t>Nasdaq</t>
        </is>
      </c>
      <c r="D6796" t="n">
        <v>1347858</v>
      </c>
      <c r="E6796" t="inlineStr">
        <is>
          <t>SEC</t>
        </is>
      </c>
    </row>
    <row r="6797">
      <c r="A6797" s="5">
        <f>HYPERLINK("https://finance.yahoo.com/quote/PRPH","PRPH")</f>
        <v/>
      </c>
      <c r="B6797" t="inlineStr">
        <is>
          <t>ProPhase Labs, Inc.</t>
        </is>
      </c>
      <c r="C6797" t="inlineStr">
        <is>
          <t>OTC</t>
        </is>
      </c>
      <c r="D6797" t="n">
        <v>868278</v>
      </c>
      <c r="E6797" t="inlineStr">
        <is>
          <t>SEC</t>
        </is>
      </c>
    </row>
    <row r="6798">
      <c r="A6798" s="5">
        <f>HYPERLINK("https://finance.yahoo.com/quote/ATDS","ATDS")</f>
        <v/>
      </c>
      <c r="B6798" t="inlineStr">
        <is>
          <t>Data443 Risk Mitigation, Inc.</t>
        </is>
      </c>
      <c r="C6798" t="inlineStr">
        <is>
          <t>OTC</t>
        </is>
      </c>
      <c r="D6798" t="n">
        <v>1068689</v>
      </c>
      <c r="E6798" t="inlineStr">
        <is>
          <t>SEC</t>
        </is>
      </c>
    </row>
    <row r="6799">
      <c r="A6799" s="5">
        <f>HYPERLINK("https://finance.yahoo.com/quote/FGL","FGL")</f>
        <v/>
      </c>
      <c r="B6799" t="inlineStr">
        <is>
          <t>Founder Group Ltd</t>
        </is>
      </c>
      <c r="C6799" t="inlineStr">
        <is>
          <t>Nasdaq</t>
        </is>
      </c>
      <c r="D6799" t="n">
        <v>1989930</v>
      </c>
      <c r="E6799" t="inlineStr">
        <is>
          <t>SEC</t>
        </is>
      </c>
    </row>
    <row r="6800">
      <c r="A6800" s="5">
        <f>HYPERLINK("https://finance.yahoo.com/quote/SHFS","SHFS")</f>
        <v/>
      </c>
      <c r="B6800" t="inlineStr">
        <is>
          <t>SHF Holdings, Inc.</t>
        </is>
      </c>
      <c r="C6800" t="inlineStr">
        <is>
          <t>Nasdaq</t>
        </is>
      </c>
      <c r="D6800" t="n">
        <v>1854963</v>
      </c>
      <c r="E6800" t="inlineStr">
        <is>
          <t>SEC</t>
        </is>
      </c>
    </row>
    <row r="6801">
      <c r="A6801" s="5">
        <f>HYPERLINK("https://finance.yahoo.com/quote/KUBR","KUBR")</f>
        <v/>
      </c>
      <c r="B6801" t="inlineStr">
        <is>
          <t>Kuber Resources Corp</t>
        </is>
      </c>
      <c r="C6801" t="inlineStr"/>
      <c r="D6801" t="n">
        <v>1081834</v>
      </c>
      <c r="E6801" t="inlineStr">
        <is>
          <t>SEC</t>
        </is>
      </c>
    </row>
    <row r="6802">
      <c r="A6802" s="5">
        <f>HYPERLINK("https://finance.yahoo.com/quote/SPQS","SPQS")</f>
        <v/>
      </c>
      <c r="B6802" t="inlineStr">
        <is>
          <t>SportsQuest, Inc.</t>
        </is>
      </c>
      <c r="C6802" t="inlineStr"/>
      <c r="D6802" t="n">
        <v>803097</v>
      </c>
      <c r="E6802" t="inlineStr">
        <is>
          <t>SEC</t>
        </is>
      </c>
    </row>
    <row r="6803">
      <c r="A6803" s="5">
        <f>HYPERLINK("https://finance.yahoo.com/quote/PKTX","PKTX")</f>
        <v/>
      </c>
      <c r="B6803" t="inlineStr">
        <is>
          <t>ProtoKinetix, Inc.</t>
        </is>
      </c>
      <c r="C6803" t="inlineStr">
        <is>
          <t>OTC</t>
        </is>
      </c>
      <c r="D6803" t="n">
        <v>1128189</v>
      </c>
      <c r="E6803" t="inlineStr">
        <is>
          <t>SEC</t>
        </is>
      </c>
    </row>
    <row r="6804">
      <c r="A6804" s="5">
        <f>HYPERLINK("https://finance.yahoo.com/quote/ZCAR","ZCAR")</f>
        <v/>
      </c>
      <c r="B6804" t="inlineStr">
        <is>
          <t>Zoomcar Holdings, Inc.</t>
        </is>
      </c>
      <c r="C6804" t="inlineStr">
        <is>
          <t>OTC</t>
        </is>
      </c>
      <c r="D6804" t="n">
        <v>1854275</v>
      </c>
      <c r="E6804" t="inlineStr">
        <is>
          <t>SEC</t>
        </is>
      </c>
    </row>
    <row r="6805">
      <c r="A6805" s="5">
        <f>HYPERLINK("https://finance.yahoo.com/quote/BBLR","BBLR")</f>
        <v/>
      </c>
      <c r="B6805" t="inlineStr">
        <is>
          <t>Bubblr Inc.</t>
        </is>
      </c>
      <c r="C6805" t="inlineStr">
        <is>
          <t>OTC</t>
        </is>
      </c>
      <c r="D6805" t="n">
        <v>1873722</v>
      </c>
      <c r="E6805" t="inlineStr">
        <is>
          <t>SEC</t>
        </is>
      </c>
    </row>
    <row r="6806">
      <c r="A6806" s="5">
        <f>HYPERLINK("https://finance.yahoo.com/quote/AERA","AERA")</f>
        <v/>
      </c>
      <c r="B6806" t="inlineStr">
        <is>
          <t>AI Era Corp.</t>
        </is>
      </c>
      <c r="C6806" t="inlineStr">
        <is>
          <t>OTC</t>
        </is>
      </c>
      <c r="D6806" t="n">
        <v>1605331</v>
      </c>
      <c r="E6806" t="inlineStr">
        <is>
          <t>SEC</t>
        </is>
      </c>
    </row>
    <row r="6807">
      <c r="A6807" s="5">
        <f>HYPERLINK("https://finance.yahoo.com/quote/OCEA","OCEA")</f>
        <v/>
      </c>
      <c r="B6807" t="inlineStr">
        <is>
          <t>Ocean Biomedical, Inc.</t>
        </is>
      </c>
      <c r="C6807" t="inlineStr">
        <is>
          <t>OTC</t>
        </is>
      </c>
      <c r="D6807" t="n">
        <v>1869974</v>
      </c>
      <c r="E6807" t="inlineStr">
        <is>
          <t>SEC</t>
        </is>
      </c>
    </row>
    <row r="6808">
      <c r="A6808" s="5">
        <f>HYPERLINK("https://finance.yahoo.com/quote/LGHL","LGHL")</f>
        <v/>
      </c>
      <c r="B6808" t="inlineStr">
        <is>
          <t>Lion Group Holding Ltd</t>
        </is>
      </c>
      <c r="C6808" t="inlineStr">
        <is>
          <t>Nasdaq</t>
        </is>
      </c>
      <c r="D6808" t="n">
        <v>1806524</v>
      </c>
      <c r="E6808" t="inlineStr">
        <is>
          <t>SEC</t>
        </is>
      </c>
    </row>
    <row r="6809">
      <c r="A6809" s="5">
        <f>HYPERLINK("https://finance.yahoo.com/quote/EPWKF","EPWKF")</f>
        <v/>
      </c>
      <c r="B6809" t="inlineStr">
        <is>
          <t>EPWK Holdings Ltd.</t>
        </is>
      </c>
      <c r="C6809" t="inlineStr">
        <is>
          <t>OTC</t>
        </is>
      </c>
      <c r="D6809" t="n">
        <v>1900720</v>
      </c>
      <c r="E6809" t="inlineStr">
        <is>
          <t>SEC</t>
        </is>
      </c>
    </row>
    <row r="6810">
      <c r="A6810" s="5">
        <f>HYPERLINK("https://finance.yahoo.com/quote/DKI","DKI")</f>
        <v/>
      </c>
      <c r="B6810" t="inlineStr">
        <is>
          <t>DarkIris Inc.</t>
        </is>
      </c>
      <c r="C6810" t="inlineStr">
        <is>
          <t>Nasdaq</t>
        </is>
      </c>
      <c r="D6810" t="n">
        <v>2058584</v>
      </c>
      <c r="E6810" t="inlineStr">
        <is>
          <t>SEC</t>
        </is>
      </c>
    </row>
    <row r="6811">
      <c r="A6811" s="5">
        <f>HYPERLINK("https://finance.yahoo.com/quote/PTPI","PTPI")</f>
        <v/>
      </c>
      <c r="B6811" t="inlineStr">
        <is>
          <t>Petros Pharmaceuticals, Inc.</t>
        </is>
      </c>
      <c r="C6811" t="inlineStr">
        <is>
          <t>OTC</t>
        </is>
      </c>
      <c r="D6811" t="n">
        <v>1815903</v>
      </c>
      <c r="E6811" t="inlineStr">
        <is>
          <t>SEC</t>
        </is>
      </c>
    </row>
    <row r="6812">
      <c r="A6812" s="5">
        <f>HYPERLINK("https://finance.yahoo.com/quote/CIRX","CIRX")</f>
        <v/>
      </c>
      <c r="B6812" t="inlineStr">
        <is>
          <t>CIRTRAN CORP</t>
        </is>
      </c>
      <c r="C6812" t="inlineStr">
        <is>
          <t>OTC</t>
        </is>
      </c>
      <c r="D6812" t="n">
        <v>813716</v>
      </c>
      <c r="E6812" t="inlineStr">
        <is>
          <t>SEC</t>
        </is>
      </c>
    </row>
    <row r="6813">
      <c r="A6813" s="5">
        <f>HYPERLINK("https://finance.yahoo.com/quote/TMGI","TMGI")</f>
        <v/>
      </c>
      <c r="B6813" t="inlineStr">
        <is>
          <t>Transglobal Management Group, Inc.</t>
        </is>
      </c>
      <c r="C6813" t="inlineStr">
        <is>
          <t>OTC</t>
        </is>
      </c>
      <c r="D6813" t="n">
        <v>1434601</v>
      </c>
      <c r="E6813" t="inlineStr">
        <is>
          <t>SEC</t>
        </is>
      </c>
    </row>
    <row r="6814">
      <c r="A6814" s="5">
        <f>HYPERLINK("https://finance.yahoo.com/quote/LEEN","LEEN")</f>
        <v/>
      </c>
      <c r="B6814" t="inlineStr">
        <is>
          <t>Leopard Energy, Inc.</t>
        </is>
      </c>
      <c r="C6814" t="inlineStr">
        <is>
          <t>OTC</t>
        </is>
      </c>
      <c r="D6814" t="n">
        <v>1230524</v>
      </c>
      <c r="E6814" t="inlineStr">
        <is>
          <t>SEC</t>
        </is>
      </c>
    </row>
    <row r="6815">
      <c r="A6815" s="5">
        <f>HYPERLINK("https://finance.yahoo.com/quote/AVCRF","AVCRF")</f>
        <v/>
      </c>
      <c r="B6815" t="inlineStr">
        <is>
          <t>Avricore Health Inc.</t>
        </is>
      </c>
      <c r="C6815" t="inlineStr"/>
      <c r="D6815" t="n">
        <v>1355736</v>
      </c>
      <c r="E6815" t="inlineStr">
        <is>
          <t>SEC</t>
        </is>
      </c>
    </row>
    <row r="6816">
      <c r="A6816" s="5">
        <f>HYPERLINK("https://finance.yahoo.com/quote/PNXP","PNXP")</f>
        <v/>
      </c>
      <c r="B6816" t="inlineStr">
        <is>
          <t>PINEAPPLE EXPRESS CANNABIS Co</t>
        </is>
      </c>
      <c r="C6816" t="inlineStr">
        <is>
          <t>OTC</t>
        </is>
      </c>
      <c r="D6816" t="n">
        <v>1710495</v>
      </c>
      <c r="E6816" t="inlineStr">
        <is>
          <t>SEC</t>
        </is>
      </c>
    </row>
    <row r="6817">
      <c r="A6817" s="5">
        <f>HYPERLINK("https://finance.yahoo.com/quote/PCGC","PCGC")</f>
        <v/>
      </c>
      <c r="B6817" t="inlineStr">
        <is>
          <t>HYDRO POWER TECHNOLOGIES, INC.</t>
        </is>
      </c>
      <c r="C6817" t="inlineStr">
        <is>
          <t>OTC</t>
        </is>
      </c>
      <c r="D6817" t="n">
        <v>1365359</v>
      </c>
      <c r="E6817" t="inlineStr">
        <is>
          <t>SEC</t>
        </is>
      </c>
    </row>
    <row r="6818">
      <c r="A6818" s="5">
        <f>HYPERLINK("https://finance.yahoo.com/quote/FRGT","FRGT")</f>
        <v/>
      </c>
      <c r="B6818" t="inlineStr">
        <is>
          <t>Freight Technologies, Inc.</t>
        </is>
      </c>
      <c r="C6818" t="inlineStr">
        <is>
          <t>Nasdaq</t>
        </is>
      </c>
      <c r="D6818" t="n">
        <v>1687542</v>
      </c>
      <c r="E6818" t="inlineStr">
        <is>
          <t>SEC</t>
        </is>
      </c>
    </row>
    <row r="6819">
      <c r="A6819" s="5">
        <f>HYPERLINK("https://finance.yahoo.com/quote/BOTY","BOTY")</f>
        <v/>
      </c>
      <c r="B6819" t="inlineStr">
        <is>
          <t>LINGERIE FIGHTING CHAMPIONSHIPS, INC.</t>
        </is>
      </c>
      <c r="C6819" t="inlineStr">
        <is>
          <t>OTC</t>
        </is>
      </c>
      <c r="D6819" t="n">
        <v>1407704</v>
      </c>
      <c r="E6819" t="inlineStr">
        <is>
          <t>SEC</t>
        </is>
      </c>
    </row>
    <row r="6820">
      <c r="A6820" s="5">
        <f>HYPERLINK("https://finance.yahoo.com/quote/TLSS","TLSS")</f>
        <v/>
      </c>
      <c r="B6820" t="inlineStr">
        <is>
          <t>Transportation &amp; Logistics Systems, Inc.</t>
        </is>
      </c>
      <c r="C6820" t="inlineStr"/>
      <c r="D6820" t="n">
        <v>1463208</v>
      </c>
      <c r="E6820" t="inlineStr">
        <is>
          <t>SEC</t>
        </is>
      </c>
    </row>
    <row r="6821">
      <c r="A6821" s="5">
        <f>HYPERLINK("https://finance.yahoo.com/quote/GRLF","GRLF")</f>
        <v/>
      </c>
      <c r="B6821" t="inlineStr">
        <is>
          <t>GREEN LEAF INNOVATIONS INC</t>
        </is>
      </c>
      <c r="C6821" t="inlineStr">
        <is>
          <t>OTC</t>
        </is>
      </c>
      <c r="D6821" t="n">
        <v>915661</v>
      </c>
      <c r="E6821" t="inlineStr">
        <is>
          <t>SEC</t>
        </is>
      </c>
    </row>
    <row r="6822">
      <c r="A6822" s="5">
        <f>HYPERLINK("https://finance.yahoo.com/quote/SVVC","SVVC")</f>
        <v/>
      </c>
      <c r="B6822" t="inlineStr">
        <is>
          <t>Firsthand Technology Value Fund, Inc.</t>
        </is>
      </c>
      <c r="C6822" t="inlineStr">
        <is>
          <t>OTC</t>
        </is>
      </c>
      <c r="D6822" t="n">
        <v>1495584</v>
      </c>
      <c r="E6822" t="inlineStr">
        <is>
          <t>SEC</t>
        </is>
      </c>
    </row>
    <row r="6823">
      <c r="A6823" s="5">
        <f>HYPERLINK("https://finance.yahoo.com/quote/ALCE","ALCE")</f>
        <v/>
      </c>
      <c r="B6823" t="inlineStr">
        <is>
          <t>Aedis Energy Inc.</t>
        </is>
      </c>
      <c r="C6823" t="inlineStr"/>
      <c r="D6823" t="n">
        <v>1883984</v>
      </c>
      <c r="E6823" t="inlineStr">
        <is>
          <t>SEC</t>
        </is>
      </c>
    </row>
    <row r="6824">
      <c r="A6824" s="5">
        <f>HYPERLINK("https://finance.yahoo.com/quote/STAI","STAI")</f>
        <v/>
      </c>
      <c r="B6824" t="inlineStr">
        <is>
          <t>ScanTech AI Systems Inc.</t>
        </is>
      </c>
      <c r="C6824" t="inlineStr">
        <is>
          <t>OTC</t>
        </is>
      </c>
      <c r="D6824" t="n">
        <v>1994624</v>
      </c>
      <c r="E6824" t="inlineStr">
        <is>
          <t>SEC</t>
        </is>
      </c>
    </row>
    <row r="6825">
      <c r="A6825" s="5">
        <f>HYPERLINK("https://finance.yahoo.com/quote/SCRH","SCRH")</f>
        <v/>
      </c>
      <c r="B6825" t="inlineStr">
        <is>
          <t>SCORES HOLDING CO INC</t>
        </is>
      </c>
      <c r="C6825" t="inlineStr">
        <is>
          <t>OTC</t>
        </is>
      </c>
      <c r="D6825" t="n">
        <v>831489</v>
      </c>
      <c r="E6825" t="inlineStr">
        <is>
          <t>SEC</t>
        </is>
      </c>
    </row>
    <row r="6826">
      <c r="A6826" s="5">
        <f>HYPERLINK("https://finance.yahoo.com/quote/BINI","BINI")</f>
        <v/>
      </c>
      <c r="B6826" t="inlineStr">
        <is>
          <t>BOLLINGER INNOVATIONS, INC.</t>
        </is>
      </c>
      <c r="C6826" t="inlineStr">
        <is>
          <t>OTC</t>
        </is>
      </c>
      <c r="D6826" t="n">
        <v>1499961</v>
      </c>
      <c r="E6826" t="inlineStr">
        <is>
          <t>SEC</t>
        </is>
      </c>
    </row>
    <row r="6827">
      <c r="A6827" s="5">
        <f>HYPERLINK("https://finance.yahoo.com/quote/RAKR","RAKR")</f>
        <v/>
      </c>
      <c r="B6827" t="inlineStr">
        <is>
          <t>Rainmaker Worldwide Inc.</t>
        </is>
      </c>
      <c r="C6827" t="inlineStr">
        <is>
          <t>OTC</t>
        </is>
      </c>
      <c r="D6827" t="n">
        <v>1872292</v>
      </c>
      <c r="E6827" t="inlineStr">
        <is>
          <t>SEC</t>
        </is>
      </c>
    </row>
    <row r="6828">
      <c r="A6828" s="5">
        <f>HYPERLINK("https://finance.yahoo.com/quote/SELXF","SELXF")</f>
        <v/>
      </c>
      <c r="B6828" t="inlineStr">
        <is>
          <t>Semilux International Ltd.</t>
        </is>
      </c>
      <c r="C6828" t="inlineStr"/>
      <c r="D6828" t="n">
        <v>1990950</v>
      </c>
      <c r="E6828" t="inlineStr">
        <is>
          <t>SEC</t>
        </is>
      </c>
    </row>
    <row r="6829">
      <c r="A6829" s="5">
        <f>HYPERLINK("https://finance.yahoo.com/quote/OZSC","OZSC")</f>
        <v/>
      </c>
      <c r="B6829" t="inlineStr">
        <is>
          <t>OZOP ENERGY SOLUTIONS, INC.</t>
        </is>
      </c>
      <c r="C6829" t="inlineStr">
        <is>
          <t>OTC</t>
        </is>
      </c>
      <c r="D6829" t="n">
        <v>1679817</v>
      </c>
      <c r="E6829" t="inlineStr">
        <is>
          <t>SEC</t>
        </is>
      </c>
    </row>
    <row r="6830">
      <c r="A6830" s="5">
        <f>HYPERLINK("https://finance.yahoo.com/quote/SNYRQ","SNYRQ")</f>
        <v/>
      </c>
      <c r="B6830" t="inlineStr">
        <is>
          <t>Synergy CHC Corp.</t>
        </is>
      </c>
      <c r="C6830" t="inlineStr">
        <is>
          <t>OTC</t>
        </is>
      </c>
      <c r="D6830" t="n">
        <v>1562733</v>
      </c>
      <c r="E6830" t="inlineStr">
        <is>
          <t>SEC</t>
        </is>
      </c>
    </row>
    <row r="6831">
      <c r="A6831" s="5">
        <f>HYPERLINK("https://finance.yahoo.com/quote/ADNH","ADNH")</f>
        <v/>
      </c>
      <c r="B6831" t="inlineStr">
        <is>
          <t>ADVENT TECHNOLOGIES HOLDINGS, INC.</t>
        </is>
      </c>
      <c r="C6831" t="inlineStr"/>
      <c r="D6831" t="n">
        <v>1744494</v>
      </c>
      <c r="E6831" t="inlineStr">
        <is>
          <t>SEC</t>
        </is>
      </c>
    </row>
    <row r="6832">
      <c r="A6832" s="5">
        <f>HYPERLINK("https://finance.yahoo.com/quote/OWPC","OWPC")</f>
        <v/>
      </c>
      <c r="B6832" t="inlineStr">
        <is>
          <t>One World Products, Inc.</t>
        </is>
      </c>
      <c r="C6832" t="inlineStr">
        <is>
          <t>OTC</t>
        </is>
      </c>
      <c r="D6832" t="n">
        <v>1622244</v>
      </c>
      <c r="E6832" t="inlineStr">
        <is>
          <t>SEC</t>
        </is>
      </c>
    </row>
    <row r="6833">
      <c r="A6833" s="5">
        <f>HYPERLINK("https://finance.yahoo.com/quote/CREG","CREG")</f>
        <v/>
      </c>
      <c r="B6833" t="inlineStr">
        <is>
          <t>Smart Powerr Corp.</t>
        </is>
      </c>
      <c r="C6833" t="inlineStr">
        <is>
          <t>OTC</t>
        </is>
      </c>
      <c r="D6833" t="n">
        <v>721693</v>
      </c>
      <c r="E6833" t="inlineStr">
        <is>
          <t>SEC</t>
        </is>
      </c>
    </row>
    <row r="6834">
      <c r="A6834" s="5">
        <f>HYPERLINK("https://finance.yahoo.com/quote/RTCJF","RTCJF")</f>
        <v/>
      </c>
      <c r="B6834" t="inlineStr">
        <is>
          <t>Baijiayun Group Ltd</t>
        </is>
      </c>
      <c r="C6834" t="inlineStr">
        <is>
          <t>OTC</t>
        </is>
      </c>
      <c r="D6834" t="n">
        <v>1381074</v>
      </c>
      <c r="E6834" t="inlineStr">
        <is>
          <t>SEC</t>
        </is>
      </c>
    </row>
    <row r="6835">
      <c r="A6835" s="5">
        <f>HYPERLINK("https://finance.yahoo.com/quote/BHATF","BHATF")</f>
        <v/>
      </c>
      <c r="B6835" t="inlineStr">
        <is>
          <t>Blue Hat Interactive Entertainment Technology</t>
        </is>
      </c>
      <c r="C6835" t="inlineStr">
        <is>
          <t>OTC</t>
        </is>
      </c>
      <c r="D6835" t="n">
        <v>1759136</v>
      </c>
      <c r="E6835" t="inlineStr">
        <is>
          <t>SEC</t>
        </is>
      </c>
    </row>
    <row r="6836">
      <c r="A6836" s="5">
        <f>HYPERLINK("https://finance.yahoo.com/quote/ZVSA","ZVSA")</f>
        <v/>
      </c>
      <c r="B6836" t="inlineStr">
        <is>
          <t>ZyVersa Therapeutics, Inc.</t>
        </is>
      </c>
      <c r="C6836" t="inlineStr">
        <is>
          <t>OTC</t>
        </is>
      </c>
      <c r="D6836" t="n">
        <v>1859007</v>
      </c>
      <c r="E6836" t="inlineStr">
        <is>
          <t>SEC</t>
        </is>
      </c>
    </row>
    <row r="6837">
      <c r="A6837" s="5">
        <f>HYPERLINK("https://finance.yahoo.com/quote/BMPA","BMPA")</f>
        <v/>
      </c>
      <c r="B6837" t="inlineStr">
        <is>
          <t>BMP AI Technologies, Inc.</t>
        </is>
      </c>
      <c r="C6837" t="inlineStr">
        <is>
          <t>OTC</t>
        </is>
      </c>
      <c r="D6837" t="n">
        <v>1130781</v>
      </c>
      <c r="E6837" t="inlineStr">
        <is>
          <t>SEC</t>
        </is>
      </c>
    </row>
    <row r="6838">
      <c r="A6838" s="5">
        <f>HYPERLINK("https://finance.yahoo.com/quote/RBOT","RBOT")</f>
        <v/>
      </c>
      <c r="B6838" t="inlineStr">
        <is>
          <t>Vicarious Surgical Inc.</t>
        </is>
      </c>
      <c r="C6838" t="inlineStr">
        <is>
          <t>OTC</t>
        </is>
      </c>
      <c r="D6838" t="n">
        <v>1812173</v>
      </c>
      <c r="E6838" t="inlineStr">
        <is>
          <t>SEC</t>
        </is>
      </c>
    </row>
    <row r="6839">
      <c r="A6839" s="5">
        <f>HYPERLINK("https://finance.yahoo.com/quote/USAM","USAM")</f>
        <v/>
      </c>
      <c r="B6839" t="inlineStr">
        <is>
          <t>ARES STRATEGIC MINING INC.</t>
        </is>
      </c>
      <c r="C6839" t="inlineStr"/>
      <c r="D6839" t="n">
        <v>1804792</v>
      </c>
      <c r="E6839" t="inlineStr">
        <is>
          <t>SEC</t>
        </is>
      </c>
    </row>
    <row r="6840">
      <c r="A6840" s="5">
        <f>HYPERLINK("https://finance.yahoo.com/quote/CMBMF","CMBMF")</f>
        <v/>
      </c>
      <c r="B6840" t="inlineStr">
        <is>
          <t>Cambium Networks Corp</t>
        </is>
      </c>
      <c r="C6840" t="inlineStr">
        <is>
          <t>OTC</t>
        </is>
      </c>
      <c r="D6840" t="n">
        <v>1738177</v>
      </c>
      <c r="E6840" t="inlineStr">
        <is>
          <t>SEC</t>
        </is>
      </c>
    </row>
    <row r="6841">
      <c r="A6841" s="5">
        <f>HYPERLINK("https://finance.yahoo.com/quote/GVHGF","GVHGF")</f>
        <v/>
      </c>
      <c r="B6841" t="inlineStr">
        <is>
          <t>Visionary Holdings Inc.</t>
        </is>
      </c>
      <c r="C6841" t="inlineStr">
        <is>
          <t>OTC</t>
        </is>
      </c>
      <c r="D6841" t="n">
        <v>1892274</v>
      </c>
      <c r="E6841" t="inlineStr">
        <is>
          <t>SEC</t>
        </is>
      </c>
    </row>
    <row r="6842">
      <c r="A6842" s="5">
        <f>HYPERLINK("https://finance.yahoo.com/quote/VSTD","VSTD")</f>
        <v/>
      </c>
      <c r="B6842" t="inlineStr">
        <is>
          <t>Vestand Inc.</t>
        </is>
      </c>
      <c r="C6842" t="inlineStr">
        <is>
          <t>OTC</t>
        </is>
      </c>
      <c r="D6842" t="n">
        <v>1898604</v>
      </c>
      <c r="E6842" t="inlineStr">
        <is>
          <t>SEC</t>
        </is>
      </c>
    </row>
    <row r="6843">
      <c r="A6843" s="5">
        <f>HYPERLINK("https://finance.yahoo.com/quote/SOPAQ","SOPAQ")</f>
        <v/>
      </c>
      <c r="B6843" t="inlineStr">
        <is>
          <t>SOCIETY PASS INCORPORATED.</t>
        </is>
      </c>
      <c r="C6843" t="inlineStr">
        <is>
          <t>OTC</t>
        </is>
      </c>
      <c r="D6843" t="n">
        <v>1817511</v>
      </c>
      <c r="E6843" t="inlineStr">
        <is>
          <t>SEC</t>
        </is>
      </c>
    </row>
    <row r="6844">
      <c r="A6844" s="5">
        <f>HYPERLINK("https://finance.yahoo.com/quote/MSPR","MSPR")</f>
        <v/>
      </c>
      <c r="B6844" t="inlineStr">
        <is>
          <t>MSP Recovery, Inc.</t>
        </is>
      </c>
      <c r="C6844" t="inlineStr"/>
      <c r="D6844" t="n">
        <v>1802450</v>
      </c>
      <c r="E6844" t="inlineStr">
        <is>
          <t>SEC</t>
        </is>
      </c>
    </row>
    <row r="6845">
      <c r="A6845" s="5">
        <f>HYPERLINK("https://finance.yahoo.com/quote/PEVM","PEVM")</f>
        <v/>
      </c>
      <c r="B6845" t="inlineStr">
        <is>
          <t>PHOENIX MOTOR INC.</t>
        </is>
      </c>
      <c r="C6845" t="inlineStr"/>
      <c r="D6845" t="n">
        <v>1879848</v>
      </c>
      <c r="E6845" t="inlineStr">
        <is>
          <t>SEC</t>
        </is>
      </c>
    </row>
    <row r="6846">
      <c r="A6846" s="5">
        <f>HYPERLINK("https://finance.yahoo.com/quote/VISM","VISM")</f>
        <v/>
      </c>
      <c r="B6846" t="inlineStr">
        <is>
          <t>VISIUM TECHNOLOGIES, INC.</t>
        </is>
      </c>
      <c r="C6846" t="inlineStr">
        <is>
          <t>OTC</t>
        </is>
      </c>
      <c r="D6846" t="n">
        <v>1082733</v>
      </c>
      <c r="E6846" t="inlineStr">
        <is>
          <t>SEC</t>
        </is>
      </c>
    </row>
    <row r="6847">
      <c r="A6847" s="5">
        <f>HYPERLINK("https://finance.yahoo.com/quote/STRG","STRG")</f>
        <v/>
      </c>
      <c r="B6847" t="inlineStr">
        <is>
          <t>STARGUIDE GROUP, INC.</t>
        </is>
      </c>
      <c r="C6847" t="inlineStr"/>
      <c r="D6847" t="n">
        <v>1803096</v>
      </c>
      <c r="E6847" t="inlineStr">
        <is>
          <t>SEC</t>
        </is>
      </c>
    </row>
    <row r="6848">
      <c r="A6848" s="5">
        <f>HYPERLINK("https://finance.yahoo.com/quote/MAXNQ","MAXNQ")</f>
        <v/>
      </c>
      <c r="B6848" t="inlineStr">
        <is>
          <t>Maxeon Solar Technologies, Ltd.</t>
        </is>
      </c>
      <c r="C6848" t="inlineStr"/>
      <c r="D6848" t="n">
        <v>1796898</v>
      </c>
      <c r="E6848" t="inlineStr">
        <is>
          <t>SEC</t>
        </is>
      </c>
    </row>
    <row r="6849">
      <c r="A6849" s="5">
        <f>HYPERLINK("https://finance.yahoo.com/quote/EAI","EAI")</f>
        <v/>
      </c>
      <c r="B6849" t="inlineStr">
        <is>
          <t>ENTERGY ARKANSAS, LLC</t>
        </is>
      </c>
      <c r="C6849" t="inlineStr">
        <is>
          <t>NYSE</t>
        </is>
      </c>
      <c r="D6849" t="n">
        <v>7323</v>
      </c>
      <c r="E6849" t="inlineStr">
        <is>
          <t>SEC</t>
        </is>
      </c>
    </row>
    <row r="6850">
      <c r="A6850" s="5">
        <f>HYPERLINK("https://finance.yahoo.com/quote/BDL","BDL")</f>
        <v/>
      </c>
      <c r="B6850" t="inlineStr">
        <is>
          <t>FLANIGANS ENTERPRISES INC</t>
        </is>
      </c>
      <c r="C6850" t="inlineStr">
        <is>
          <t>NYSE</t>
        </is>
      </c>
      <c r="D6850" t="n">
        <v>12040</v>
      </c>
      <c r="E6850" t="inlineStr">
        <is>
          <t>SEC</t>
        </is>
      </c>
    </row>
    <row r="6851">
      <c r="A6851" s="5">
        <f>HYPERLINK("https://finance.yahoo.com/quote/AILIH","AILIH")</f>
        <v/>
      </c>
      <c r="B6851" t="inlineStr">
        <is>
          <t>Ameren Illinois Co</t>
        </is>
      </c>
      <c r="C6851" t="inlineStr">
        <is>
          <t>OTC</t>
        </is>
      </c>
      <c r="D6851" t="n">
        <v>18654</v>
      </c>
      <c r="E6851" t="inlineStr">
        <is>
          <t>SEC</t>
        </is>
      </c>
    </row>
    <row r="6852">
      <c r="A6852" s="5">
        <f>HYPERLINK("https://finance.yahoo.com/quote/CET","CET")</f>
        <v/>
      </c>
      <c r="B6852" t="inlineStr">
        <is>
          <t>CENTRAL SECURITIES CORP</t>
        </is>
      </c>
      <c r="C6852" t="inlineStr">
        <is>
          <t>NYSE</t>
        </is>
      </c>
      <c r="D6852" t="n">
        <v>18748</v>
      </c>
      <c r="E6852" t="inlineStr">
        <is>
          <t>SEC</t>
        </is>
      </c>
    </row>
    <row r="6853">
      <c r="A6853" s="5">
        <f>HYPERLINK("https://finance.yahoo.com/quote/CMC","CMC")</f>
        <v/>
      </c>
      <c r="B6853" t="inlineStr">
        <is>
          <t>COMMERCIAL METALS Co</t>
        </is>
      </c>
      <c r="C6853" t="inlineStr">
        <is>
          <t>NYSE</t>
        </is>
      </c>
      <c r="D6853" t="n">
        <v>22444</v>
      </c>
      <c r="E6853" t="inlineStr">
        <is>
          <t>SEC</t>
        </is>
      </c>
    </row>
    <row r="6854">
      <c r="A6854" s="5">
        <f>HYPERLINK("https://finance.yahoo.com/quote/GPJA","GPJA")</f>
        <v/>
      </c>
      <c r="B6854" t="inlineStr">
        <is>
          <t>GEORGIA POWER CO</t>
        </is>
      </c>
      <c r="C6854" t="inlineStr">
        <is>
          <t>NYSE</t>
        </is>
      </c>
      <c r="D6854" t="n">
        <v>41091</v>
      </c>
      <c r="E6854" t="inlineStr">
        <is>
          <t>SEC</t>
        </is>
      </c>
    </row>
    <row r="6855">
      <c r="A6855" s="5">
        <f>HYPERLINK("https://finance.yahoo.com/quote/IMO","IMO")</f>
        <v/>
      </c>
      <c r="B6855" t="inlineStr">
        <is>
          <t>IMPERIAL OIL LTD</t>
        </is>
      </c>
      <c r="C6855" t="inlineStr">
        <is>
          <t>NYSE</t>
        </is>
      </c>
      <c r="D6855" t="n">
        <v>49938</v>
      </c>
      <c r="E6855" t="inlineStr">
        <is>
          <t>SEC</t>
        </is>
      </c>
    </row>
    <row r="6856">
      <c r="A6856" s="5">
        <f>HYPERLINK("https://finance.yahoo.com/quote/MCY","MCY")</f>
        <v/>
      </c>
      <c r="B6856" t="inlineStr">
        <is>
          <t>MERCURY GENERAL CORP</t>
        </is>
      </c>
      <c r="C6856" t="inlineStr">
        <is>
          <t>NYSE</t>
        </is>
      </c>
      <c r="D6856" t="n">
        <v>64996</v>
      </c>
      <c r="E6856" t="inlineStr">
        <is>
          <t>SEC</t>
        </is>
      </c>
    </row>
    <row r="6857">
      <c r="A6857" s="5">
        <f>HYPERLINK("https://finance.yahoo.com/quote/MSB","MSB")</f>
        <v/>
      </c>
      <c r="B6857" t="inlineStr">
        <is>
          <t>MESABI TRUST</t>
        </is>
      </c>
      <c r="C6857" t="inlineStr">
        <is>
          <t>NYSE</t>
        </is>
      </c>
      <c r="D6857" t="n">
        <v>65172</v>
      </c>
      <c r="E6857" t="inlineStr">
        <is>
          <t>SEC</t>
        </is>
      </c>
    </row>
    <row r="6858">
      <c r="A6858" s="5">
        <f>HYPERLINK("https://finance.yahoo.com/quote/MXC","MXC")</f>
        <v/>
      </c>
      <c r="B6858" t="inlineStr">
        <is>
          <t>MEXCO ENERGY CORP</t>
        </is>
      </c>
      <c r="C6858" t="inlineStr">
        <is>
          <t>NYSE</t>
        </is>
      </c>
      <c r="D6858" t="n">
        <v>66418</v>
      </c>
      <c r="E6858" t="inlineStr">
        <is>
          <t>SEC</t>
        </is>
      </c>
    </row>
    <row r="6859">
      <c r="A6859" s="5">
        <f>HYPERLINK("https://finance.yahoo.com/quote/EMP","EMP")</f>
        <v/>
      </c>
      <c r="B6859" t="inlineStr">
        <is>
          <t>ENTERGY MISSISSIPPI, LLC</t>
        </is>
      </c>
      <c r="C6859" t="inlineStr">
        <is>
          <t>NYSE</t>
        </is>
      </c>
      <c r="D6859" t="n">
        <v>66901</v>
      </c>
      <c r="E6859" t="inlineStr">
        <is>
          <t>SEC</t>
        </is>
      </c>
    </row>
    <row r="6860">
      <c r="A6860" s="5">
        <f>HYPERLINK("https://finance.yahoo.com/quote/NRUC","NRUC")</f>
        <v/>
      </c>
      <c r="B6860" t="inlineStr">
        <is>
          <t>NATIONAL RURAL UTILITIES COOPERATIVE FINANCE CORP /DC/</t>
        </is>
      </c>
      <c r="C6860" t="inlineStr">
        <is>
          <t>NYSE</t>
        </is>
      </c>
      <c r="D6860" t="n">
        <v>70502</v>
      </c>
      <c r="E6860" t="inlineStr">
        <is>
          <t>SEC</t>
        </is>
      </c>
    </row>
    <row r="6861">
      <c r="A6861" s="5">
        <f>HYPERLINK("https://finance.yahoo.com/quote/ENJ","ENJ")</f>
        <v/>
      </c>
      <c r="B6861" t="inlineStr">
        <is>
          <t>ENTERGY NEW ORLEANS, LLC</t>
        </is>
      </c>
      <c r="C6861" t="inlineStr">
        <is>
          <t>NYSE</t>
        </is>
      </c>
      <c r="D6861" t="n">
        <v>71508</v>
      </c>
      <c r="E6861" t="inlineStr">
        <is>
          <t>SEC</t>
        </is>
      </c>
    </row>
    <row r="6862">
      <c r="A6862" s="5">
        <f>HYPERLINK("https://finance.yahoo.com/quote/NL","NL")</f>
        <v/>
      </c>
      <c r="B6862" t="inlineStr">
        <is>
          <t>NLI HOLDINGS, INC.</t>
        </is>
      </c>
      <c r="C6862" t="inlineStr">
        <is>
          <t>NYSE</t>
        </is>
      </c>
      <c r="D6862" t="n">
        <v>72162</v>
      </c>
      <c r="E6862" t="inlineStr">
        <is>
          <t>SEC</t>
        </is>
      </c>
    </row>
    <row r="6863">
      <c r="A6863" s="5">
        <f>HYPERLINK("https://finance.yahoo.com/quote/PHI","PHI")</f>
        <v/>
      </c>
      <c r="B6863" t="inlineStr">
        <is>
          <t>PLDT Inc.</t>
        </is>
      </c>
      <c r="C6863" t="inlineStr">
        <is>
          <t>NYSE</t>
        </is>
      </c>
      <c r="D6863" t="n">
        <v>78150</v>
      </c>
      <c r="E6863" t="inlineStr">
        <is>
          <t>SEC</t>
        </is>
      </c>
    </row>
    <row r="6864">
      <c r="A6864" s="5">
        <f>HYPERLINK("https://finance.yahoo.com/quote/SIF","SIF")</f>
        <v/>
      </c>
      <c r="B6864" t="inlineStr">
        <is>
          <t>SIFCO INDUSTRIES INC</t>
        </is>
      </c>
      <c r="C6864" t="inlineStr">
        <is>
          <t>NYSE</t>
        </is>
      </c>
      <c r="D6864" t="n">
        <v>90168</v>
      </c>
      <c r="E6864" t="inlineStr">
        <is>
          <t>SEC</t>
        </is>
      </c>
    </row>
    <row r="6865">
      <c r="A6865" s="5">
        <f>HYPERLINK("https://finance.yahoo.com/quote/SOR","SOR")</f>
        <v/>
      </c>
      <c r="B6865" t="inlineStr">
        <is>
          <t>SOURCE CAPITAL /DE/</t>
        </is>
      </c>
      <c r="C6865" t="inlineStr">
        <is>
          <t>NYSE</t>
        </is>
      </c>
      <c r="D6865" t="n">
        <v>91847</v>
      </c>
      <c r="E6865" t="inlineStr">
        <is>
          <t>SEC</t>
        </is>
      </c>
    </row>
    <row r="6866">
      <c r="A6866" s="5">
        <f>HYPERLINK("https://finance.yahoo.com/quote/BYOP","BYOP")</f>
        <v/>
      </c>
      <c r="B6866" t="inlineStr">
        <is>
          <t>KiNRG, Inc.</t>
        </is>
      </c>
      <c r="C6866" t="inlineStr"/>
      <c r="D6866" t="n">
        <v>95572</v>
      </c>
      <c r="E6866" t="inlineStr">
        <is>
          <t>SEC</t>
        </is>
      </c>
    </row>
    <row r="6867">
      <c r="A6867" s="5">
        <f>HYPERLINK("https://finance.yahoo.com/quote/UELMO","UELMO")</f>
        <v/>
      </c>
      <c r="B6867" t="inlineStr">
        <is>
          <t>UNION ELECTRIC CO</t>
        </is>
      </c>
      <c r="C6867" t="inlineStr">
        <is>
          <t>OTC</t>
        </is>
      </c>
      <c r="D6867" t="n">
        <v>100826</v>
      </c>
      <c r="E6867" t="inlineStr">
        <is>
          <t>SEC</t>
        </is>
      </c>
    </row>
    <row r="6868">
      <c r="A6868" s="5">
        <f>HYPERLINK("https://finance.yahoo.com/quote/WMK","WMK")</f>
        <v/>
      </c>
      <c r="B6868" t="inlineStr">
        <is>
          <t>WEIS MARKETS INC</t>
        </is>
      </c>
      <c r="C6868" t="inlineStr">
        <is>
          <t>NYSE</t>
        </is>
      </c>
      <c r="D6868" t="n">
        <v>105418</v>
      </c>
      <c r="E6868" t="inlineStr">
        <is>
          <t>SEC</t>
        </is>
      </c>
    </row>
    <row r="6869">
      <c r="A6869" s="5">
        <f>HYPERLINK("https://finance.yahoo.com/quote/CMS-PB","CMS-PB")</f>
        <v/>
      </c>
      <c r="B6869" t="inlineStr">
        <is>
          <t>CONSUMERS ENERGY CO</t>
        </is>
      </c>
      <c r="C6869" t="inlineStr">
        <is>
          <t>NYSE</t>
        </is>
      </c>
      <c r="D6869" t="n">
        <v>201533</v>
      </c>
      <c r="E6869" t="inlineStr">
        <is>
          <t>SEC</t>
        </is>
      </c>
    </row>
    <row r="6870">
      <c r="A6870" s="5">
        <f>HYPERLINK("https://finance.yahoo.com/quote/ITT","ITT")</f>
        <v/>
      </c>
      <c r="B6870" t="inlineStr">
        <is>
          <t>ITT INC.</t>
        </is>
      </c>
      <c r="C6870" t="inlineStr">
        <is>
          <t>NYSE</t>
        </is>
      </c>
      <c r="D6870" t="n">
        <v>216228</v>
      </c>
      <c r="E6870" t="inlineStr">
        <is>
          <t>SEC</t>
        </is>
      </c>
    </row>
    <row r="6871">
      <c r="A6871" s="5">
        <f>HYPERLINK("https://finance.yahoo.com/quote/SJT","SJT")</f>
        <v/>
      </c>
      <c r="B6871" t="inlineStr">
        <is>
          <t>SAN JUAN BASIN ROYALTY TRUST</t>
        </is>
      </c>
      <c r="C6871" t="inlineStr">
        <is>
          <t>NYSE</t>
        </is>
      </c>
      <c r="D6871" t="n">
        <v>319655</v>
      </c>
      <c r="E6871" t="inlineStr">
        <is>
          <t>SEC</t>
        </is>
      </c>
    </row>
    <row r="6872">
      <c r="A6872" s="5">
        <f>HYPERLINK("https://finance.yahoo.com/quote/JHI","JHI")</f>
        <v/>
      </c>
      <c r="B6872" t="inlineStr">
        <is>
          <t>JOHN HANCOCK INVESTORS TRUST</t>
        </is>
      </c>
      <c r="C6872" t="inlineStr">
        <is>
          <t>NYSE</t>
        </is>
      </c>
      <c r="D6872" t="n">
        <v>759828</v>
      </c>
      <c r="E6872" t="inlineStr">
        <is>
          <t>SEC</t>
        </is>
      </c>
    </row>
    <row r="6873">
      <c r="A6873" s="5">
        <f>HYPERLINK("https://finance.yahoo.com/quote/DSS","DSS")</f>
        <v/>
      </c>
      <c r="B6873" t="inlineStr">
        <is>
          <t>DSS, INC.</t>
        </is>
      </c>
      <c r="C6873" t="inlineStr">
        <is>
          <t>NYSE</t>
        </is>
      </c>
      <c r="D6873" t="n">
        <v>771999</v>
      </c>
      <c r="E6873" t="inlineStr">
        <is>
          <t>SEC</t>
        </is>
      </c>
    </row>
    <row r="6874">
      <c r="A6874" s="5">
        <f>HYPERLINK("https://finance.yahoo.com/quote/VGZ","VGZ")</f>
        <v/>
      </c>
      <c r="B6874" t="inlineStr">
        <is>
          <t>VISTA GOLD CORP</t>
        </is>
      </c>
      <c r="C6874" t="inlineStr">
        <is>
          <t>NYSE</t>
        </is>
      </c>
      <c r="D6874" t="n">
        <v>783324</v>
      </c>
      <c r="E6874" t="inlineStr">
        <is>
          <t>SEC</t>
        </is>
      </c>
    </row>
    <row r="6875">
      <c r="A6875" s="5">
        <f>HYPERLINK("https://finance.yahoo.com/quote/USA","USA")</f>
        <v/>
      </c>
      <c r="B6875" t="inlineStr">
        <is>
          <t>LIBERTY ALL STAR EQUITY FUND</t>
        </is>
      </c>
      <c r="C6875" t="inlineStr">
        <is>
          <t>NYSE</t>
        </is>
      </c>
      <c r="D6875" t="n">
        <v>799195</v>
      </c>
      <c r="E6875" t="inlineStr">
        <is>
          <t>SEC</t>
        </is>
      </c>
    </row>
    <row r="6876">
      <c r="A6876" s="5">
        <f>HYPERLINK("https://finance.yahoo.com/quote/HQH","HQH")</f>
        <v/>
      </c>
      <c r="B6876" t="inlineStr">
        <is>
          <t>abrdn Healthcare Investors</t>
        </is>
      </c>
      <c r="C6876" t="inlineStr">
        <is>
          <t>NYSE</t>
        </is>
      </c>
      <c r="D6876" t="n">
        <v>805267</v>
      </c>
      <c r="E6876" t="inlineStr">
        <is>
          <t>SEC</t>
        </is>
      </c>
    </row>
    <row r="6877">
      <c r="A6877" s="5">
        <f>HYPERLINK("https://finance.yahoo.com/quote/CIK","CIK")</f>
        <v/>
      </c>
      <c r="B6877" t="inlineStr">
        <is>
          <t>UBS ASSET MANAGEMENT INCOME FUND, INC.</t>
        </is>
      </c>
      <c r="C6877" t="inlineStr">
        <is>
          <t>NYSE</t>
        </is>
      </c>
      <c r="D6877" t="n">
        <v>810766</v>
      </c>
      <c r="E6877" t="inlineStr">
        <is>
          <t>SEC</t>
        </is>
      </c>
    </row>
    <row r="6878">
      <c r="A6878" s="5">
        <f>HYPERLINK("https://finance.yahoo.com/quote/NNY","NNY")</f>
        <v/>
      </c>
      <c r="B6878" t="inlineStr">
        <is>
          <t>NUVEEN NEW YORK MUNICIPAL VALUE FUND</t>
        </is>
      </c>
      <c r="C6878" t="inlineStr">
        <is>
          <t>NYSE</t>
        </is>
      </c>
      <c r="D6878" t="n">
        <v>818850</v>
      </c>
      <c r="E6878" t="inlineStr">
        <is>
          <t>SEC</t>
        </is>
      </c>
    </row>
    <row r="6879">
      <c r="A6879" s="5">
        <f>HYPERLINK("https://finance.yahoo.com/quote/NCA","NCA")</f>
        <v/>
      </c>
      <c r="B6879" t="inlineStr">
        <is>
          <t>NUVEEN CALIFORNIA MUNICIPAL VALUE FUND</t>
        </is>
      </c>
      <c r="C6879" t="inlineStr">
        <is>
          <t>NYSE</t>
        </is>
      </c>
      <c r="D6879" t="n">
        <v>818851</v>
      </c>
      <c r="E6879" t="inlineStr">
        <is>
          <t>SEC</t>
        </is>
      </c>
    </row>
    <row r="6880">
      <c r="A6880" s="5">
        <f>HYPERLINK("https://finance.yahoo.com/quote/CHSCP","CHSCP")</f>
        <v/>
      </c>
      <c r="B6880" t="inlineStr">
        <is>
          <t>CHS INC</t>
        </is>
      </c>
      <c r="C6880" t="inlineStr">
        <is>
          <t>Nasdaq</t>
        </is>
      </c>
      <c r="D6880" t="n">
        <v>823277</v>
      </c>
      <c r="E6880" t="inlineStr">
        <is>
          <t>SEC</t>
        </is>
      </c>
    </row>
    <row r="6881">
      <c r="A6881" s="5">
        <f>HYPERLINK("https://finance.yahoo.com/quote/PPT","PPT")</f>
        <v/>
      </c>
      <c r="B6881" t="inlineStr">
        <is>
          <t>FRANKLIN PREMIER INCOME TRUST</t>
        </is>
      </c>
      <c r="C6881" t="inlineStr">
        <is>
          <t>NYSE</t>
        </is>
      </c>
      <c r="D6881" t="n">
        <v>827773</v>
      </c>
      <c r="E6881" t="inlineStr">
        <is>
          <t>SEC</t>
        </is>
      </c>
    </row>
    <row r="6882">
      <c r="A6882" s="5">
        <f>HYPERLINK("https://finance.yahoo.com/quote/NMI","NMI")</f>
        <v/>
      </c>
      <c r="B6882" t="inlineStr">
        <is>
          <t>NUVEEN MUNICIPAL INCOME FUND INC</t>
        </is>
      </c>
      <c r="C6882" t="inlineStr">
        <is>
          <t>NYSE</t>
        </is>
      </c>
      <c r="D6882" t="n">
        <v>830271</v>
      </c>
      <c r="E6882" t="inlineStr">
        <is>
          <t>SEC</t>
        </is>
      </c>
    </row>
    <row r="6883">
      <c r="A6883" s="5">
        <f>HYPERLINK("https://finance.yahoo.com/quote/FT","FT")</f>
        <v/>
      </c>
      <c r="B6883" t="inlineStr">
        <is>
          <t>FRANKLIN UNIVERSAL TRUST</t>
        </is>
      </c>
      <c r="C6883" t="inlineStr">
        <is>
          <t>NYSE</t>
        </is>
      </c>
      <c r="D6883" t="n">
        <v>833040</v>
      </c>
      <c r="E6883" t="inlineStr">
        <is>
          <t>SEC</t>
        </is>
      </c>
    </row>
    <row r="6884">
      <c r="A6884" s="5">
        <f>HYPERLINK("https://finance.yahoo.com/quote/WDS","WDS")</f>
        <v/>
      </c>
      <c r="B6884" t="inlineStr">
        <is>
          <t>WOODSIDE ENERGY GROUP LTD</t>
        </is>
      </c>
      <c r="C6884" t="inlineStr">
        <is>
          <t>NYSE</t>
        </is>
      </c>
      <c r="D6884" t="n">
        <v>844551</v>
      </c>
      <c r="E6884" t="inlineStr">
        <is>
          <t>SEC</t>
        </is>
      </c>
    </row>
    <row r="6885">
      <c r="A6885" s="5">
        <f>HYPERLINK("https://finance.yahoo.com/quote/VLT","VLT")</f>
        <v/>
      </c>
      <c r="B6885" t="inlineStr">
        <is>
          <t>Invesco High Income Trust II</t>
        </is>
      </c>
      <c r="C6885" t="inlineStr">
        <is>
          <t>NYSE</t>
        </is>
      </c>
      <c r="D6885" t="n">
        <v>846671</v>
      </c>
      <c r="E6885" t="inlineStr">
        <is>
          <t>SEC</t>
        </is>
      </c>
    </row>
    <row r="6886">
      <c r="A6886" s="5">
        <f>HYPERLINK("https://finance.yahoo.com/quote/PDT","PDT")</f>
        <v/>
      </c>
      <c r="B6886" t="inlineStr">
        <is>
          <t>JOHN HANCOCK PREMIUM DIVIDEND FUND</t>
        </is>
      </c>
      <c r="C6886" t="inlineStr">
        <is>
          <t>NYSE</t>
        </is>
      </c>
      <c r="D6886" t="n">
        <v>855886</v>
      </c>
      <c r="E6886" t="inlineStr">
        <is>
          <t>SEC</t>
        </is>
      </c>
    </row>
    <row r="6887">
      <c r="A6887" s="5">
        <f>HYPERLINK("https://finance.yahoo.com/quote/JOF","JOF")</f>
        <v/>
      </c>
      <c r="B6887" t="inlineStr">
        <is>
          <t>JAPAN SMALLER CAPITALIZATION FUND INC</t>
        </is>
      </c>
      <c r="C6887" t="inlineStr">
        <is>
          <t>NYSE</t>
        </is>
      </c>
      <c r="D6887" t="n">
        <v>859796</v>
      </c>
      <c r="E6887" t="inlineStr">
        <is>
          <t>SEC</t>
        </is>
      </c>
    </row>
    <row r="6888">
      <c r="A6888" s="5">
        <f>HYPERLINK("https://finance.yahoo.com/quote/CEE","CEE")</f>
        <v/>
      </c>
      <c r="B6888" t="inlineStr">
        <is>
          <t>CENTRAL &amp; EASTERN EUROPE FUND, INC.</t>
        </is>
      </c>
      <c r="C6888" t="inlineStr">
        <is>
          <t>NYSE</t>
        </is>
      </c>
      <c r="D6888" t="n">
        <v>860489</v>
      </c>
      <c r="E6888" t="inlineStr">
        <is>
          <t>SEC</t>
        </is>
      </c>
    </row>
    <row r="6889">
      <c r="A6889" s="5">
        <f>HYPERLINK("https://finance.yahoo.com/quote/VKQ","VKQ")</f>
        <v/>
      </c>
      <c r="B6889" t="inlineStr">
        <is>
          <t>Invesco Municipal Trust</t>
        </is>
      </c>
      <c r="C6889" t="inlineStr">
        <is>
          <t>NYSE</t>
        </is>
      </c>
      <c r="D6889" t="n">
        <v>877463</v>
      </c>
      <c r="E6889" t="inlineStr">
        <is>
          <t>SEC</t>
        </is>
      </c>
    </row>
    <row r="6890">
      <c r="A6890" s="5">
        <f>HYPERLINK("https://finance.yahoo.com/quote/PFO","PFO")</f>
        <v/>
      </c>
      <c r="B6890" t="inlineStr">
        <is>
          <t>Flaherty &amp; Crumrine PREFERRED &amp; INCOME OPPORTUNITY FUND INC</t>
        </is>
      </c>
      <c r="C6890" t="inlineStr">
        <is>
          <t>NYSE</t>
        </is>
      </c>
      <c r="D6890" t="n">
        <v>882071</v>
      </c>
      <c r="E6890" t="inlineStr">
        <is>
          <t>SEC</t>
        </is>
      </c>
    </row>
    <row r="6891">
      <c r="A6891" s="5">
        <f>HYPERLINK("https://finance.yahoo.com/quote/NXP","NXP")</f>
        <v/>
      </c>
      <c r="B6891" t="inlineStr">
        <is>
          <t>NUVEEN SELECT TAX FREE INCOME PORTFOLIO</t>
        </is>
      </c>
      <c r="C6891" t="inlineStr">
        <is>
          <t>NYSE</t>
        </is>
      </c>
      <c r="D6891" t="n">
        <v>883618</v>
      </c>
      <c r="E6891" t="inlineStr">
        <is>
          <t>SEC</t>
        </is>
      </c>
    </row>
    <row r="6892">
      <c r="A6892" s="5">
        <f>HYPERLINK("https://finance.yahoo.com/quote/HQL","HQL")</f>
        <v/>
      </c>
      <c r="B6892" t="inlineStr">
        <is>
          <t>abrdn Life Sciences Investors</t>
        </is>
      </c>
      <c r="C6892" t="inlineStr">
        <is>
          <t>NYSE</t>
        </is>
      </c>
      <c r="D6892" t="n">
        <v>884121</v>
      </c>
      <c r="E6892" t="inlineStr">
        <is>
          <t>SEC</t>
        </is>
      </c>
    </row>
    <row r="6893">
      <c r="A6893" s="5">
        <f>HYPERLINK("https://finance.yahoo.com/quote/VMO","VMO")</f>
        <v/>
      </c>
      <c r="B6893" t="inlineStr">
        <is>
          <t>Invesco Municipal Opportunity Trust</t>
        </is>
      </c>
      <c r="C6893" t="inlineStr">
        <is>
          <t>NYSE</t>
        </is>
      </c>
      <c r="D6893" t="n">
        <v>884152</v>
      </c>
      <c r="E6893" t="inlineStr">
        <is>
          <t>SEC</t>
        </is>
      </c>
    </row>
    <row r="6894">
      <c r="A6894" s="5">
        <f>HYPERLINK("https://finance.yahoo.com/quote/SPY","SPY")</f>
        <v/>
      </c>
      <c r="B6894" t="inlineStr">
        <is>
          <t>SPDR S&amp;P 500 ETF TRUST</t>
        </is>
      </c>
      <c r="C6894" t="inlineStr">
        <is>
          <t>NYSE</t>
        </is>
      </c>
      <c r="D6894" t="n">
        <v>884394</v>
      </c>
      <c r="E6894" t="inlineStr">
        <is>
          <t>SEC</t>
        </is>
      </c>
    </row>
    <row r="6895">
      <c r="A6895" s="5">
        <f>HYPERLINK("https://finance.yahoo.com/quote/IQI","IQI")</f>
        <v/>
      </c>
      <c r="B6895" t="inlineStr">
        <is>
          <t>Invesco Quality Municipal Income Trust</t>
        </is>
      </c>
      <c r="C6895" t="inlineStr">
        <is>
          <t>NYSE</t>
        </is>
      </c>
      <c r="D6895" t="n">
        <v>885125</v>
      </c>
      <c r="E6895" t="inlineStr">
        <is>
          <t>SEC</t>
        </is>
      </c>
    </row>
    <row r="6896">
      <c r="A6896" s="5">
        <f>HYPERLINK("https://finance.yahoo.com/quote/FC","FC")</f>
        <v/>
      </c>
      <c r="B6896" t="inlineStr">
        <is>
          <t>FRANKLIN COVEY CO</t>
        </is>
      </c>
      <c r="C6896" t="inlineStr">
        <is>
          <t>NYSE</t>
        </is>
      </c>
      <c r="D6896" t="n">
        <v>886206</v>
      </c>
      <c r="E6896" t="inlineStr">
        <is>
          <t>SEC</t>
        </is>
      </c>
    </row>
    <row r="6897">
      <c r="A6897" s="5">
        <f>HYPERLINK("https://finance.yahoo.com/quote/CCU","CCU")</f>
        <v/>
      </c>
      <c r="B6897" t="inlineStr">
        <is>
          <t>UNITED BREWERIES CO INC</t>
        </is>
      </c>
      <c r="C6897" t="inlineStr">
        <is>
          <t>NYSE</t>
        </is>
      </c>
      <c r="D6897" t="n">
        <v>888746</v>
      </c>
      <c r="E6897" t="inlineStr">
        <is>
          <t>SEC</t>
        </is>
      </c>
    </row>
    <row r="6898">
      <c r="A6898" s="5">
        <f>HYPERLINK("https://finance.yahoo.com/quote/BLX","BLX")</f>
        <v/>
      </c>
      <c r="B6898" t="inlineStr">
        <is>
          <t>BLADEX, INC.</t>
        </is>
      </c>
      <c r="C6898" t="inlineStr">
        <is>
          <t>NYSE</t>
        </is>
      </c>
      <c r="D6898" t="n">
        <v>890541</v>
      </c>
      <c r="E6898" t="inlineStr">
        <is>
          <t>SEC</t>
        </is>
      </c>
    </row>
    <row r="6899">
      <c r="A6899" s="5">
        <f>HYPERLINK("https://finance.yahoo.com/quote/NAZ","NAZ")</f>
        <v/>
      </c>
      <c r="B6899" t="inlineStr">
        <is>
          <t>NUVEEN ARIZONA QUALITY MUNICIPAL INCOME FUND</t>
        </is>
      </c>
      <c r="C6899" t="inlineStr">
        <is>
          <t>NYSE</t>
        </is>
      </c>
      <c r="D6899" t="n">
        <v>892992</v>
      </c>
      <c r="E6899" t="inlineStr">
        <is>
          <t>SEC</t>
        </is>
      </c>
    </row>
    <row r="6900">
      <c r="A6900" s="5">
        <f>HYPERLINK("https://finance.yahoo.com/quote/VPV","VPV")</f>
        <v/>
      </c>
      <c r="B6900" t="inlineStr">
        <is>
          <t>Invesco Pennsylvania Value Municipal Income Trust</t>
        </is>
      </c>
      <c r="C6900" t="inlineStr">
        <is>
          <t>NYSE</t>
        </is>
      </c>
      <c r="D6900" t="n">
        <v>895528</v>
      </c>
      <c r="E6900" t="inlineStr">
        <is>
          <t>SEC</t>
        </is>
      </c>
    </row>
    <row r="6901">
      <c r="A6901" s="5">
        <f>HYPERLINK("https://finance.yahoo.com/quote/NMT","NMT")</f>
        <v/>
      </c>
      <c r="B6901" t="inlineStr">
        <is>
          <t>NUVEEN MASSACHUSETTS QUALITY MUNICIPAL INCOME FUND</t>
        </is>
      </c>
      <c r="C6901" t="inlineStr">
        <is>
          <t>NYSE</t>
        </is>
      </c>
      <c r="D6901" t="n">
        <v>897419</v>
      </c>
      <c r="E6901" t="inlineStr">
        <is>
          <t>SEC</t>
        </is>
      </c>
    </row>
    <row r="6902">
      <c r="A6902" s="5">
        <f>HYPERLINK("https://finance.yahoo.com/quote/PMO","PMO")</f>
        <v/>
      </c>
      <c r="B6902" t="inlineStr">
        <is>
          <t>FRANKLIN MUNICIPAL OPPORTUNITIES TRUST</t>
        </is>
      </c>
      <c r="C6902" t="inlineStr">
        <is>
          <t>NYSE</t>
        </is>
      </c>
      <c r="D6902" t="n">
        <v>900422</v>
      </c>
      <c r="E6902" t="inlineStr">
        <is>
          <t>SEC</t>
        </is>
      </c>
    </row>
    <row r="6903">
      <c r="A6903" s="5">
        <f>HYPERLINK("https://finance.yahoo.com/quote/HIO","HIO")</f>
        <v/>
      </c>
      <c r="B6903" t="inlineStr">
        <is>
          <t>WESTERN ASSET HIGH INCOME OPPORTUNITY FUND INC.</t>
        </is>
      </c>
      <c r="C6903" t="inlineStr">
        <is>
          <t>NYSE</t>
        </is>
      </c>
      <c r="D6903" t="n">
        <v>910068</v>
      </c>
      <c r="E6903" t="inlineStr">
        <is>
          <t>SEC</t>
        </is>
      </c>
    </row>
    <row r="6904">
      <c r="A6904" s="5">
        <f>HYPERLINK("https://finance.yahoo.com/quote/KOF","KOF")</f>
        <v/>
      </c>
      <c r="B6904" t="inlineStr">
        <is>
          <t>COCA COLA FEMSA SAB DE CV</t>
        </is>
      </c>
      <c r="C6904" t="inlineStr">
        <is>
          <t>NYSE</t>
        </is>
      </c>
      <c r="D6904" t="n">
        <v>910631</v>
      </c>
      <c r="E6904" t="inlineStr">
        <is>
          <t>SEC</t>
        </is>
      </c>
    </row>
    <row r="6905">
      <c r="A6905" s="5">
        <f>HYPERLINK("https://finance.yahoo.com/quote/HNAMY","HNAMY")</f>
        <v/>
      </c>
      <c r="B6905" t="inlineStr">
        <is>
          <t>HANA MICROELECTRONICS PUBLIC CO LTD /ADR/</t>
        </is>
      </c>
      <c r="C6905" t="inlineStr">
        <is>
          <t>OTC</t>
        </is>
      </c>
      <c r="D6905" t="n">
        <v>918658</v>
      </c>
      <c r="E6905" t="inlineStr">
        <is>
          <t>SEC</t>
        </is>
      </c>
    </row>
    <row r="6906">
      <c r="A6906" s="5">
        <f>HYPERLINK("https://finance.yahoo.com/quote/RCG","RCG")</f>
        <v/>
      </c>
      <c r="B6906" t="inlineStr">
        <is>
          <t>RENN Fund, Inc.</t>
        </is>
      </c>
      <c r="C6906" t="inlineStr">
        <is>
          <t>NYSE</t>
        </is>
      </c>
      <c r="D6906" t="n">
        <v>919567</v>
      </c>
      <c r="E6906" t="inlineStr">
        <is>
          <t>SEC</t>
        </is>
      </c>
    </row>
    <row r="6907">
      <c r="A6907" s="5">
        <f>HYPERLINK("https://finance.yahoo.com/quote/DIT","DIT")</f>
        <v/>
      </c>
      <c r="B6907" t="inlineStr">
        <is>
          <t>AMCON DISTRIBUTING CO</t>
        </is>
      </c>
      <c r="C6907" t="inlineStr">
        <is>
          <t>NYSE</t>
        </is>
      </c>
      <c r="D6907" t="n">
        <v>928465</v>
      </c>
      <c r="E6907" t="inlineStr">
        <is>
          <t>SEC</t>
        </is>
      </c>
    </row>
    <row r="6908">
      <c r="A6908" s="5">
        <f>HYPERLINK("https://finance.yahoo.com/quote/VRMK","VRMK")</f>
        <v/>
      </c>
      <c r="B6908" t="inlineStr">
        <is>
          <t>ERP OPERATING LTD PARTNERSHIP</t>
        </is>
      </c>
      <c r="C6908" t="inlineStr"/>
      <c r="D6908" t="n">
        <v>931182</v>
      </c>
      <c r="E6908" t="inlineStr">
        <is>
          <t>SEC</t>
        </is>
      </c>
    </row>
    <row r="6909">
      <c r="A6909" s="5">
        <f>HYPERLINK("https://finance.yahoo.com/quote/TEO","TEO")</f>
        <v/>
      </c>
      <c r="B6909" t="inlineStr">
        <is>
          <t>TELECOM ARGENTINA SA</t>
        </is>
      </c>
      <c r="C6909" t="inlineStr">
        <is>
          <t>NYSE</t>
        </is>
      </c>
      <c r="D6909" t="n">
        <v>932470</v>
      </c>
      <c r="E6909" t="inlineStr">
        <is>
          <t>SEC</t>
        </is>
      </c>
    </row>
    <row r="6910">
      <c r="A6910" s="5">
        <f>HYPERLINK("https://finance.yahoo.com/quote/CYD","CYD")</f>
        <v/>
      </c>
      <c r="B6910" t="inlineStr">
        <is>
          <t>CHINA YUCHAI INTERNATIONAL LTD</t>
        </is>
      </c>
      <c r="C6910" t="inlineStr">
        <is>
          <t>NYSE</t>
        </is>
      </c>
      <c r="D6910" t="n">
        <v>932695</v>
      </c>
      <c r="E6910" t="inlineStr">
        <is>
          <t>SEC</t>
        </is>
      </c>
    </row>
    <row r="6911">
      <c r="A6911" s="5">
        <f>HYPERLINK("https://finance.yahoo.com/quote/MDY","MDY")</f>
        <v/>
      </c>
      <c r="B6911" t="inlineStr">
        <is>
          <t>SPDR S&amp;P MIDCAP 400 ETF TRUST</t>
        </is>
      </c>
      <c r="C6911" t="inlineStr">
        <is>
          <t>NYSE</t>
        </is>
      </c>
      <c r="D6911" t="n">
        <v>936958</v>
      </c>
      <c r="E6911" t="inlineStr">
        <is>
          <t>SEC</t>
        </is>
      </c>
    </row>
    <row r="6912">
      <c r="A6912" s="5">
        <f>HYPERLINK("https://finance.yahoo.com/quote/ICL","ICL")</f>
        <v/>
      </c>
      <c r="B6912" t="inlineStr">
        <is>
          <t>ICL Group Ltd.</t>
        </is>
      </c>
      <c r="C6912" t="inlineStr">
        <is>
          <t>NYSE</t>
        </is>
      </c>
      <c r="D6912" t="n">
        <v>941221</v>
      </c>
      <c r="E6912" t="inlineStr">
        <is>
          <t>SEC</t>
        </is>
      </c>
    </row>
    <row r="6913">
      <c r="A6913" s="5">
        <f>HYPERLINK("https://finance.yahoo.com/quote/MSM","MSM")</f>
        <v/>
      </c>
      <c r="B6913" t="inlineStr">
        <is>
          <t>MSC INDUSTRIAL DIRECT CO INC</t>
        </is>
      </c>
      <c r="C6913" t="inlineStr">
        <is>
          <t>NYSE</t>
        </is>
      </c>
      <c r="D6913" t="n">
        <v>1003078</v>
      </c>
      <c r="E6913" t="inlineStr">
        <is>
          <t>SEC</t>
        </is>
      </c>
    </row>
    <row r="6914">
      <c r="A6914" s="5">
        <f>HYPERLINK("https://finance.yahoo.com/quote/IVHI","IVHI")</f>
        <v/>
      </c>
      <c r="B6914" t="inlineStr">
        <is>
          <t>Invech Holdings, Inc.</t>
        </is>
      </c>
      <c r="C6914" t="inlineStr">
        <is>
          <t>OTC</t>
        </is>
      </c>
      <c r="D6914" t="n">
        <v>1009919</v>
      </c>
      <c r="E6914" t="inlineStr">
        <is>
          <t>SEC</t>
        </is>
      </c>
    </row>
    <row r="6915">
      <c r="A6915" s="5">
        <f>HYPERLINK("https://finance.yahoo.com/quote/DIA","DIA")</f>
        <v/>
      </c>
      <c r="B6915" t="inlineStr">
        <is>
          <t>SPDR DOW JONES INDUSTRIAL AVERAGE ETF TRUST</t>
        </is>
      </c>
      <c r="C6915" t="inlineStr">
        <is>
          <t>NYSE</t>
        </is>
      </c>
      <c r="D6915" t="n">
        <v>1041130</v>
      </c>
      <c r="E6915" t="inlineStr">
        <is>
          <t>SEC</t>
        </is>
      </c>
    </row>
    <row r="6916">
      <c r="A6916" s="5">
        <f>HYPERLINK("https://finance.yahoo.com/quote/TSM","TSM")</f>
        <v/>
      </c>
      <c r="B6916" t="inlineStr">
        <is>
          <t>TAIWAN SEMICONDUCTOR MANUFACTURING CO LTD</t>
        </is>
      </c>
      <c r="C6916" t="inlineStr">
        <is>
          <t>NYSE</t>
        </is>
      </c>
      <c r="D6916" t="n">
        <v>1046179</v>
      </c>
      <c r="E6916" t="inlineStr">
        <is>
          <t>SEC</t>
        </is>
      </c>
    </row>
    <row r="6917">
      <c r="A6917" s="5">
        <f>HYPERLINK("https://finance.yahoo.com/quote/LTM","LTM")</f>
        <v/>
      </c>
      <c r="B6917" t="inlineStr">
        <is>
          <t>LATAM AIRLINES GROUP S.A.</t>
        </is>
      </c>
      <c r="C6917" t="inlineStr">
        <is>
          <t>NYSE</t>
        </is>
      </c>
      <c r="D6917" t="n">
        <v>1047716</v>
      </c>
      <c r="E6917" t="inlineStr">
        <is>
          <t>SEC</t>
        </is>
      </c>
    </row>
    <row r="6918">
      <c r="A6918" s="5">
        <f>HYPERLINK("https://finance.yahoo.com/quote/MADL","MADL")</f>
        <v/>
      </c>
      <c r="B6918" t="inlineStr">
        <is>
          <t>MAN AHL DIVERSIFIED I LP</t>
        </is>
      </c>
      <c r="C6918" t="inlineStr"/>
      <c r="D6918" t="n">
        <v>1052354</v>
      </c>
      <c r="E6918" t="inlineStr">
        <is>
          <t>SEC</t>
        </is>
      </c>
    </row>
    <row r="6919">
      <c r="A6919" s="5">
        <f>HYPERLINK("https://finance.yahoo.com/quote/MUJ","MUJ")</f>
        <v/>
      </c>
      <c r="B6919" t="inlineStr">
        <is>
          <t>BLACKROCK MUNIHOLDINGS NEW JERSEY QUALITY FUND, INC.</t>
        </is>
      </c>
      <c r="C6919" t="inlineStr">
        <is>
          <t>NYSE</t>
        </is>
      </c>
      <c r="D6919" t="n">
        <v>1053988</v>
      </c>
      <c r="E6919" t="inlineStr">
        <is>
          <t>SEC</t>
        </is>
      </c>
    </row>
    <row r="6920">
      <c r="A6920" s="5">
        <f>HYPERLINK("https://finance.yahoo.com/quote/GBC","GBC")</f>
        <v/>
      </c>
      <c r="B6920" t="inlineStr">
        <is>
          <t>GEORGIA BANKING CO INC</t>
        </is>
      </c>
      <c r="C6920" t="inlineStr"/>
      <c r="D6920" t="n">
        <v>1070965</v>
      </c>
      <c r="E6920" t="inlineStr">
        <is>
          <t>SEC</t>
        </is>
      </c>
    </row>
    <row r="6921">
      <c r="A6921" s="5">
        <f>HYPERLINK("https://finance.yahoo.com/quote/NAC","NAC")</f>
        <v/>
      </c>
      <c r="B6921" t="inlineStr">
        <is>
          <t>Nuveen California Quality Municipal Income Fund</t>
        </is>
      </c>
      <c r="C6921" t="inlineStr">
        <is>
          <t>NYSE</t>
        </is>
      </c>
      <c r="D6921" t="n">
        <v>1074952</v>
      </c>
      <c r="E6921" t="inlineStr">
        <is>
          <t>SEC</t>
        </is>
      </c>
    </row>
    <row r="6922">
      <c r="A6922" s="5">
        <f>HYPERLINK("https://finance.yahoo.com/quote/SVA","SVA")</f>
        <v/>
      </c>
      <c r="B6922" t="inlineStr">
        <is>
          <t>SINOVAC BIOTECH LTD</t>
        </is>
      </c>
      <c r="C6922" t="inlineStr">
        <is>
          <t>Nasdaq</t>
        </is>
      </c>
      <c r="D6922" t="n">
        <v>1084201</v>
      </c>
      <c r="E6922" t="inlineStr">
        <is>
          <t>SEC</t>
        </is>
      </c>
    </row>
    <row r="6923">
      <c r="A6923" s="5">
        <f>HYPERLINK("https://finance.yahoo.com/quote/ARL","ARL")</f>
        <v/>
      </c>
      <c r="B6923" t="inlineStr">
        <is>
          <t>AMERICAN REALTY INVESTORS INC</t>
        </is>
      </c>
      <c r="C6923" t="inlineStr">
        <is>
          <t>NYSE</t>
        </is>
      </c>
      <c r="D6923" t="n">
        <v>1102238</v>
      </c>
      <c r="E6923" t="inlineStr">
        <is>
          <t>SEC</t>
        </is>
      </c>
    </row>
    <row r="6924">
      <c r="A6924" s="5">
        <f>HYPERLINK("https://finance.yahoo.com/quote/ASR","ASR")</f>
        <v/>
      </c>
      <c r="B6924" t="inlineStr">
        <is>
          <t>SOUTHEAST AIRPORT GROUP</t>
        </is>
      </c>
      <c r="C6924" t="inlineStr">
        <is>
          <t>NYSE</t>
        </is>
      </c>
      <c r="D6924" t="n">
        <v>1123452</v>
      </c>
      <c r="E6924" t="inlineStr">
        <is>
          <t>SEC</t>
        </is>
      </c>
    </row>
    <row r="6925">
      <c r="A6925" s="5">
        <f>HYPERLINK("https://finance.yahoo.com/quote/XSIAX","XSIAX")</f>
        <v/>
      </c>
      <c r="B6925" t="inlineStr">
        <is>
          <t>VOYA CREDIT INCOME FUND</t>
        </is>
      </c>
      <c r="C6925" t="inlineStr"/>
      <c r="D6925" t="n">
        <v>1124959</v>
      </c>
      <c r="E6925" t="inlineStr">
        <is>
          <t>SEC</t>
        </is>
      </c>
    </row>
    <row r="6926">
      <c r="A6926" s="5">
        <f>HYPERLINK("https://finance.yahoo.com/quote/THM","THM")</f>
        <v/>
      </c>
      <c r="B6926" t="inlineStr">
        <is>
          <t>INTERNATIONAL TOWER HILL MINES LTD</t>
        </is>
      </c>
      <c r="C6926" t="inlineStr">
        <is>
          <t>NYSE</t>
        </is>
      </c>
      <c r="D6926" t="n">
        <v>1134115</v>
      </c>
      <c r="E6926" t="inlineStr">
        <is>
          <t>SEC</t>
        </is>
      </c>
    </row>
    <row r="6927">
      <c r="A6927" s="5">
        <f>HYPERLINK("https://finance.yahoo.com/quote/PCQ","PCQ")</f>
        <v/>
      </c>
      <c r="B6927" t="inlineStr">
        <is>
          <t>PIMCO CALIFORNIA MUNICIPAL INCOME FUND</t>
        </is>
      </c>
      <c r="C6927" t="inlineStr">
        <is>
          <t>NYSE</t>
        </is>
      </c>
      <c r="D6927" t="n">
        <v>1140411</v>
      </c>
      <c r="E6927" t="inlineStr">
        <is>
          <t>SEC</t>
        </is>
      </c>
    </row>
    <row r="6928">
      <c r="A6928" s="5">
        <f>HYPERLINK("https://finance.yahoo.com/quote/JRS","JRS")</f>
        <v/>
      </c>
      <c r="B6928" t="inlineStr">
        <is>
          <t>NUVEEN REAL ESTATE INCOME FUND</t>
        </is>
      </c>
      <c r="C6928" t="inlineStr">
        <is>
          <t>NYSE</t>
        </is>
      </c>
      <c r="D6928" t="n">
        <v>1158289</v>
      </c>
      <c r="E6928" t="inlineStr">
        <is>
          <t>SEC</t>
        </is>
      </c>
    </row>
    <row r="6929">
      <c r="A6929" s="5">
        <f>HYPERLINK("https://finance.yahoo.com/quote/BHK","BHK")</f>
        <v/>
      </c>
      <c r="B6929" t="inlineStr">
        <is>
          <t>BLACKROCK CORE BOND TRUST</t>
        </is>
      </c>
      <c r="C6929" t="inlineStr">
        <is>
          <t>NYSE</t>
        </is>
      </c>
      <c r="D6929" t="n">
        <v>1160864</v>
      </c>
      <c r="E6929" t="inlineStr">
        <is>
          <t>SEC</t>
        </is>
      </c>
    </row>
    <row r="6930">
      <c r="A6930" s="5">
        <f>HYPERLINK("https://finance.yahoo.com/quote/AFB","AFB")</f>
        <v/>
      </c>
      <c r="B6930" t="inlineStr">
        <is>
          <t>ALLIANCEBERNSTEIN NATIONAL MUNICIPAL INCOME FUND</t>
        </is>
      </c>
      <c r="C6930" t="inlineStr">
        <is>
          <t>NYSE</t>
        </is>
      </c>
      <c r="D6930" t="n">
        <v>1162027</v>
      </c>
      <c r="E6930" t="inlineStr">
        <is>
          <t>SEC</t>
        </is>
      </c>
    </row>
    <row r="6931">
      <c r="A6931" s="5">
        <f>HYPERLINK("https://finance.yahoo.com/quote/SDSYA","SDSYA")</f>
        <v/>
      </c>
      <c r="B6931" t="inlineStr">
        <is>
          <t>SOUTH DAKOTA SOYBEAN PROCESSORS LLC</t>
        </is>
      </c>
      <c r="C6931" t="inlineStr">
        <is>
          <t>OTC</t>
        </is>
      </c>
      <c r="D6931" t="n">
        <v>1163609</v>
      </c>
      <c r="E6931" t="inlineStr">
        <is>
          <t>SEC</t>
        </is>
      </c>
    </row>
    <row r="6932">
      <c r="A6932" s="5">
        <f>HYPERLINK("https://finance.yahoo.com/quote/WEA","WEA")</f>
        <v/>
      </c>
      <c r="B6932" t="inlineStr">
        <is>
          <t>WESTERN ASSET PREMIER BOND FUND</t>
        </is>
      </c>
      <c r="C6932" t="inlineStr">
        <is>
          <t>NYSE</t>
        </is>
      </c>
      <c r="D6932" t="n">
        <v>1163792</v>
      </c>
      <c r="E6932" t="inlineStr">
        <is>
          <t>SEC</t>
        </is>
      </c>
    </row>
    <row r="6933">
      <c r="A6933" s="5">
        <f>HYPERLINK("https://finance.yahoo.com/quote/BHV","BHV")</f>
        <v/>
      </c>
      <c r="B6933" t="inlineStr">
        <is>
          <t>BLACKROCK VIRGINIA MUNICIPAL BOND TRUST</t>
        </is>
      </c>
      <c r="C6933" t="inlineStr">
        <is>
          <t>NYSE</t>
        </is>
      </c>
      <c r="D6933" t="n">
        <v>1169034</v>
      </c>
      <c r="E6933" t="inlineStr">
        <is>
          <t>SEC</t>
        </is>
      </c>
    </row>
    <row r="6934">
      <c r="A6934" s="5">
        <f>HYPERLINK("https://finance.yahoo.com/quote/NRP","NRP")</f>
        <v/>
      </c>
      <c r="B6934" t="inlineStr">
        <is>
          <t>NATURAL RESOURCE PARTNERS LP</t>
        </is>
      </c>
      <c r="C6934" t="inlineStr">
        <is>
          <t>NYSE</t>
        </is>
      </c>
      <c r="D6934" t="n">
        <v>1171486</v>
      </c>
      <c r="E6934" t="inlineStr">
        <is>
          <t>SEC</t>
        </is>
      </c>
    </row>
    <row r="6935">
      <c r="A6935" s="5">
        <f>HYPERLINK("https://finance.yahoo.com/quote/AEBMY","AEBMY")</f>
        <v/>
      </c>
      <c r="B6935" t="inlineStr">
        <is>
          <t>ANADOLU EFES BIRACILIK VE MALT SANAYI A S/ADR</t>
        </is>
      </c>
      <c r="C6935" t="inlineStr">
        <is>
          <t>OTC</t>
        </is>
      </c>
      <c r="D6935" t="n">
        <v>1174511</v>
      </c>
      <c r="E6935" t="inlineStr">
        <is>
          <t>SEC</t>
        </is>
      </c>
    </row>
    <row r="6936">
      <c r="A6936" s="5">
        <f>HYPERLINK("https://finance.yahoo.com/quote/NBH","NBH")</f>
        <v/>
      </c>
      <c r="B6936" t="inlineStr">
        <is>
          <t>NEUBERGER MUNICIPAL FUND INC.</t>
        </is>
      </c>
      <c r="C6936" t="inlineStr">
        <is>
          <t>NYSE</t>
        </is>
      </c>
      <c r="D6936" t="n">
        <v>1178839</v>
      </c>
      <c r="E6936" t="inlineStr">
        <is>
          <t>SEC</t>
        </is>
      </c>
    </row>
    <row r="6937">
      <c r="A6937" s="5">
        <f>HYPERLINK("https://finance.yahoo.com/quote/SPCX","SPCX")</f>
        <v/>
      </c>
      <c r="B6937" t="inlineStr">
        <is>
          <t>SPACE EXPLORATION TECHNOLOGIES CORP</t>
        </is>
      </c>
      <c r="C6937" t="inlineStr">
        <is>
          <t>Nasdaq</t>
        </is>
      </c>
      <c r="D6937" t="n">
        <v>1181412</v>
      </c>
      <c r="E6937" t="inlineStr">
        <is>
          <t>SEC</t>
        </is>
      </c>
    </row>
    <row r="6938">
      <c r="A6938" s="5">
        <f>HYPERLINK("https://finance.yahoo.com/quote/NCV","NCV")</f>
        <v/>
      </c>
      <c r="B6938" t="inlineStr">
        <is>
          <t>Virtus Convertible &amp; Income Fund</t>
        </is>
      </c>
      <c r="C6938" t="inlineStr">
        <is>
          <t>NYSE</t>
        </is>
      </c>
      <c r="D6938" t="n">
        <v>1214935</v>
      </c>
      <c r="E6938" t="inlineStr">
        <is>
          <t>SEC</t>
        </is>
      </c>
    </row>
    <row r="6939">
      <c r="A6939" s="5">
        <f>HYPERLINK("https://finance.yahoo.com/quote/AVK","AVK")</f>
        <v/>
      </c>
      <c r="B6939" t="inlineStr">
        <is>
          <t>ADVENT CONVERTIBLE &amp; INCOME FUND</t>
        </is>
      </c>
      <c r="C6939" t="inlineStr">
        <is>
          <t>NYSE</t>
        </is>
      </c>
      <c r="D6939" t="n">
        <v>1219120</v>
      </c>
      <c r="E6939" t="inlineStr">
        <is>
          <t>SEC</t>
        </is>
      </c>
    </row>
    <row r="6940">
      <c r="A6940" s="5">
        <f>HYPERLINK("https://finance.yahoo.com/quote/GLD","GLD")</f>
        <v/>
      </c>
      <c r="B6940" t="inlineStr">
        <is>
          <t>SPDR GOLD TRUST</t>
        </is>
      </c>
      <c r="C6940" t="inlineStr">
        <is>
          <t>NYSE</t>
        </is>
      </c>
      <c r="D6940" t="n">
        <v>1222333</v>
      </c>
      <c r="E6940" t="inlineStr">
        <is>
          <t>SEC</t>
        </is>
      </c>
    </row>
    <row r="6941">
      <c r="A6941" s="5">
        <f>HYPERLINK("https://finance.yahoo.com/quote/EVV","EVV")</f>
        <v/>
      </c>
      <c r="B6941" t="inlineStr">
        <is>
          <t>Eaton Vance Ltd Duration Income Fund</t>
        </is>
      </c>
      <c r="C6941" t="inlineStr">
        <is>
          <t>NYSE</t>
        </is>
      </c>
      <c r="D6941" t="n">
        <v>1222922</v>
      </c>
      <c r="E6941" t="inlineStr">
        <is>
          <t>SEC</t>
        </is>
      </c>
    </row>
    <row r="6942">
      <c r="A6942" s="5">
        <f>HYPERLINK("https://finance.yahoo.com/quote/JQC","JQC")</f>
        <v/>
      </c>
      <c r="B6942" t="inlineStr">
        <is>
          <t>Nuveen Credit Strategies Income Fund</t>
        </is>
      </c>
      <c r="C6942" t="inlineStr">
        <is>
          <t>NYSE</t>
        </is>
      </c>
      <c r="D6942" t="n">
        <v>1227476</v>
      </c>
      <c r="E6942" t="inlineStr">
        <is>
          <t>SEC</t>
        </is>
      </c>
    </row>
    <row r="6943">
      <c r="A6943" s="5">
        <f>HYPERLINK("https://finance.yahoo.com/quote/EMD","EMD")</f>
        <v/>
      </c>
      <c r="B6943" t="inlineStr">
        <is>
          <t>WESTERN ASSET EMERGING MARKETS DEBT FUND INC.</t>
        </is>
      </c>
      <c r="C6943" t="inlineStr">
        <is>
          <t>NYSE</t>
        </is>
      </c>
      <c r="D6943" t="n">
        <v>1227862</v>
      </c>
      <c r="E6943" t="inlineStr">
        <is>
          <t>SEC</t>
        </is>
      </c>
    </row>
    <row r="6944">
      <c r="A6944" s="5">
        <f>HYPERLINK("https://finance.yahoo.com/quote/FTF","FTF")</f>
        <v/>
      </c>
      <c r="B6944" t="inlineStr">
        <is>
          <t>FRANKLIN LTD DURATION INCOME TRUST</t>
        </is>
      </c>
      <c r="C6944" t="inlineStr">
        <is>
          <t>NYSE</t>
        </is>
      </c>
      <c r="D6944" t="n">
        <v>1233087</v>
      </c>
      <c r="E6944" t="inlineStr">
        <is>
          <t>SEC</t>
        </is>
      </c>
    </row>
    <row r="6945">
      <c r="A6945" s="5">
        <f>HYPERLINK("https://finance.yahoo.com/quote/FRA","FRA")</f>
        <v/>
      </c>
      <c r="B6945" t="inlineStr">
        <is>
          <t>BLACKROCK FLOATING RATE INCOME STRATEGIES FUND, INC.</t>
        </is>
      </c>
      <c r="C6945" t="inlineStr">
        <is>
          <t>NYSE</t>
        </is>
      </c>
      <c r="D6945" t="n">
        <v>1259708</v>
      </c>
      <c r="E6945" t="inlineStr">
        <is>
          <t>SEC</t>
        </is>
      </c>
    </row>
    <row r="6946">
      <c r="A6946" s="5">
        <f>HYPERLINK("https://finance.yahoo.com/quote/IPB","IPB")</f>
        <v/>
      </c>
      <c r="B6946" t="inlineStr">
        <is>
          <t>MERRILL LYNCH DEPOSITOR INC INDEXPLUS TRUST SERIES 2003-1</t>
        </is>
      </c>
      <c r="C6946" t="inlineStr">
        <is>
          <t>NYSE</t>
        </is>
      </c>
      <c r="D6946" t="n">
        <v>1267332</v>
      </c>
      <c r="E6946" t="inlineStr">
        <is>
          <t>SEC</t>
        </is>
      </c>
    </row>
    <row r="6947">
      <c r="A6947" s="5">
        <f>HYPERLINK("https://finance.yahoo.com/quote/WIW","WIW")</f>
        <v/>
      </c>
      <c r="B6947" t="inlineStr">
        <is>
          <t>WESTERN ASSET INFLATION-LINKED OPPORTUNITIES &amp; INCOME FUND</t>
        </is>
      </c>
      <c r="C6947" t="inlineStr">
        <is>
          <t>NYSE</t>
        </is>
      </c>
      <c r="D6947" t="n">
        <v>1267902</v>
      </c>
      <c r="E6947" t="inlineStr">
        <is>
          <t>SEC</t>
        </is>
      </c>
    </row>
    <row r="6948">
      <c r="A6948" s="5">
        <f>HYPERLINK("https://finance.yahoo.com/quote/UTF","UTF")</f>
        <v/>
      </c>
      <c r="B6948" t="inlineStr">
        <is>
          <t>COHEN &amp; STEERS INFRASTRUCTURE FUND INC</t>
        </is>
      </c>
      <c r="C6948" t="inlineStr">
        <is>
          <t>NYSE</t>
        </is>
      </c>
      <c r="D6948" t="n">
        <v>1275617</v>
      </c>
      <c r="E6948" t="inlineStr">
        <is>
          <t>SEC</t>
        </is>
      </c>
    </row>
    <row r="6949">
      <c r="A6949" s="5">
        <f>HYPERLINK("https://finance.yahoo.com/quote/JFR","JFR")</f>
        <v/>
      </c>
      <c r="B6949" t="inlineStr">
        <is>
          <t>NUVEEN FLOATING RATE INCOME FUND</t>
        </is>
      </c>
      <c r="C6949" t="inlineStr">
        <is>
          <t>NYSE</t>
        </is>
      </c>
      <c r="D6949" t="n">
        <v>1276533</v>
      </c>
      <c r="E6949" t="inlineStr">
        <is>
          <t>SEC</t>
        </is>
      </c>
    </row>
    <row r="6950">
      <c r="A6950" s="5">
        <f>HYPERLINK("https://finance.yahoo.com/quote/IAU","IAU")</f>
        <v/>
      </c>
      <c r="B6950" t="inlineStr">
        <is>
          <t>ISHARES GOLD TRUST</t>
        </is>
      </c>
      <c r="C6950" t="inlineStr">
        <is>
          <t>NYSE</t>
        </is>
      </c>
      <c r="D6950" t="n">
        <v>1278680</v>
      </c>
      <c r="E6950" t="inlineStr">
        <is>
          <t>SEC</t>
        </is>
      </c>
    </row>
    <row r="6951">
      <c r="A6951" s="5">
        <f>HYPERLINK("https://finance.yahoo.com/quote/ERH","ERH")</f>
        <v/>
      </c>
      <c r="B6951" t="inlineStr">
        <is>
          <t>ALLSPRING UTILITIES &amp; HIGH INCOME FUND</t>
        </is>
      </c>
      <c r="C6951" t="inlineStr">
        <is>
          <t>NYSE</t>
        </is>
      </c>
      <c r="D6951" t="n">
        <v>1279014</v>
      </c>
      <c r="E6951" t="inlineStr">
        <is>
          <t>SEC</t>
        </is>
      </c>
    </row>
    <row r="6952">
      <c r="A6952" s="5">
        <f>HYPERLINK("https://finance.yahoo.com/quote/FCT","FCT")</f>
        <v/>
      </c>
      <c r="B6952" t="inlineStr">
        <is>
          <t>FIRST TRUST SENIOR FLOATING RATE INCOME FUND II</t>
        </is>
      </c>
      <c r="C6952" t="inlineStr"/>
      <c r="D6952" t="n">
        <v>1282850</v>
      </c>
      <c r="E6952" t="inlineStr">
        <is>
          <t>SEC</t>
        </is>
      </c>
    </row>
    <row r="6953">
      <c r="A6953" s="5">
        <f>HYPERLINK("https://finance.yahoo.com/quote/KTN","KTN")</f>
        <v/>
      </c>
      <c r="B6953" t="inlineStr">
        <is>
          <t>STRUCTURED PRODUCTS CORP CRED ENHANCE CORTS TR FOR AON CAP A</t>
        </is>
      </c>
      <c r="C6953" t="inlineStr">
        <is>
          <t>NYSE</t>
        </is>
      </c>
      <c r="D6953" t="n">
        <v>1283337</v>
      </c>
      <c r="E6953" t="inlineStr">
        <is>
          <t>SEC</t>
        </is>
      </c>
    </row>
    <row r="6954">
      <c r="A6954" s="5">
        <f>HYPERLINK("https://finance.yahoo.com/quote/KTH","KTH")</f>
        <v/>
      </c>
      <c r="B6954" t="inlineStr">
        <is>
          <t>STRUCTURED PRODUCTS CORP CORTS TR FOR PECO ENERGY CAP TR III</t>
        </is>
      </c>
      <c r="C6954" t="inlineStr">
        <is>
          <t>NYSE</t>
        </is>
      </c>
      <c r="D6954" t="n">
        <v>1283464</v>
      </c>
      <c r="E6954" t="inlineStr">
        <is>
          <t>SEC</t>
        </is>
      </c>
    </row>
    <row r="6955">
      <c r="A6955" s="5">
        <f>HYPERLINK("https://finance.yahoo.com/quote/JBK","JBK")</f>
        <v/>
      </c>
      <c r="B6955" t="inlineStr">
        <is>
          <t>LEHMAN ABS CORP GOLDMAN SACHS CAP 1 SEC BACKED SER 2004-6</t>
        </is>
      </c>
      <c r="C6955" t="inlineStr">
        <is>
          <t>NYSE</t>
        </is>
      </c>
      <c r="D6955" t="n">
        <v>1284143</v>
      </c>
      <c r="E6955" t="inlineStr">
        <is>
          <t>SEC</t>
        </is>
      </c>
    </row>
    <row r="6956">
      <c r="A6956" s="5">
        <f>HYPERLINK("https://finance.yahoo.com/quote/GJH","GJH")</f>
        <v/>
      </c>
      <c r="B6956" t="inlineStr">
        <is>
          <t>STRATS SM TRUST FOR U S CELL CORP SEC SERIES 2004 6</t>
        </is>
      </c>
      <c r="C6956" t="inlineStr">
        <is>
          <t>NYSE</t>
        </is>
      </c>
      <c r="D6956" t="n">
        <v>1286405</v>
      </c>
      <c r="E6956" t="inlineStr">
        <is>
          <t>SEC</t>
        </is>
      </c>
    </row>
    <row r="6957">
      <c r="A6957" s="5">
        <f>HYPERLINK("https://finance.yahoo.com/quote/EVG","EVG")</f>
        <v/>
      </c>
      <c r="B6957" t="inlineStr">
        <is>
          <t>Eaton Vance Short Duration Diversified Income Fund</t>
        </is>
      </c>
      <c r="C6957" t="inlineStr">
        <is>
          <t>NYSE</t>
        </is>
      </c>
      <c r="D6957" t="n">
        <v>1287498</v>
      </c>
      <c r="E6957" t="inlineStr">
        <is>
          <t>SEC</t>
        </is>
      </c>
    </row>
    <row r="6958">
      <c r="A6958" s="5">
        <f>HYPERLINK("https://finance.yahoo.com/quote/EFT","EFT")</f>
        <v/>
      </c>
      <c r="B6958" t="inlineStr">
        <is>
          <t>Eaton Vance Floating-Rate Income Trust</t>
        </is>
      </c>
      <c r="C6958" t="inlineStr">
        <is>
          <t>NYSE</t>
        </is>
      </c>
      <c r="D6958" t="n">
        <v>1288992</v>
      </c>
      <c r="E6958" t="inlineStr">
        <is>
          <t>SEC</t>
        </is>
      </c>
    </row>
    <row r="6959">
      <c r="A6959" s="5">
        <f>HYPERLINK("https://finance.yahoo.com/quote/PYT","PYT")</f>
        <v/>
      </c>
      <c r="B6959" t="inlineStr">
        <is>
          <t>PPLUS Trust Series GSC-2</t>
        </is>
      </c>
      <c r="C6959" t="inlineStr">
        <is>
          <t>NYSE</t>
        </is>
      </c>
      <c r="D6959" t="n">
        <v>1294808</v>
      </c>
      <c r="E6959" t="inlineStr">
        <is>
          <t>SEC</t>
        </is>
      </c>
    </row>
    <row r="6960">
      <c r="A6960" s="5">
        <f>HYPERLINK("https://finance.yahoo.com/quote/GGN","GGN")</f>
        <v/>
      </c>
      <c r="B6960" t="inlineStr">
        <is>
          <t>GAMCO Global Gold, Natural Resources &amp; Income Trust</t>
        </is>
      </c>
      <c r="C6960" t="inlineStr">
        <is>
          <t>NYSE</t>
        </is>
      </c>
      <c r="D6960" t="n">
        <v>1313510</v>
      </c>
      <c r="E6960" t="inlineStr">
        <is>
          <t>SEC</t>
        </is>
      </c>
    </row>
    <row r="6961">
      <c r="A6961" s="5">
        <f>HYPERLINK("https://finance.yahoo.com/quote/BME","BME")</f>
        <v/>
      </c>
      <c r="B6961" t="inlineStr">
        <is>
          <t>BlackRock Health Sciences Trust</t>
        </is>
      </c>
      <c r="C6961" t="inlineStr">
        <is>
          <t>NYSE</t>
        </is>
      </c>
      <c r="D6961" t="n">
        <v>1314966</v>
      </c>
      <c r="E6961" t="inlineStr">
        <is>
          <t>SEC</t>
        </is>
      </c>
    </row>
    <row r="6962">
      <c r="A6962" s="5">
        <f>HYPERLINK("https://finance.yahoo.com/quote/GLQ","GLQ")</f>
        <v/>
      </c>
      <c r="B6962" t="inlineStr">
        <is>
          <t>Clough Global Equity Fund</t>
        </is>
      </c>
      <c r="C6962" t="inlineStr">
        <is>
          <t>NYSE</t>
        </is>
      </c>
      <c r="D6962" t="n">
        <v>1316463</v>
      </c>
      <c r="E6962" t="inlineStr">
        <is>
          <t>SEC</t>
        </is>
      </c>
    </row>
    <row r="6963">
      <c r="A6963" s="5">
        <f>HYPERLINK("https://finance.yahoo.com/quote/KRYCY","KRYCY")</f>
        <v/>
      </c>
      <c r="B6963" t="inlineStr">
        <is>
          <t>KORYX COPPER INC.</t>
        </is>
      </c>
      <c r="C6963" t="inlineStr">
        <is>
          <t>OTC</t>
        </is>
      </c>
      <c r="D6963" t="n">
        <v>1318596</v>
      </c>
      <c r="E6963" t="inlineStr">
        <is>
          <t>SEC</t>
        </is>
      </c>
    </row>
    <row r="6964">
      <c r="A6964" s="5">
        <f>HYPERLINK("https://finance.yahoo.com/quote/BOE","BOE")</f>
        <v/>
      </c>
      <c r="B6964" t="inlineStr">
        <is>
          <t>BlackRock Enhanced Global Dividend Trust</t>
        </is>
      </c>
      <c r="C6964" t="inlineStr">
        <is>
          <t>NYSE</t>
        </is>
      </c>
      <c r="D6964" t="n">
        <v>1320375</v>
      </c>
      <c r="E6964" t="inlineStr">
        <is>
          <t>SEC</t>
        </is>
      </c>
    </row>
    <row r="6965">
      <c r="A6965" s="5">
        <f>HYPERLINK("https://finance.yahoo.com/quote/GAIN","GAIN")</f>
        <v/>
      </c>
      <c r="B6965" t="inlineStr">
        <is>
          <t>GLADSTONE INVESTMENT CORPORATIONDE</t>
        </is>
      </c>
      <c r="C6965" t="inlineStr">
        <is>
          <t>Nasdaq</t>
        </is>
      </c>
      <c r="D6965" t="n">
        <v>1321741</v>
      </c>
      <c r="E6965" t="inlineStr">
        <is>
          <t>SEC</t>
        </is>
      </c>
    </row>
    <row r="6966">
      <c r="A6966" s="5">
        <f>HYPERLINK("https://finance.yahoo.com/quote/USO","USO")</f>
        <v/>
      </c>
      <c r="B6966" t="inlineStr">
        <is>
          <t>United States Oil Fund, LP</t>
        </is>
      </c>
      <c r="C6966" t="inlineStr">
        <is>
          <t>NYSE</t>
        </is>
      </c>
      <c r="D6966" t="n">
        <v>1327068</v>
      </c>
      <c r="E6966" t="inlineStr">
        <is>
          <t>SEC</t>
        </is>
      </c>
    </row>
    <row r="6967">
      <c r="A6967" s="5">
        <f>HYPERLINK("https://finance.yahoo.com/quote/DBC","DBC")</f>
        <v/>
      </c>
      <c r="B6967" t="inlineStr">
        <is>
          <t>Invesco DB Commodity Index Tracking Fund</t>
        </is>
      </c>
      <c r="C6967" t="inlineStr">
        <is>
          <t>NYSE</t>
        </is>
      </c>
      <c r="D6967" t="n">
        <v>1328237</v>
      </c>
      <c r="E6967" t="inlineStr">
        <is>
          <t>SEC</t>
        </is>
      </c>
    </row>
    <row r="6968">
      <c r="A6968" s="5">
        <f>HYPERLINK("https://finance.yahoo.com/quote/FXE","FXE")</f>
        <v/>
      </c>
      <c r="B6968" t="inlineStr">
        <is>
          <t>Invesco CurrencyShares Euro Trust</t>
        </is>
      </c>
      <c r="C6968" t="inlineStr">
        <is>
          <t>NYSE</t>
        </is>
      </c>
      <c r="D6968" t="n">
        <v>1328598</v>
      </c>
      <c r="E6968" t="inlineStr">
        <is>
          <t>SEC</t>
        </is>
      </c>
    </row>
    <row r="6969">
      <c r="A6969" s="5">
        <f>HYPERLINK("https://finance.yahoo.com/quote/SLV","SLV")</f>
        <v/>
      </c>
      <c r="B6969" t="inlineStr">
        <is>
          <t>iShares Silver Trust</t>
        </is>
      </c>
      <c r="C6969" t="inlineStr">
        <is>
          <t>NYSE</t>
        </is>
      </c>
      <c r="D6969" t="n">
        <v>1330568</v>
      </c>
      <c r="E6969" t="inlineStr">
        <is>
          <t>SEC</t>
        </is>
      </c>
    </row>
    <row r="6970">
      <c r="A6970" s="5">
        <f>HYPERLINK("https://finance.yahoo.com/quote/GSG","GSG")</f>
        <v/>
      </c>
      <c r="B6970" t="inlineStr">
        <is>
          <t>iShares S&amp;P GSCI Commodity-Indexed Trust</t>
        </is>
      </c>
      <c r="C6970" t="inlineStr">
        <is>
          <t>NYSE</t>
        </is>
      </c>
      <c r="D6970" t="n">
        <v>1332174</v>
      </c>
      <c r="E6970" t="inlineStr">
        <is>
          <t>SEC</t>
        </is>
      </c>
    </row>
    <row r="6971">
      <c r="A6971" s="5">
        <f>HYPERLINK("https://finance.yahoo.com/quote/IGA","IGA")</f>
        <v/>
      </c>
      <c r="B6971" t="inlineStr">
        <is>
          <t>Voya Global Advantage &amp; Premium Opportunity Fund</t>
        </is>
      </c>
      <c r="C6971" t="inlineStr">
        <is>
          <t>NYSE</t>
        </is>
      </c>
      <c r="D6971" t="n">
        <v>1332943</v>
      </c>
      <c r="E6971" t="inlineStr">
        <is>
          <t>SEC</t>
        </is>
      </c>
    </row>
    <row r="6972">
      <c r="A6972" s="5">
        <f>HYPERLINK("https://finance.yahoo.com/quote/ETY","ETY")</f>
        <v/>
      </c>
      <c r="B6972" t="inlineStr">
        <is>
          <t>Eaton Vance Tax-Managed Diversified Equity Income Fund</t>
        </is>
      </c>
      <c r="C6972" t="inlineStr">
        <is>
          <t>NYSE</t>
        </is>
      </c>
      <c r="D6972" t="n">
        <v>1340736</v>
      </c>
      <c r="E6972" t="inlineStr">
        <is>
          <t>SEC</t>
        </is>
      </c>
    </row>
    <row r="6973">
      <c r="A6973" s="5">
        <f>HYPERLINK("https://finance.yahoo.com/quote/GJO","GJO")</f>
        <v/>
      </c>
      <c r="B6973" t="inlineStr">
        <is>
          <t>STRATS SM TRUST FOR WAL-MART STORES, INC. SECURITIES, SERIES 2005-4</t>
        </is>
      </c>
      <c r="C6973" t="inlineStr">
        <is>
          <t>NYSE</t>
        </is>
      </c>
      <c r="D6973" t="n">
        <v>1340909</v>
      </c>
      <c r="E6973" t="inlineStr">
        <is>
          <t>SEC</t>
        </is>
      </c>
    </row>
    <row r="6974">
      <c r="A6974" s="5">
        <f>HYPERLINK("https://finance.yahoo.com/quote/TX","TX")</f>
        <v/>
      </c>
      <c r="B6974" t="inlineStr">
        <is>
          <t>Ternium S.A.</t>
        </is>
      </c>
      <c r="C6974" t="inlineStr">
        <is>
          <t>NYSE</t>
        </is>
      </c>
      <c r="D6974" t="n">
        <v>1342874</v>
      </c>
      <c r="E6974" t="inlineStr">
        <is>
          <t>SEC</t>
        </is>
      </c>
    </row>
    <row r="6975">
      <c r="A6975" s="5">
        <f>HYPERLINK("https://finance.yahoo.com/quote/GJP","GJP")</f>
        <v/>
      </c>
      <c r="B6975" t="inlineStr">
        <is>
          <t>STRATS(SM) TRUST FOR DOMINION RESOURCES, INC. SECURITIES, SERIES 2005-6</t>
        </is>
      </c>
      <c r="C6975" t="inlineStr">
        <is>
          <t>NYSE</t>
        </is>
      </c>
      <c r="D6975" t="n">
        <v>1343491</v>
      </c>
      <c r="E6975" t="inlineStr">
        <is>
          <t>SEC</t>
        </is>
      </c>
    </row>
    <row r="6976">
      <c r="A6976" s="5">
        <f>HYPERLINK("https://finance.yahoo.com/quote/NONE.","NONE.")</f>
        <v/>
      </c>
      <c r="B6976" t="inlineStr">
        <is>
          <t>EBR Systems, Inc.</t>
        </is>
      </c>
      <c r="C6976" t="inlineStr"/>
      <c r="D6976" t="n">
        <v>1347123</v>
      </c>
      <c r="E6976" t="inlineStr">
        <is>
          <t>SEC</t>
        </is>
      </c>
    </row>
    <row r="6977">
      <c r="A6977" s="5">
        <f>HYPERLINK("https://finance.yahoo.com/quote/ELC","ELC")</f>
        <v/>
      </c>
      <c r="B6977" t="inlineStr">
        <is>
          <t>ENTERGY LOUISIANA, LLC</t>
        </is>
      </c>
      <c r="C6977" t="inlineStr">
        <is>
          <t>NYSE</t>
        </is>
      </c>
      <c r="D6977" t="n">
        <v>1348952</v>
      </c>
      <c r="E6977" t="inlineStr">
        <is>
          <t>SEC</t>
        </is>
      </c>
    </row>
    <row r="6978">
      <c r="A6978" s="5">
        <f>HYPERLINK("https://finance.yahoo.com/quote/ASTI","ASTI")</f>
        <v/>
      </c>
      <c r="B6978" t="inlineStr">
        <is>
          <t>Ascent Solar Technologies, Inc.</t>
        </is>
      </c>
      <c r="C6978" t="inlineStr">
        <is>
          <t>Nasdaq</t>
        </is>
      </c>
      <c r="D6978" t="n">
        <v>1350102</v>
      </c>
      <c r="E6978" t="inlineStr">
        <is>
          <t>SEC</t>
        </is>
      </c>
    </row>
    <row r="6979">
      <c r="A6979" s="5">
        <f>HYPERLINK("https://finance.yahoo.com/quote/GLO","GLO")</f>
        <v/>
      </c>
      <c r="B6979" t="inlineStr">
        <is>
          <t>Clough Global Opportunities Fund</t>
        </is>
      </c>
      <c r="C6979" t="inlineStr">
        <is>
          <t>NYSE</t>
        </is>
      </c>
      <c r="D6979" t="n">
        <v>1350869</v>
      </c>
      <c r="E6979" t="inlineStr">
        <is>
          <t>SEC</t>
        </is>
      </c>
    </row>
    <row r="6980">
      <c r="A6980" s="5">
        <f>HYPERLINK("https://finance.yahoo.com/quote/GJR","GJR")</f>
        <v/>
      </c>
      <c r="B6980" t="inlineStr">
        <is>
          <t>STRATS(SM) Trust for Procter &amp; Gamble Securities, Series 2006-1</t>
        </is>
      </c>
      <c r="C6980" t="inlineStr">
        <is>
          <t>NYSE</t>
        </is>
      </c>
      <c r="D6980" t="n">
        <v>1353226</v>
      </c>
      <c r="E6980" t="inlineStr">
        <is>
          <t>SEC</t>
        </is>
      </c>
    </row>
    <row r="6981">
      <c r="A6981" s="5">
        <f>HYPERLINK("https://finance.yahoo.com/quote/FXB","FXB")</f>
        <v/>
      </c>
      <c r="B6981" t="inlineStr">
        <is>
          <t>Invesco CurrencyShares British Pound Sterling Trust</t>
        </is>
      </c>
      <c r="C6981" t="inlineStr">
        <is>
          <t>NYSE</t>
        </is>
      </c>
      <c r="D6981" t="n">
        <v>1353611</v>
      </c>
      <c r="E6981" t="inlineStr">
        <is>
          <t>SEC</t>
        </is>
      </c>
    </row>
    <row r="6982">
      <c r="A6982" s="5">
        <f>HYPERLINK("https://finance.yahoo.com/quote/FXC","FXC")</f>
        <v/>
      </c>
      <c r="B6982" t="inlineStr">
        <is>
          <t>Invesco CurrencyShares Canadian Dollar Trust</t>
        </is>
      </c>
      <c r="C6982" t="inlineStr">
        <is>
          <t>NYSE</t>
        </is>
      </c>
      <c r="D6982" t="n">
        <v>1353612</v>
      </c>
      <c r="E6982" t="inlineStr">
        <is>
          <t>SEC</t>
        </is>
      </c>
    </row>
    <row r="6983">
      <c r="A6983" s="5">
        <f>HYPERLINK("https://finance.yahoo.com/quote/FXY","FXY")</f>
        <v/>
      </c>
      <c r="B6983" t="inlineStr">
        <is>
          <t>Invesco CurrencyShares Japanese Yen Trust</t>
        </is>
      </c>
      <c r="C6983" t="inlineStr">
        <is>
          <t>NYSE</t>
        </is>
      </c>
      <c r="D6983" t="n">
        <v>1353613</v>
      </c>
      <c r="E6983" t="inlineStr">
        <is>
          <t>SEC</t>
        </is>
      </c>
    </row>
    <row r="6984">
      <c r="A6984" s="5">
        <f>HYPERLINK("https://finance.yahoo.com/quote/FXA","FXA")</f>
        <v/>
      </c>
      <c r="B6984" t="inlineStr">
        <is>
          <t>Invesco CurrencyShares Australian Dollar Trust</t>
        </is>
      </c>
      <c r="C6984" t="inlineStr">
        <is>
          <t>NYSE</t>
        </is>
      </c>
      <c r="D6984" t="n">
        <v>1353614</v>
      </c>
      <c r="E6984" t="inlineStr">
        <is>
          <t>SEC</t>
        </is>
      </c>
    </row>
    <row r="6985">
      <c r="A6985" s="5">
        <f>HYPERLINK("https://finance.yahoo.com/quote/FXF","FXF")</f>
        <v/>
      </c>
      <c r="B6985" t="inlineStr">
        <is>
          <t>Invesco CurrencyShares Swiss Franc Trust</t>
        </is>
      </c>
      <c r="C6985" t="inlineStr">
        <is>
          <t>NYSE</t>
        </is>
      </c>
      <c r="D6985" t="n">
        <v>1353615</v>
      </c>
      <c r="E6985" t="inlineStr">
        <is>
          <t>SEC</t>
        </is>
      </c>
    </row>
    <row r="6986">
      <c r="A6986" s="5">
        <f>HYPERLINK("https://finance.yahoo.com/quote/GJS","GJS")</f>
        <v/>
      </c>
      <c r="B6986" t="inlineStr">
        <is>
          <t>STRATS(SM) Trust for Goldman Sachs Group Securities, Series 2006-2</t>
        </is>
      </c>
      <c r="C6986" t="inlineStr">
        <is>
          <t>NYSE</t>
        </is>
      </c>
      <c r="D6986" t="n">
        <v>1356284</v>
      </c>
      <c r="E6986" t="inlineStr">
        <is>
          <t>SEC</t>
        </is>
      </c>
    </row>
    <row r="6987">
      <c r="A6987" s="5">
        <f>HYPERLINK("https://finance.yahoo.com/quote/GJT","GJT")</f>
        <v/>
      </c>
      <c r="B6987" t="inlineStr">
        <is>
          <t>STRATS(SM) Trust for Allstate Corp Securities, Series 2006-3</t>
        </is>
      </c>
      <c r="C6987" t="inlineStr">
        <is>
          <t>NYSE</t>
        </is>
      </c>
      <c r="D6987" t="n">
        <v>1357660</v>
      </c>
      <c r="E6987" t="inlineStr">
        <is>
          <t>SEC</t>
        </is>
      </c>
    </row>
    <row r="6988">
      <c r="A6988" s="5">
        <f>HYPERLINK("https://finance.yahoo.com/quote/AGD","AGD")</f>
        <v/>
      </c>
      <c r="B6988" t="inlineStr">
        <is>
          <t>abrdn Global Dynamic Dividend Fund</t>
        </is>
      </c>
      <c r="C6988" t="inlineStr">
        <is>
          <t>NYSE</t>
        </is>
      </c>
      <c r="D6988" t="n">
        <v>1362481</v>
      </c>
      <c r="E6988" t="inlineStr">
        <is>
          <t>SEC</t>
        </is>
      </c>
    </row>
    <row r="6989">
      <c r="A6989" s="5">
        <f>HYPERLINK("https://finance.yahoo.com/quote/DAC","DAC")</f>
        <v/>
      </c>
      <c r="B6989" t="inlineStr">
        <is>
          <t>Danaos Corp</t>
        </is>
      </c>
      <c r="C6989" t="inlineStr">
        <is>
          <t>NYSE</t>
        </is>
      </c>
      <c r="D6989" t="n">
        <v>1369241</v>
      </c>
      <c r="E6989" t="inlineStr">
        <is>
          <t>SEC</t>
        </is>
      </c>
    </row>
    <row r="6990">
      <c r="A6990" s="5">
        <f>HYPERLINK("https://finance.yahoo.com/quote/AETR","AETR")</f>
        <v/>
      </c>
      <c r="B6990" t="inlineStr">
        <is>
          <t>AETHERION TECHNOLOGIES INC.</t>
        </is>
      </c>
      <c r="C6990" t="inlineStr">
        <is>
          <t>Nasdaq</t>
        </is>
      </c>
      <c r="D6990" t="n">
        <v>1370416</v>
      </c>
      <c r="E6990" t="inlineStr">
        <is>
          <t>SEC</t>
        </is>
      </c>
    </row>
    <row r="6991">
      <c r="A6991" s="5">
        <f>HYPERLINK("https://finance.yahoo.com/quote/UNG","UNG")</f>
        <v/>
      </c>
      <c r="B6991" t="inlineStr">
        <is>
          <t>United States Natural Gas Fund, LP</t>
        </is>
      </c>
      <c r="C6991" t="inlineStr">
        <is>
          <t>NYSE</t>
        </is>
      </c>
      <c r="D6991" t="n">
        <v>1376227</v>
      </c>
      <c r="E6991" t="inlineStr">
        <is>
          <t>SEC</t>
        </is>
      </c>
    </row>
    <row r="6992">
      <c r="A6992" s="5">
        <f>HYPERLINK("https://finance.yahoo.com/quote/BTZ","BTZ")</f>
        <v/>
      </c>
      <c r="B6992" t="inlineStr">
        <is>
          <t>BLACKROCK CREDIT ALLOCATION INCOME TRUST</t>
        </is>
      </c>
      <c r="C6992" t="inlineStr">
        <is>
          <t>NYSE</t>
        </is>
      </c>
      <c r="D6992" t="n">
        <v>1379384</v>
      </c>
      <c r="E6992" t="inlineStr">
        <is>
          <t>SEC</t>
        </is>
      </c>
    </row>
    <row r="6993">
      <c r="A6993" s="5">
        <f>HYPERLINK("https://finance.yahoo.com/quote/EXG","EXG")</f>
        <v/>
      </c>
      <c r="B6993" t="inlineStr">
        <is>
          <t>Eaton Vance Tax-Managed Global Diversified Equity Income Fund</t>
        </is>
      </c>
      <c r="C6993" t="inlineStr">
        <is>
          <t>NYSE</t>
        </is>
      </c>
      <c r="D6993" t="n">
        <v>1379438</v>
      </c>
      <c r="E6993" t="inlineStr">
        <is>
          <t>SEC</t>
        </is>
      </c>
    </row>
    <row r="6994">
      <c r="A6994" s="5">
        <f>HYPERLINK("https://finance.yahoo.com/quote/DBP","DBP")</f>
        <v/>
      </c>
      <c r="B6994" t="inlineStr">
        <is>
          <t>Invesco DB Precious Metals Fund</t>
        </is>
      </c>
      <c r="C6994" t="inlineStr">
        <is>
          <t>NYSE</t>
        </is>
      </c>
      <c r="D6994" t="n">
        <v>1383057</v>
      </c>
      <c r="E6994" t="inlineStr">
        <is>
          <t>SEC</t>
        </is>
      </c>
    </row>
    <row r="6995">
      <c r="A6995" s="5">
        <f>HYPERLINK("https://finance.yahoo.com/quote/DBO","DBO")</f>
        <v/>
      </c>
      <c r="B6995" t="inlineStr">
        <is>
          <t>Invesco DB Oil Fund</t>
        </is>
      </c>
      <c r="C6995" t="inlineStr">
        <is>
          <t>NYSE</t>
        </is>
      </c>
      <c r="D6995" t="n">
        <v>1383058</v>
      </c>
      <c r="E6995" t="inlineStr">
        <is>
          <t>SEC</t>
        </is>
      </c>
    </row>
    <row r="6996">
      <c r="A6996" s="5">
        <f>HYPERLINK("https://finance.yahoo.com/quote/DBE","DBE")</f>
        <v/>
      </c>
      <c r="B6996" t="inlineStr">
        <is>
          <t>Invesco DB Energy Fund</t>
        </is>
      </c>
      <c r="C6996" t="inlineStr">
        <is>
          <t>NYSE</t>
        </is>
      </c>
      <c r="D6996" t="n">
        <v>1383062</v>
      </c>
      <c r="E6996" t="inlineStr">
        <is>
          <t>SEC</t>
        </is>
      </c>
    </row>
    <row r="6997">
      <c r="A6997" s="5">
        <f>HYPERLINK("https://finance.yahoo.com/quote/DBA","DBA")</f>
        <v/>
      </c>
      <c r="B6997" t="inlineStr">
        <is>
          <t>INVESCO DB AGRICULTURE FUND</t>
        </is>
      </c>
      <c r="C6997" t="inlineStr">
        <is>
          <t>NYSE</t>
        </is>
      </c>
      <c r="D6997" t="n">
        <v>1383082</v>
      </c>
      <c r="E6997" t="inlineStr">
        <is>
          <t>SEC</t>
        </is>
      </c>
    </row>
    <row r="6998">
      <c r="A6998" s="5">
        <f>HYPERLINK("https://finance.yahoo.com/quote/DBB","DBB")</f>
        <v/>
      </c>
      <c r="B6998" t="inlineStr">
        <is>
          <t>INVESCO DB BASE METALS FUND</t>
        </is>
      </c>
      <c r="C6998" t="inlineStr">
        <is>
          <t>NYSE</t>
        </is>
      </c>
      <c r="D6998" t="n">
        <v>1383084</v>
      </c>
      <c r="E6998" t="inlineStr">
        <is>
          <t>SEC</t>
        </is>
      </c>
    </row>
    <row r="6999">
      <c r="A6999" s="5">
        <f>HYPERLINK("https://finance.yahoo.com/quote/UDN","UDN")</f>
        <v/>
      </c>
      <c r="B6999" t="inlineStr">
        <is>
          <t>INVESCO DB US DOLLAR INDEX BEARISH FUND</t>
        </is>
      </c>
      <c r="C6999" t="inlineStr">
        <is>
          <t>NYSE</t>
        </is>
      </c>
      <c r="D6999" t="n">
        <v>1383149</v>
      </c>
      <c r="E6999" t="inlineStr">
        <is>
          <t>SEC</t>
        </is>
      </c>
    </row>
    <row r="7000">
      <c r="A7000" s="5">
        <f>HYPERLINK("https://finance.yahoo.com/quote/UUP","UUP")</f>
        <v/>
      </c>
      <c r="B7000" t="inlineStr">
        <is>
          <t>Invesco DB US Dollar Index Bullish Fund</t>
        </is>
      </c>
      <c r="C7000" t="inlineStr">
        <is>
          <t>NYSE</t>
        </is>
      </c>
      <c r="D7000" t="n">
        <v>1383151</v>
      </c>
      <c r="E7000" t="inlineStr">
        <is>
          <t>SEC</t>
        </is>
      </c>
    </row>
    <row r="7001">
      <c r="A7001" s="5">
        <f>HYPERLINK("https://finance.yahoo.com/quote/JCE","JCE")</f>
        <v/>
      </c>
      <c r="B7001" t="inlineStr">
        <is>
          <t>Nuveen Core Equity Alpha Fund</t>
        </is>
      </c>
      <c r="C7001" t="inlineStr">
        <is>
          <t>NYSE</t>
        </is>
      </c>
      <c r="D7001" t="n">
        <v>1385763</v>
      </c>
      <c r="E7001" t="inlineStr">
        <is>
          <t>SEC</t>
        </is>
      </c>
    </row>
    <row r="7002">
      <c r="A7002" s="5">
        <f>HYPERLINK("https://finance.yahoo.com/quote/EDD","EDD")</f>
        <v/>
      </c>
      <c r="B7002" t="inlineStr">
        <is>
          <t>Morgan Stanley Emerging Markets Domestic Debt Fund, Inc.</t>
        </is>
      </c>
      <c r="C7002" t="inlineStr">
        <is>
          <t>NYSE</t>
        </is>
      </c>
      <c r="D7002" t="n">
        <v>1388141</v>
      </c>
      <c r="E7002" t="inlineStr">
        <is>
          <t>SEC</t>
        </is>
      </c>
    </row>
    <row r="7003">
      <c r="A7003" s="5">
        <f>HYPERLINK("https://finance.yahoo.com/quote/EDN","EDN")</f>
        <v/>
      </c>
      <c r="B7003" t="inlineStr">
        <is>
          <t>EDENOR</t>
        </is>
      </c>
      <c r="C7003" t="inlineStr">
        <is>
          <t>NYSE</t>
        </is>
      </c>
      <c r="D7003" t="n">
        <v>1395213</v>
      </c>
      <c r="E7003" t="inlineStr">
        <is>
          <t>SEC</t>
        </is>
      </c>
    </row>
    <row r="7004">
      <c r="A7004" s="5">
        <f>HYPERLINK("https://finance.yahoo.com/quote/CHW","CHW")</f>
        <v/>
      </c>
      <c r="B7004" t="inlineStr">
        <is>
          <t>Calamos Global Dynamic Income Fund</t>
        </is>
      </c>
      <c r="C7004" t="inlineStr">
        <is>
          <t>Nasdaq</t>
        </is>
      </c>
      <c r="D7004" t="n">
        <v>1396277</v>
      </c>
      <c r="E7004" t="inlineStr">
        <is>
          <t>SEC</t>
        </is>
      </c>
    </row>
    <row r="7005">
      <c r="A7005" s="5">
        <f>HYPERLINK("https://finance.yahoo.com/quote/UGA","UGA")</f>
        <v/>
      </c>
      <c r="B7005" t="inlineStr">
        <is>
          <t>United States Gasoline Fund, LP</t>
        </is>
      </c>
      <c r="C7005" t="inlineStr">
        <is>
          <t>NYSE</t>
        </is>
      </c>
      <c r="D7005" t="n">
        <v>1396878</v>
      </c>
      <c r="E7005" t="inlineStr">
        <is>
          <t>SEC</t>
        </is>
      </c>
    </row>
    <row r="7006">
      <c r="A7006" s="5">
        <f>HYPERLINK("https://finance.yahoo.com/quote/OAK-PA","OAK-PA")</f>
        <v/>
      </c>
      <c r="B7006" t="inlineStr">
        <is>
          <t>Brookfield Oaktree Holdings, LLC</t>
        </is>
      </c>
      <c r="C7006" t="inlineStr">
        <is>
          <t>NYSE</t>
        </is>
      </c>
      <c r="D7006" t="n">
        <v>1403528</v>
      </c>
      <c r="E7006" t="inlineStr">
        <is>
          <t>SEC</t>
        </is>
      </c>
    </row>
    <row r="7007">
      <c r="A7007" s="5">
        <f>HYPERLINK("https://finance.yahoo.com/quote/UNL","UNL")</f>
        <v/>
      </c>
      <c r="B7007" t="inlineStr">
        <is>
          <t>United States 12 Month Natural Gas Fund, LP</t>
        </is>
      </c>
      <c r="C7007" t="inlineStr">
        <is>
          <t>NYSE</t>
        </is>
      </c>
      <c r="D7007" t="n">
        <v>1405513</v>
      </c>
      <c r="E7007" t="inlineStr">
        <is>
          <t>SEC</t>
        </is>
      </c>
    </row>
    <row r="7008">
      <c r="A7008" s="5">
        <f>HYPERLINK("https://finance.yahoo.com/quote/USL","USL")</f>
        <v/>
      </c>
      <c r="B7008" t="inlineStr">
        <is>
          <t>United States 12 Month Oil Fund, LP</t>
        </is>
      </c>
      <c r="C7008" t="inlineStr">
        <is>
          <t>NYSE</t>
        </is>
      </c>
      <c r="D7008" t="n">
        <v>1405528</v>
      </c>
      <c r="E7008" t="inlineStr">
        <is>
          <t>SEC</t>
        </is>
      </c>
    </row>
    <row r="7009">
      <c r="A7009" s="5">
        <f>HYPERLINK("https://finance.yahoo.com/quote/BIPH","BIPH")</f>
        <v/>
      </c>
      <c r="B7009" t="inlineStr">
        <is>
          <t>Brookfield Infrastructure Partners L.P.</t>
        </is>
      </c>
      <c r="C7009" t="inlineStr">
        <is>
          <t>NYSE</t>
        </is>
      </c>
      <c r="D7009" t="n">
        <v>1406234</v>
      </c>
      <c r="E7009" t="inlineStr">
        <is>
          <t>SEC</t>
        </is>
      </c>
    </row>
    <row r="7010">
      <c r="A7010" s="5">
        <f>HYPERLINK("https://finance.yahoo.com/quote/UAN","UAN")</f>
        <v/>
      </c>
      <c r="B7010" t="inlineStr">
        <is>
          <t>CVR PARTNERS, LP</t>
        </is>
      </c>
      <c r="C7010" t="inlineStr">
        <is>
          <t>NYSE</t>
        </is>
      </c>
      <c r="D7010" t="n">
        <v>1425292</v>
      </c>
      <c r="E7010" t="inlineStr">
        <is>
          <t>SEC</t>
        </is>
      </c>
    </row>
    <row r="7011">
      <c r="A7011" s="5">
        <f>HYPERLINK("https://finance.yahoo.com/quote/ETI-P","ETI-P")</f>
        <v/>
      </c>
      <c r="B7011" t="inlineStr">
        <is>
          <t>ENTERGY TEXAS, INC.</t>
        </is>
      </c>
      <c r="C7011" t="inlineStr">
        <is>
          <t>NYSE</t>
        </is>
      </c>
      <c r="D7011" t="n">
        <v>1427437</v>
      </c>
      <c r="E7011" t="inlineStr">
        <is>
          <t>SEC</t>
        </is>
      </c>
    </row>
    <row r="7012">
      <c r="A7012" s="5">
        <f>HYPERLINK("https://finance.yahoo.com/quote/GSL","GSL")</f>
        <v/>
      </c>
      <c r="B7012" t="inlineStr">
        <is>
          <t>Global Ship Lease, Inc.</t>
        </is>
      </c>
      <c r="C7012" t="inlineStr">
        <is>
          <t>NYSE</t>
        </is>
      </c>
      <c r="D7012" t="n">
        <v>1430725</v>
      </c>
      <c r="E7012" t="inlineStr">
        <is>
          <t>SEC</t>
        </is>
      </c>
    </row>
    <row r="7013">
      <c r="A7013" s="5">
        <f>HYPERLINK("https://finance.yahoo.com/quote/SIVR","SIVR")</f>
        <v/>
      </c>
      <c r="B7013" t="inlineStr">
        <is>
          <t>abrdn Silver ETF Trust</t>
        </is>
      </c>
      <c r="C7013" t="inlineStr">
        <is>
          <t>NYSE</t>
        </is>
      </c>
      <c r="D7013" t="n">
        <v>1450922</v>
      </c>
      <c r="E7013" t="inlineStr">
        <is>
          <t>SEC</t>
        </is>
      </c>
    </row>
    <row r="7014">
      <c r="A7014" s="5">
        <f>HYPERLINK("https://finance.yahoo.com/quote/SGOL","SGOL")</f>
        <v/>
      </c>
      <c r="B7014" t="inlineStr">
        <is>
          <t>abrdn Gold ETF Trust</t>
        </is>
      </c>
      <c r="C7014" t="inlineStr">
        <is>
          <t>NYSE</t>
        </is>
      </c>
      <c r="D7014" t="n">
        <v>1450923</v>
      </c>
      <c r="E7014" t="inlineStr">
        <is>
          <t>SEC</t>
        </is>
      </c>
    </row>
    <row r="7015">
      <c r="A7015" s="5">
        <f>HYPERLINK("https://finance.yahoo.com/quote/BRVUY","BRVUY")</f>
        <v/>
      </c>
      <c r="B7015" t="inlineStr">
        <is>
          <t>Bravura Solutions Ltd</t>
        </is>
      </c>
      <c r="C7015" t="inlineStr">
        <is>
          <t>OTC</t>
        </is>
      </c>
      <c r="D7015" t="n">
        <v>1452492</v>
      </c>
      <c r="E7015" t="inlineStr">
        <is>
          <t>SEC</t>
        </is>
      </c>
    </row>
    <row r="7016">
      <c r="A7016" s="5">
        <f>HYPERLINK("https://finance.yahoo.com/quote/EOT","EOT")</f>
        <v/>
      </c>
      <c r="B7016" t="inlineStr">
        <is>
          <t>Eaton Vance National Municipal Opportunities Trust</t>
        </is>
      </c>
      <c r="C7016" t="inlineStr">
        <is>
          <t>NYSE</t>
        </is>
      </c>
      <c r="D7016" t="n">
        <v>1454741</v>
      </c>
      <c r="E7016" t="inlineStr">
        <is>
          <t>SEC</t>
        </is>
      </c>
    </row>
    <row r="7017">
      <c r="A7017" s="5">
        <f>HYPERLINK("https://finance.yahoo.com/quote/PALL","PALL")</f>
        <v/>
      </c>
      <c r="B7017" t="inlineStr">
        <is>
          <t>abrdn Palladium ETF Trust</t>
        </is>
      </c>
      <c r="C7017" t="inlineStr">
        <is>
          <t>NYSE</t>
        </is>
      </c>
      <c r="D7017" t="n">
        <v>1459862</v>
      </c>
      <c r="E7017" t="inlineStr">
        <is>
          <t>SEC</t>
        </is>
      </c>
    </row>
    <row r="7018">
      <c r="A7018" s="5">
        <f>HYPERLINK("https://finance.yahoo.com/quote/PPLT","PPLT")</f>
        <v/>
      </c>
      <c r="B7018" t="inlineStr">
        <is>
          <t>abrdn Platinum ETF Trust</t>
        </is>
      </c>
      <c r="C7018" t="inlineStr">
        <is>
          <t>NYSE</t>
        </is>
      </c>
      <c r="D7018" t="n">
        <v>1460235</v>
      </c>
      <c r="E7018" t="inlineStr">
        <is>
          <t>SEC</t>
        </is>
      </c>
    </row>
    <row r="7019">
      <c r="A7019" s="5">
        <f>HYPERLINK("https://finance.yahoo.com/quote/PMT","PMT")</f>
        <v/>
      </c>
      <c r="B7019" t="inlineStr">
        <is>
          <t>PennyMac Mortgage Investment Trust</t>
        </is>
      </c>
      <c r="C7019" t="inlineStr">
        <is>
          <t>NYSE</t>
        </is>
      </c>
      <c r="D7019" t="n">
        <v>1464423</v>
      </c>
      <c r="E7019" t="inlineStr">
        <is>
          <t>SEC</t>
        </is>
      </c>
    </row>
    <row r="7020">
      <c r="A7020" s="5">
        <f>HYPERLINK("https://finance.yahoo.com/quote/JTGEY","JTGEY")</f>
        <v/>
      </c>
      <c r="B7020" t="inlineStr">
        <is>
          <t>Citibank,N.A./ADR</t>
        </is>
      </c>
      <c r="C7020" t="inlineStr">
        <is>
          <t>OTC</t>
        </is>
      </c>
      <c r="D7020" t="n">
        <v>1472033</v>
      </c>
      <c r="E7020" t="inlineStr">
        <is>
          <t>SEC</t>
        </is>
      </c>
    </row>
    <row r="7021">
      <c r="A7021" s="5">
        <f>HYPERLINK("https://finance.yahoo.com/quote/GDO","GDO")</f>
        <v/>
      </c>
      <c r="B7021" t="inlineStr">
        <is>
          <t>WESTERN ASSET GLOBAL CORPORATE OPPORTUNITY FUND INC.</t>
        </is>
      </c>
      <c r="C7021" t="inlineStr">
        <is>
          <t>NYSE</t>
        </is>
      </c>
      <c r="D7021" t="n">
        <v>1472341</v>
      </c>
      <c r="E7021" t="inlineStr">
        <is>
          <t>SEC</t>
        </is>
      </c>
    </row>
    <row r="7022">
      <c r="A7022" s="5">
        <f>HYPERLINK("https://finance.yahoo.com/quote/BNO","BNO")</f>
        <v/>
      </c>
      <c r="B7022" t="inlineStr">
        <is>
          <t>United States Brent Oil Fund, LP</t>
        </is>
      </c>
      <c r="C7022" t="inlineStr">
        <is>
          <t>NYSE</t>
        </is>
      </c>
      <c r="D7022" t="n">
        <v>1472494</v>
      </c>
      <c r="E7022" t="inlineStr">
        <is>
          <t>SEC</t>
        </is>
      </c>
    </row>
    <row r="7023">
      <c r="A7023" s="5">
        <f>HYPERLINK("https://finance.yahoo.com/quote/NBB","NBB")</f>
        <v/>
      </c>
      <c r="B7023" t="inlineStr">
        <is>
          <t>Nuveen Taxable Municipal Income Fund</t>
        </is>
      </c>
      <c r="C7023" t="inlineStr">
        <is>
          <t>NYSE</t>
        </is>
      </c>
      <c r="D7023" t="n">
        <v>1478888</v>
      </c>
      <c r="E7023" t="inlineStr">
        <is>
          <t>SEC</t>
        </is>
      </c>
    </row>
    <row r="7024">
      <c r="A7024" s="5">
        <f>HYPERLINK("https://finance.yahoo.com/quote/USCI","USCI")</f>
        <v/>
      </c>
      <c r="B7024" t="inlineStr">
        <is>
          <t>United States Commodity Index Funds Trust</t>
        </is>
      </c>
      <c r="C7024" t="inlineStr">
        <is>
          <t>NYSE</t>
        </is>
      </c>
      <c r="D7024" t="n">
        <v>1479247</v>
      </c>
      <c r="E7024" t="inlineStr">
        <is>
          <t>SEC</t>
        </is>
      </c>
    </row>
    <row r="7025">
      <c r="A7025" s="5">
        <f>HYPERLINK("https://finance.yahoo.com/quote/GLTR","GLTR")</f>
        <v/>
      </c>
      <c r="B7025" t="inlineStr">
        <is>
          <t>abrdn Precious Metals Basket ETF Trust</t>
        </is>
      </c>
      <c r="C7025" t="inlineStr">
        <is>
          <t>NYSE</t>
        </is>
      </c>
      <c r="D7025" t="n">
        <v>1483386</v>
      </c>
      <c r="E7025" t="inlineStr">
        <is>
          <t>SEC</t>
        </is>
      </c>
    </row>
    <row r="7026">
      <c r="A7026" s="5">
        <f>HYPERLINK("https://finance.yahoo.com/quote/BSL","BSL")</f>
        <v/>
      </c>
      <c r="B7026" t="inlineStr">
        <is>
          <t>Blackstone Senior Floating Rate 2027 Term Fund</t>
        </is>
      </c>
      <c r="C7026" t="inlineStr">
        <is>
          <t>NYSE</t>
        </is>
      </c>
      <c r="D7026" t="n">
        <v>1486298</v>
      </c>
      <c r="E7026" t="inlineStr">
        <is>
          <t>SEC</t>
        </is>
      </c>
    </row>
    <row r="7027">
      <c r="A7027" s="5">
        <f>HYPERLINK("https://finance.yahoo.com/quote/NHS","NHS")</f>
        <v/>
      </c>
      <c r="B7027" t="inlineStr">
        <is>
          <t>Neuberger High Yield Strategies Fund Inc.</t>
        </is>
      </c>
      <c r="C7027" t="inlineStr">
        <is>
          <t>NYSE</t>
        </is>
      </c>
      <c r="D7027" t="n">
        <v>1487610</v>
      </c>
      <c r="E7027" t="inlineStr">
        <is>
          <t>SEC</t>
        </is>
      </c>
    </row>
    <row r="7028">
      <c r="A7028" s="5">
        <f>HYPERLINK("https://finance.yahoo.com/quote/LND","LND")</f>
        <v/>
      </c>
      <c r="B7028" t="inlineStr">
        <is>
          <t>BrasilAgro - Brazilian Agricultural Real Estate Co</t>
        </is>
      </c>
      <c r="C7028" t="inlineStr">
        <is>
          <t>NYSE</t>
        </is>
      </c>
      <c r="D7028" t="n">
        <v>1499849</v>
      </c>
      <c r="E7028" t="inlineStr">
        <is>
          <t>SEC</t>
        </is>
      </c>
    </row>
    <row r="7029">
      <c r="A7029" s="5">
        <f>HYPERLINK("https://finance.yahoo.com/quote/WNHK","WNHK")</f>
        <v/>
      </c>
      <c r="B7029" t="inlineStr">
        <is>
          <t>Winning Catering Group, Inc.</t>
        </is>
      </c>
      <c r="C7029" t="inlineStr">
        <is>
          <t>OTC</t>
        </is>
      </c>
      <c r="D7029" t="n">
        <v>1503658</v>
      </c>
      <c r="E7029" t="inlineStr">
        <is>
          <t>SEC</t>
        </is>
      </c>
    </row>
    <row r="7030">
      <c r="A7030" s="5">
        <f>HYPERLINK("https://finance.yahoo.com/quote/PRBRY","PRBRY")</f>
        <v/>
      </c>
      <c r="B7030" t="inlineStr">
        <is>
          <t>PREMIUM BRANDS HOLDINGS Corp</t>
        </is>
      </c>
      <c r="C7030" t="inlineStr">
        <is>
          <t>OTC</t>
        </is>
      </c>
      <c r="D7030" t="n">
        <v>1503812</v>
      </c>
      <c r="E7030" t="inlineStr">
        <is>
          <t>SEC</t>
        </is>
      </c>
    </row>
    <row r="7031">
      <c r="A7031" s="5">
        <f>HYPERLINK("https://finance.yahoo.com/quote/NGL","NGL")</f>
        <v/>
      </c>
      <c r="B7031" t="inlineStr">
        <is>
          <t>NGL Energy Partners LP</t>
        </is>
      </c>
      <c r="C7031" t="inlineStr">
        <is>
          <t>NYSE</t>
        </is>
      </c>
      <c r="D7031" t="n">
        <v>1504461</v>
      </c>
      <c r="E7031" t="inlineStr">
        <is>
          <t>SEC</t>
        </is>
      </c>
    </row>
    <row r="7032">
      <c r="A7032" s="5">
        <f>HYPERLINK("https://finance.yahoo.com/quote/BWG","BWG")</f>
        <v/>
      </c>
      <c r="B7032" t="inlineStr">
        <is>
          <t>BrandywineGLOBAL-Global Income Opportunities Fund Inc</t>
        </is>
      </c>
      <c r="C7032" t="inlineStr">
        <is>
          <t>NYSE</t>
        </is>
      </c>
      <c r="D7032" t="n">
        <v>1504545</v>
      </c>
      <c r="E7032" t="inlineStr">
        <is>
          <t>SEC</t>
        </is>
      </c>
    </row>
    <row r="7033">
      <c r="A7033" s="5">
        <f>HYPERLINK("https://finance.yahoo.com/quote/VOC","VOC")</f>
        <v/>
      </c>
      <c r="B7033" t="inlineStr">
        <is>
          <t>VOC Energy Trust</t>
        </is>
      </c>
      <c r="C7033" t="inlineStr">
        <is>
          <t>NYSE</t>
        </is>
      </c>
      <c r="D7033" t="n">
        <v>1505413</v>
      </c>
      <c r="E7033" t="inlineStr">
        <is>
          <t>SEC</t>
        </is>
      </c>
    </row>
    <row r="7034">
      <c r="A7034" s="5">
        <f>HYPERLINK("https://finance.yahoo.com/quote/GUNN","GUNN")</f>
        <v/>
      </c>
      <c r="B7034" t="inlineStr">
        <is>
          <t>Gunnison Copper Corp.</t>
        </is>
      </c>
      <c r="C7034" t="inlineStr"/>
      <c r="D7034" t="n">
        <v>1514860</v>
      </c>
      <c r="E7034" t="inlineStr">
        <is>
          <t>SEC</t>
        </is>
      </c>
    </row>
    <row r="7035">
      <c r="A7035" s="5">
        <f>HYPERLINK("https://finance.yahoo.com/quote/MROSY","MROSY")</f>
        <v/>
      </c>
      <c r="B7035" t="inlineStr">
        <is>
          <t>Melrose Industries Plc/ADR</t>
        </is>
      </c>
      <c r="C7035" t="inlineStr">
        <is>
          <t>OTC</t>
        </is>
      </c>
      <c r="D7035" t="n">
        <v>1516535</v>
      </c>
      <c r="E7035" t="inlineStr">
        <is>
          <t>SEC</t>
        </is>
      </c>
    </row>
    <row r="7036">
      <c r="A7036" s="5">
        <f>HYPERLINK("https://finance.yahoo.com/quote/EMO","EMO")</f>
        <v/>
      </c>
      <c r="B7036" t="inlineStr">
        <is>
          <t>ClearBridge Energy Midstream Opportunity Fund Inc.</t>
        </is>
      </c>
      <c r="C7036" t="inlineStr">
        <is>
          <t>NYSE</t>
        </is>
      </c>
      <c r="D7036" t="n">
        <v>1517518</v>
      </c>
      <c r="E7036" t="inlineStr">
        <is>
          <t>SEC</t>
        </is>
      </c>
    </row>
    <row r="7037">
      <c r="A7037" s="5">
        <f>HYPERLINK("https://finance.yahoo.com/quote/MMD","MMD")</f>
        <v/>
      </c>
      <c r="B7037" t="inlineStr">
        <is>
          <t>NYLIM MacKay DefinedTerm Muni Opportunities Fund</t>
        </is>
      </c>
      <c r="C7037" t="inlineStr">
        <is>
          <t>NYSE</t>
        </is>
      </c>
      <c r="D7037" t="n">
        <v>1518557</v>
      </c>
      <c r="E7037" t="inlineStr">
        <is>
          <t>SEC</t>
        </is>
      </c>
    </row>
    <row r="7038">
      <c r="A7038" s="5">
        <f>HYPERLINK("https://finance.yahoo.com/quote/MWAI","MWAI")</f>
        <v/>
      </c>
      <c r="B7038" t="inlineStr">
        <is>
          <t>MedWellAI, Inc.</t>
        </is>
      </c>
      <c r="C7038" t="inlineStr">
        <is>
          <t>OTC</t>
        </is>
      </c>
      <c r="D7038" t="n">
        <v>1520118</v>
      </c>
      <c r="E7038" t="inlineStr">
        <is>
          <t>SEC</t>
        </is>
      </c>
    </row>
    <row r="7039">
      <c r="A7039" s="5">
        <f>HYPERLINK("https://finance.yahoo.com/quote/BGH","BGH")</f>
        <v/>
      </c>
      <c r="B7039" t="inlineStr">
        <is>
          <t>BARINGS GLOBAL SHORT DURATION HIGH YIELD FUND</t>
        </is>
      </c>
      <c r="C7039" t="inlineStr">
        <is>
          <t>NYSE</t>
        </is>
      </c>
      <c r="D7039" t="n">
        <v>1521404</v>
      </c>
      <c r="E7039" t="inlineStr">
        <is>
          <t>SEC</t>
        </is>
      </c>
    </row>
    <row r="7040">
      <c r="A7040" s="5">
        <f>HYPERLINK("https://finance.yahoo.com/quote/DBL","DBL")</f>
        <v/>
      </c>
      <c r="B7040" t="inlineStr">
        <is>
          <t>DoubleLine Opportunistic Credit Fund</t>
        </is>
      </c>
      <c r="C7040" t="inlineStr">
        <is>
          <t>NYSE</t>
        </is>
      </c>
      <c r="D7040" t="n">
        <v>1525201</v>
      </c>
      <c r="E7040" t="inlineStr">
        <is>
          <t>SEC</t>
        </is>
      </c>
    </row>
    <row r="7041">
      <c r="A7041" s="5">
        <f>HYPERLINK("https://finance.yahoo.com/quote/DSRNY","DSRNY")</f>
        <v/>
      </c>
      <c r="B7041" t="inlineStr">
        <is>
          <t>DiaSorin SpA/ADR</t>
        </is>
      </c>
      <c r="C7041" t="inlineStr">
        <is>
          <t>OTC</t>
        </is>
      </c>
      <c r="D7041" t="n">
        <v>1544088</v>
      </c>
      <c r="E7041" t="inlineStr">
        <is>
          <t>SEC</t>
        </is>
      </c>
    </row>
    <row r="7042">
      <c r="A7042" s="5">
        <f>HYPERLINK("https://finance.yahoo.com/quote/BPYPP","BPYPP")</f>
        <v/>
      </c>
      <c r="B7042" t="inlineStr">
        <is>
          <t>Brookfield Property Partners L.P.</t>
        </is>
      </c>
      <c r="C7042" t="inlineStr">
        <is>
          <t>Nasdaq</t>
        </is>
      </c>
      <c r="D7042" t="n">
        <v>1545772</v>
      </c>
      <c r="E7042" t="inlineStr">
        <is>
          <t>SEC</t>
        </is>
      </c>
    </row>
    <row r="7043">
      <c r="A7043" s="5">
        <f>HYPERLINK("https://finance.yahoo.com/quote/BGB","BGB")</f>
        <v/>
      </c>
      <c r="B7043" t="inlineStr">
        <is>
          <t>Blackstone Strategic Credit 2027 Term Fund</t>
        </is>
      </c>
      <c r="C7043" t="inlineStr">
        <is>
          <t>NYSE</t>
        </is>
      </c>
      <c r="D7043" t="n">
        <v>1546429</v>
      </c>
      <c r="E7043" t="inlineStr">
        <is>
          <t>SEC</t>
        </is>
      </c>
    </row>
    <row r="7044">
      <c r="A7044" s="5">
        <f>HYPERLINK("https://finance.yahoo.com/quote/OUNZ","OUNZ")</f>
        <v/>
      </c>
      <c r="B7044" t="inlineStr">
        <is>
          <t>VanEck Merk Gold ETF</t>
        </is>
      </c>
      <c r="C7044" t="inlineStr">
        <is>
          <t>NYSE</t>
        </is>
      </c>
      <c r="D7044" t="n">
        <v>1546652</v>
      </c>
      <c r="E7044" t="inlineStr">
        <is>
          <t>SEC</t>
        </is>
      </c>
    </row>
    <row r="7045">
      <c r="A7045" s="5">
        <f>HYPERLINK("https://finance.yahoo.com/quote/LDP","LDP")</f>
        <v/>
      </c>
      <c r="B7045" t="inlineStr">
        <is>
          <t>Cohen &amp; Steers Ltd Duration Preferred &amp; Income Fund, Inc.</t>
        </is>
      </c>
      <c r="C7045" t="inlineStr">
        <is>
          <t>NYSE</t>
        </is>
      </c>
      <c r="D7045" t="n">
        <v>1548717</v>
      </c>
      <c r="E7045" t="inlineStr">
        <is>
          <t>SEC</t>
        </is>
      </c>
    </row>
    <row r="7046">
      <c r="A7046" s="5">
        <f>HYPERLINK("https://finance.yahoo.com/quote/CPPBY","CPPBY")</f>
        <v/>
      </c>
      <c r="B7046" t="inlineStr">
        <is>
          <t>Central Pattana Public Co Limited/ADR</t>
        </is>
      </c>
      <c r="C7046" t="inlineStr">
        <is>
          <t>OTC</t>
        </is>
      </c>
      <c r="D7046" t="n">
        <v>1551468</v>
      </c>
      <c r="E7046" t="inlineStr">
        <is>
          <t>SEC</t>
        </is>
      </c>
    </row>
    <row r="7047">
      <c r="A7047" s="5">
        <f>HYPERLINK("https://finance.yahoo.com/quote/WYTC","WYTC")</f>
        <v/>
      </c>
      <c r="B7047" t="inlineStr">
        <is>
          <t>WYTEC INTERNATIONAL INC</t>
        </is>
      </c>
      <c r="C7047" t="inlineStr">
        <is>
          <t>OTC</t>
        </is>
      </c>
      <c r="D7047" t="n">
        <v>1560143</v>
      </c>
      <c r="E7047" t="inlineStr">
        <is>
          <t>SEC</t>
        </is>
      </c>
    </row>
    <row r="7048">
      <c r="A7048" s="5">
        <f>HYPERLINK("https://finance.yahoo.com/quote/EYUBY","EYUBY")</f>
        <v/>
      </c>
      <c r="B7048" t="inlineStr">
        <is>
          <t>Electricity Generating Public Co Limited/ADR</t>
        </is>
      </c>
      <c r="C7048" t="inlineStr">
        <is>
          <t>OTC</t>
        </is>
      </c>
      <c r="D7048" t="n">
        <v>1562294</v>
      </c>
      <c r="E7048" t="inlineStr">
        <is>
          <t>SEC</t>
        </is>
      </c>
    </row>
    <row r="7049">
      <c r="A7049" s="5">
        <f>HYPERLINK("https://finance.yahoo.com/quote/PTMSY","PTMSY")</f>
        <v/>
      </c>
      <c r="B7049" t="inlineStr">
        <is>
          <t>PT MDS Retailing Tbk/ADR</t>
        </is>
      </c>
      <c r="C7049" t="inlineStr">
        <is>
          <t>OTC</t>
        </is>
      </c>
      <c r="D7049" t="n">
        <v>1575356</v>
      </c>
      <c r="E7049" t="inlineStr">
        <is>
          <t>SEC</t>
        </is>
      </c>
    </row>
    <row r="7050">
      <c r="A7050" s="5">
        <f>HYPERLINK("https://finance.yahoo.com/quote/CUUCF","CUUCF")</f>
        <v/>
      </c>
      <c r="B7050" t="inlineStr">
        <is>
          <t>Computacenter plc/ADR</t>
        </is>
      </c>
      <c r="C7050" t="inlineStr">
        <is>
          <t>OTC</t>
        </is>
      </c>
      <c r="D7050" t="n">
        <v>1577496</v>
      </c>
      <c r="E7050" t="inlineStr">
        <is>
          <t>SEC</t>
        </is>
      </c>
    </row>
    <row r="7051">
      <c r="A7051" s="5">
        <f>HYPERLINK("https://finance.yahoo.com/quote/GBTC","GBTC")</f>
        <v/>
      </c>
      <c r="B7051" t="inlineStr">
        <is>
          <t>Grayscale Bitcoin Trust ETF</t>
        </is>
      </c>
      <c r="C7051" t="inlineStr">
        <is>
          <t>NYSE</t>
        </is>
      </c>
      <c r="D7051" t="n">
        <v>1588489</v>
      </c>
      <c r="E7051" t="inlineStr">
        <is>
          <t>SEC</t>
        </is>
      </c>
    </row>
    <row r="7052">
      <c r="A7052" s="5">
        <f>HYPERLINK("https://finance.yahoo.com/quote/ODRS","ODRS")</f>
        <v/>
      </c>
      <c r="B7052" t="inlineStr">
        <is>
          <t>Outdoor Specialty Products, Inc.</t>
        </is>
      </c>
      <c r="C7052" t="inlineStr">
        <is>
          <t>OTC</t>
        </is>
      </c>
      <c r="D7052" t="n">
        <v>1610718</v>
      </c>
      <c r="E7052" t="inlineStr">
        <is>
          <t>SEC</t>
        </is>
      </c>
    </row>
    <row r="7053">
      <c r="A7053" s="5">
        <f>HYPERLINK("https://finance.yahoo.com/quote/BDRY","BDRY")</f>
        <v/>
      </c>
      <c r="B7053" t="inlineStr">
        <is>
          <t>Amplify Commodity Trust</t>
        </is>
      </c>
      <c r="C7053" t="inlineStr">
        <is>
          <t>NYSE</t>
        </is>
      </c>
      <c r="D7053" t="n">
        <v>1610940</v>
      </c>
      <c r="E7053" t="inlineStr">
        <is>
          <t>SEC</t>
        </is>
      </c>
    </row>
    <row r="7054">
      <c r="A7054" s="5">
        <f>HYPERLINK("https://finance.yahoo.com/quote/KEN","KEN")</f>
        <v/>
      </c>
      <c r="B7054" t="inlineStr">
        <is>
          <t>Kenon Holdings Ltd.</t>
        </is>
      </c>
      <c r="C7054" t="inlineStr">
        <is>
          <t>NYSE</t>
        </is>
      </c>
      <c r="D7054" t="n">
        <v>1611005</v>
      </c>
      <c r="E7054" t="inlineStr">
        <is>
          <t>SEC</t>
        </is>
      </c>
    </row>
    <row r="7055">
      <c r="A7055" s="5">
        <f>HYPERLINK("https://finance.yahoo.com/quote/BST","BST")</f>
        <v/>
      </c>
      <c r="B7055" t="inlineStr">
        <is>
          <t>BlackRock Science &amp; Technology Trust</t>
        </is>
      </c>
      <c r="C7055" t="inlineStr">
        <is>
          <t>NYSE</t>
        </is>
      </c>
      <c r="D7055" t="n">
        <v>1616678</v>
      </c>
      <c r="E7055" t="inlineStr">
        <is>
          <t>SEC</t>
        </is>
      </c>
    </row>
    <row r="7056">
      <c r="A7056" s="5">
        <f>HYPERLINK("https://finance.yahoo.com/quote/GLDM","GLDM")</f>
        <v/>
      </c>
      <c r="B7056" t="inlineStr">
        <is>
          <t>World Gold Trust</t>
        </is>
      </c>
      <c r="C7056" t="inlineStr">
        <is>
          <t>NYSE</t>
        </is>
      </c>
      <c r="D7056" t="n">
        <v>1618181</v>
      </c>
      <c r="E7056" t="inlineStr">
        <is>
          <t>SEC</t>
        </is>
      </c>
    </row>
    <row r="7057">
      <c r="A7057" s="5">
        <f>HYPERLINK("https://finance.yahoo.com/quote/QSP","QSP")</f>
        <v/>
      </c>
      <c r="B7057" t="inlineStr">
        <is>
          <t>Restaurant Brands International Limited Partnership</t>
        </is>
      </c>
      <c r="C7057" t="inlineStr"/>
      <c r="D7057" t="n">
        <v>1618755</v>
      </c>
      <c r="E7057" t="inlineStr">
        <is>
          <t>SEC</t>
        </is>
      </c>
    </row>
    <row r="7058">
      <c r="A7058" s="5">
        <f>HYPERLINK("https://finance.yahoo.com/quote/YRD","YRD")</f>
        <v/>
      </c>
      <c r="B7058" t="inlineStr">
        <is>
          <t>Yiren Digital Ltd.</t>
        </is>
      </c>
      <c r="C7058" t="inlineStr">
        <is>
          <t>NYSE</t>
        </is>
      </c>
      <c r="D7058" t="n">
        <v>1631761</v>
      </c>
      <c r="E7058" t="inlineStr">
        <is>
          <t>SEC</t>
        </is>
      </c>
    </row>
    <row r="7059">
      <c r="A7059" s="5">
        <f>HYPERLINK("https://finance.yahoo.com/quote/GSM","GSM")</f>
        <v/>
      </c>
      <c r="B7059" t="inlineStr">
        <is>
          <t>Ferroglobe PLC</t>
        </is>
      </c>
      <c r="C7059" t="inlineStr">
        <is>
          <t>Nasdaq</t>
        </is>
      </c>
      <c r="D7059" t="n">
        <v>1639877</v>
      </c>
      <c r="E7059" t="inlineStr">
        <is>
          <t>SEC</t>
        </is>
      </c>
    </row>
    <row r="7060">
      <c r="A7060" s="5">
        <f>HYPERLINK("https://finance.yahoo.com/quote/BOTX","BOTX")</f>
        <v/>
      </c>
      <c r="B7060" t="inlineStr">
        <is>
          <t>DATZ WORLD HOLDINGS CORP.</t>
        </is>
      </c>
      <c r="C7060" t="inlineStr">
        <is>
          <t>OTC</t>
        </is>
      </c>
      <c r="D7060" t="n">
        <v>1643721</v>
      </c>
      <c r="E7060" t="inlineStr">
        <is>
          <t>SEC</t>
        </is>
      </c>
    </row>
    <row r="7061">
      <c r="A7061" s="5">
        <f>HYPERLINK("https://finance.yahoo.com/quote/FFLY","FFLY")</f>
        <v/>
      </c>
      <c r="B7061" t="inlineStr">
        <is>
          <t>FireFly Robotics, Inc.</t>
        </is>
      </c>
      <c r="C7061" t="inlineStr"/>
      <c r="D7061" t="n">
        <v>1660851</v>
      </c>
      <c r="E7061" t="inlineStr">
        <is>
          <t>SEC</t>
        </is>
      </c>
    </row>
    <row r="7062">
      <c r="A7062" s="5">
        <f>HYPERLINK("https://finance.yahoo.com/quote/ICR-PA","ICR-PA")</f>
        <v/>
      </c>
      <c r="B7062" t="inlineStr">
        <is>
          <t>InPoint Commercial Real Estate Income, Inc.</t>
        </is>
      </c>
      <c r="C7062" t="inlineStr">
        <is>
          <t>NYSE</t>
        </is>
      </c>
      <c r="D7062" t="n">
        <v>1690012</v>
      </c>
      <c r="E7062" t="inlineStr">
        <is>
          <t>SEC</t>
        </is>
      </c>
    </row>
    <row r="7063">
      <c r="A7063" s="5">
        <f>HYPERLINK("https://finance.yahoo.com/quote/BAR","BAR")</f>
        <v/>
      </c>
      <c r="B7063" t="inlineStr">
        <is>
          <t>GraniteShares Gold Trust</t>
        </is>
      </c>
      <c r="C7063" t="inlineStr">
        <is>
          <t>NYSE</t>
        </is>
      </c>
      <c r="D7063" t="n">
        <v>1690437</v>
      </c>
      <c r="E7063" t="inlineStr">
        <is>
          <t>SEC</t>
        </is>
      </c>
    </row>
    <row r="7064">
      <c r="A7064" s="5">
        <f>HYPERLINK("https://finance.yahoo.com/quote/PLTM","PLTM")</f>
        <v/>
      </c>
      <c r="B7064" t="inlineStr">
        <is>
          <t>GraniteShares Platinum Trust</t>
        </is>
      </c>
      <c r="C7064" t="inlineStr">
        <is>
          <t>NYSE</t>
        </is>
      </c>
      <c r="D7064" t="n">
        <v>1690842</v>
      </c>
      <c r="E7064" t="inlineStr">
        <is>
          <t>SEC</t>
        </is>
      </c>
    </row>
    <row r="7065">
      <c r="A7065" s="5">
        <f>HYPERLINK("https://finance.yahoo.com/quote/HHGSY","HHGSY")</f>
        <v/>
      </c>
      <c r="B7065" t="inlineStr">
        <is>
          <t>Hua Hong Semiconductor Limited/ADR</t>
        </is>
      </c>
      <c r="C7065" t="inlineStr">
        <is>
          <t>OTC</t>
        </is>
      </c>
      <c r="D7065" t="n">
        <v>1700662</v>
      </c>
      <c r="E7065" t="inlineStr">
        <is>
          <t>SEC</t>
        </is>
      </c>
    </row>
    <row r="7066">
      <c r="A7066" s="5">
        <f>HYPERLINK("https://finance.yahoo.com/quote/ETCG","ETCG")</f>
        <v/>
      </c>
      <c r="B7066" t="inlineStr">
        <is>
          <t>Grayscale Ethereum Classic Trust (ETC)</t>
        </is>
      </c>
      <c r="C7066" t="inlineStr">
        <is>
          <t>OTC</t>
        </is>
      </c>
      <c r="D7066" t="n">
        <v>1705181</v>
      </c>
      <c r="E7066" t="inlineStr">
        <is>
          <t>SEC</t>
        </is>
      </c>
    </row>
    <row r="7067">
      <c r="A7067" s="5">
        <f>HYPERLINK("https://finance.yahoo.com/quote/AAAU","AAAU")</f>
        <v/>
      </c>
      <c r="B7067" t="inlineStr">
        <is>
          <t>Goldman Sachs Physical Gold ETF</t>
        </is>
      </c>
      <c r="C7067" t="inlineStr">
        <is>
          <t>CBOE</t>
        </is>
      </c>
      <c r="D7067" t="n">
        <v>1708646</v>
      </c>
      <c r="E7067" t="inlineStr">
        <is>
          <t>SEC</t>
        </is>
      </c>
    </row>
    <row r="7068">
      <c r="A7068" s="5">
        <f>HYPERLINK("https://finance.yahoo.com/quote/SYTN","SYTN")</f>
        <v/>
      </c>
      <c r="B7068" t="inlineStr">
        <is>
          <t>Syntiant Corp.</t>
        </is>
      </c>
      <c r="C7068" t="inlineStr"/>
      <c r="D7068" t="n">
        <v>1718728</v>
      </c>
      <c r="E7068" t="inlineStr">
        <is>
          <t>SEC</t>
        </is>
      </c>
    </row>
    <row r="7069">
      <c r="A7069" s="5">
        <f>HYPERLINK("https://finance.yahoo.com/quote/BITW","BITW")</f>
        <v/>
      </c>
      <c r="B7069" t="inlineStr">
        <is>
          <t>Bitwise 10 Crypto Index ETF</t>
        </is>
      </c>
      <c r="C7069" t="inlineStr">
        <is>
          <t>NYSE</t>
        </is>
      </c>
      <c r="D7069" t="n">
        <v>1723788</v>
      </c>
      <c r="E7069" t="inlineStr">
        <is>
          <t>SEC</t>
        </is>
      </c>
    </row>
    <row r="7070">
      <c r="A7070" s="5">
        <f>HYPERLINK("https://finance.yahoo.com/quote/ETHE","ETHE")</f>
        <v/>
      </c>
      <c r="B7070" t="inlineStr">
        <is>
          <t>Grayscale Ethereum Staking ETF</t>
        </is>
      </c>
      <c r="C7070" t="inlineStr">
        <is>
          <t>NYSE</t>
        </is>
      </c>
      <c r="D7070" t="n">
        <v>1725210</v>
      </c>
      <c r="E7070" t="inlineStr">
        <is>
          <t>SEC</t>
        </is>
      </c>
    </row>
    <row r="7071">
      <c r="A7071" s="5">
        <f>HYPERLINK("https://finance.yahoo.com/quote/GDLC","GDLC")</f>
        <v/>
      </c>
      <c r="B7071" t="inlineStr">
        <is>
          <t>Grayscale CoinDesk Crypto 5 ETF</t>
        </is>
      </c>
      <c r="C7071" t="inlineStr">
        <is>
          <t>NYSE</t>
        </is>
      </c>
      <c r="D7071" t="n">
        <v>1729997</v>
      </c>
      <c r="E7071" t="inlineStr">
        <is>
          <t>SEC</t>
        </is>
      </c>
    </row>
    <row r="7072">
      <c r="A7072" s="5">
        <f>HYPERLINK("https://finance.yahoo.com/quote/LTCN","LTCN")</f>
        <v/>
      </c>
      <c r="B7072" t="inlineStr">
        <is>
          <t>Grayscale Litecoin Trust (LTC)</t>
        </is>
      </c>
      <c r="C7072" t="inlineStr">
        <is>
          <t>OTC</t>
        </is>
      </c>
      <c r="D7072" t="n">
        <v>1732406</v>
      </c>
      <c r="E7072" t="inlineStr">
        <is>
          <t>SEC</t>
        </is>
      </c>
    </row>
    <row r="7073">
      <c r="A7073" s="5">
        <f>HYPERLINK("https://finance.yahoo.com/quote/BCHG","BCHG")</f>
        <v/>
      </c>
      <c r="B7073" t="inlineStr">
        <is>
          <t>Grayscale Bitcoin Cash Trust (BCH)</t>
        </is>
      </c>
      <c r="C7073" t="inlineStr">
        <is>
          <t>OTC</t>
        </is>
      </c>
      <c r="D7073" t="n">
        <v>1732409</v>
      </c>
      <c r="E7073" t="inlineStr">
        <is>
          <t>SEC</t>
        </is>
      </c>
    </row>
    <row r="7074">
      <c r="A7074" s="5">
        <f>HYPERLINK("https://finance.yahoo.com/quote/RIOYY","RIOYY")</f>
        <v/>
      </c>
      <c r="B7074" t="inlineStr">
        <is>
          <t>Rio2 Ltd</t>
        </is>
      </c>
      <c r="C7074" t="inlineStr">
        <is>
          <t>OTC</t>
        </is>
      </c>
      <c r="D7074" t="n">
        <v>1743235</v>
      </c>
      <c r="E7074" t="inlineStr">
        <is>
          <t>SEC</t>
        </is>
      </c>
    </row>
    <row r="7075">
      <c r="A7075" s="5">
        <f>HYPERLINK("https://finance.yahoo.com/quote/HZEN","HZEN")</f>
        <v/>
      </c>
      <c r="B7075" t="inlineStr">
        <is>
          <t>Grayscale Horizen Trust (ZEN)</t>
        </is>
      </c>
      <c r="C7075" t="inlineStr">
        <is>
          <t>OTC</t>
        </is>
      </c>
      <c r="D7075" t="n">
        <v>1748945</v>
      </c>
      <c r="E7075" t="inlineStr">
        <is>
          <t>SEC</t>
        </is>
      </c>
    </row>
    <row r="7076">
      <c r="A7076" s="5">
        <f>HYPERLINK("https://finance.yahoo.com/quote/PDSRX","PDSRX")</f>
        <v/>
      </c>
      <c r="B7076" t="inlineStr">
        <is>
          <t>Principal Real Asset Fund</t>
        </is>
      </c>
      <c r="C7076" t="inlineStr"/>
      <c r="D7076" t="n">
        <v>1756404</v>
      </c>
      <c r="E7076" t="inlineStr">
        <is>
          <t>SEC</t>
        </is>
      </c>
    </row>
    <row r="7077">
      <c r="A7077" s="5">
        <f>HYPERLINK("https://finance.yahoo.com/quote/IAUM","IAUM")</f>
        <v/>
      </c>
      <c r="B7077" t="inlineStr">
        <is>
          <t>iShares Gold Trust Micro</t>
        </is>
      </c>
      <c r="C7077" t="inlineStr">
        <is>
          <t>NYSE</t>
        </is>
      </c>
      <c r="D7077" t="n">
        <v>1759124</v>
      </c>
      <c r="E7077" t="inlineStr">
        <is>
          <t>SEC</t>
        </is>
      </c>
    </row>
    <row r="7078">
      <c r="A7078" s="5">
        <f>HYPERLINK("https://finance.yahoo.com/quote/GXLM","GXLM")</f>
        <v/>
      </c>
      <c r="B7078" t="inlineStr">
        <is>
          <t>Grayscale Stellar Lumens Trust (XLM)</t>
        </is>
      </c>
      <c r="C7078" t="inlineStr">
        <is>
          <t>OTC</t>
        </is>
      </c>
      <c r="D7078" t="n">
        <v>1761325</v>
      </c>
      <c r="E7078" t="inlineStr">
        <is>
          <t>SEC</t>
        </is>
      </c>
    </row>
    <row r="7079">
      <c r="A7079" s="5">
        <f>HYPERLINK("https://finance.yahoo.com/quote/BITB","BITB")</f>
        <v/>
      </c>
      <c r="B7079" t="inlineStr">
        <is>
          <t>Bitwise Bitcoin ETF</t>
        </is>
      </c>
      <c r="C7079" t="inlineStr">
        <is>
          <t>NYSE</t>
        </is>
      </c>
      <c r="D7079" t="n">
        <v>1763415</v>
      </c>
      <c r="E7079" t="inlineStr">
        <is>
          <t>SEC</t>
        </is>
      </c>
    </row>
    <row r="7080">
      <c r="A7080" s="5">
        <f>HYPERLINK("https://finance.yahoo.com/quote/APGH","APGH")</f>
        <v/>
      </c>
      <c r="B7080" t="inlineStr">
        <is>
          <t>AleeanPeace Group Holdings Ltd</t>
        </is>
      </c>
      <c r="C7080" t="inlineStr">
        <is>
          <t>OTC</t>
        </is>
      </c>
      <c r="D7080" t="n">
        <v>1763660</v>
      </c>
      <c r="E7080" t="inlineStr">
        <is>
          <t>SEC</t>
        </is>
      </c>
    </row>
    <row r="7081">
      <c r="A7081" s="5">
        <f>HYPERLINK("https://finance.yahoo.com/quote/OBTC","OBTC")</f>
        <v/>
      </c>
      <c r="B7081" t="inlineStr">
        <is>
          <t>Osprey Bitcoin Trust</t>
        </is>
      </c>
      <c r="C7081" t="inlineStr">
        <is>
          <t>Nasdaq</t>
        </is>
      </c>
      <c r="D7081" t="n">
        <v>1767057</v>
      </c>
      <c r="E7081" t="inlineStr">
        <is>
          <t>SEC</t>
        </is>
      </c>
    </row>
    <row r="7082">
      <c r="A7082" s="5">
        <f>HYPERLINK("https://finance.yahoo.com/quote/BSRT","BSRT")</f>
        <v/>
      </c>
      <c r="B7082" t="inlineStr">
        <is>
          <t>BSR Real Estate Investment Trust</t>
        </is>
      </c>
      <c r="C7082" t="inlineStr">
        <is>
          <t>NYSE</t>
        </is>
      </c>
      <c r="D7082" t="n">
        <v>1777917</v>
      </c>
      <c r="E7082" t="inlineStr">
        <is>
          <t>SEC</t>
        </is>
      </c>
    </row>
    <row r="7083">
      <c r="A7083" s="5">
        <f>HYPERLINK("https://finance.yahoo.com/quote/BEATW","BEATW")</f>
        <v/>
      </c>
      <c r="B7083" t="inlineStr">
        <is>
          <t>HeartBeam, Inc.</t>
        </is>
      </c>
      <c r="C7083" t="inlineStr">
        <is>
          <t>Nasdaq</t>
        </is>
      </c>
      <c r="D7083" t="n">
        <v>1779372</v>
      </c>
      <c r="E7083" t="inlineStr">
        <is>
          <t>SEC</t>
        </is>
      </c>
    </row>
    <row r="7084">
      <c r="A7084" s="5">
        <f>HYPERLINK("https://finance.yahoo.com/quote/SEQC","SEQC")</f>
        <v/>
      </c>
      <c r="B7084" t="inlineStr">
        <is>
          <t>SeeQC, Inc.</t>
        </is>
      </c>
      <c r="C7084" t="inlineStr"/>
      <c r="D7084" t="n">
        <v>1779977</v>
      </c>
      <c r="E7084" t="inlineStr">
        <is>
          <t>SEC</t>
        </is>
      </c>
    </row>
    <row r="7085">
      <c r="A7085" s="5">
        <f>HYPERLINK("https://finance.yahoo.com/quote/UVIX","UVIX")</f>
        <v/>
      </c>
      <c r="B7085" t="inlineStr">
        <is>
          <t>VS Trust</t>
        </is>
      </c>
      <c r="C7085" t="inlineStr">
        <is>
          <t>CBOE</t>
        </is>
      </c>
      <c r="D7085" t="n">
        <v>1793497</v>
      </c>
      <c r="E7085" t="inlineStr">
        <is>
          <t>SEC</t>
        </is>
      </c>
    </row>
    <row r="7086">
      <c r="A7086" s="5">
        <f>HYPERLINK("https://finance.yahoo.com/quote/VCRDX","VCRDX")</f>
        <v/>
      </c>
      <c r="B7086" t="inlineStr">
        <is>
          <t>Harrison Street Infrastructure Income Fund</t>
        </is>
      </c>
      <c r="C7086" t="inlineStr"/>
      <c r="D7086" t="n">
        <v>1812286</v>
      </c>
      <c r="E7086" t="inlineStr">
        <is>
          <t>SEC</t>
        </is>
      </c>
    </row>
    <row r="7087">
      <c r="A7087" s="5">
        <f>HYPERLINK("https://finance.yahoo.com/quote/WDSP","WDSP")</f>
        <v/>
      </c>
      <c r="B7087" t="inlineStr">
        <is>
          <t>World Scan Project, Inc.</t>
        </is>
      </c>
      <c r="C7087" t="inlineStr">
        <is>
          <t>OTC</t>
        </is>
      </c>
      <c r="D7087" t="n">
        <v>1813744</v>
      </c>
      <c r="E7087" t="inlineStr">
        <is>
          <t>SEC</t>
        </is>
      </c>
    </row>
    <row r="7088">
      <c r="A7088" s="5">
        <f>HYPERLINK("https://finance.yahoo.com/quote/ALBC","ALBC")</f>
        <v/>
      </c>
      <c r="B7088" t="inlineStr">
        <is>
          <t>Alternative Ballistics Corp</t>
        </is>
      </c>
      <c r="C7088" t="inlineStr">
        <is>
          <t>OTC</t>
        </is>
      </c>
      <c r="D7088" t="n">
        <v>1834868</v>
      </c>
      <c r="E7088" t="inlineStr">
        <is>
          <t>SEC</t>
        </is>
      </c>
    </row>
    <row r="7089">
      <c r="A7089" s="5">
        <f>HYPERLINK("https://finance.yahoo.com/quote/EMI","EMI")</f>
        <v/>
      </c>
      <c r="B7089" t="inlineStr">
        <is>
          <t>Encore Medical, Inc.</t>
        </is>
      </c>
      <c r="C7089" t="inlineStr"/>
      <c r="D7089" t="n">
        <v>1838003</v>
      </c>
      <c r="E7089" t="inlineStr">
        <is>
          <t>SEC</t>
        </is>
      </c>
    </row>
    <row r="7090">
      <c r="A7090" s="5">
        <f>HYPERLINK("https://finance.yahoo.com/quote/HODL","HODL")</f>
        <v/>
      </c>
      <c r="B7090" t="inlineStr">
        <is>
          <t>VanEck Bitcoin ETF</t>
        </is>
      </c>
      <c r="C7090" t="inlineStr">
        <is>
          <t>CBOE</t>
        </is>
      </c>
      <c r="D7090" t="n">
        <v>1838028</v>
      </c>
      <c r="E7090" t="inlineStr">
        <is>
          <t>SEC</t>
        </is>
      </c>
    </row>
    <row r="7091">
      <c r="A7091" s="5">
        <f>HYPERLINK("https://finance.yahoo.com/quote/BRRR","BRRR")</f>
        <v/>
      </c>
      <c r="B7091" t="inlineStr">
        <is>
          <t>CoinShares Bitcoin ETF</t>
        </is>
      </c>
      <c r="C7091" t="inlineStr">
        <is>
          <t>Nasdaq</t>
        </is>
      </c>
      <c r="D7091" t="n">
        <v>1841175</v>
      </c>
      <c r="E7091" t="inlineStr">
        <is>
          <t>SEC</t>
        </is>
      </c>
    </row>
    <row r="7092">
      <c r="A7092" s="5">
        <f>HYPERLINK("https://finance.yahoo.com/quote/FSHPU","FSHPU")</f>
        <v/>
      </c>
      <c r="B7092" t="inlineStr">
        <is>
          <t>Flag Ship Acquisition Corp</t>
        </is>
      </c>
      <c r="C7092" t="inlineStr">
        <is>
          <t>Nasdaq</t>
        </is>
      </c>
      <c r="D7092" t="n">
        <v>1850059</v>
      </c>
      <c r="E7092" t="inlineStr">
        <is>
          <t>SEC</t>
        </is>
      </c>
    </row>
    <row r="7093">
      <c r="A7093" s="5">
        <f>HYPERLINK("https://finance.yahoo.com/quote/NRDMF","NRDMF")</f>
        <v/>
      </c>
      <c r="B7093" t="inlineStr">
        <is>
          <t>NordX Metals Corp.</t>
        </is>
      </c>
      <c r="C7093" t="inlineStr">
        <is>
          <t>OTC</t>
        </is>
      </c>
      <c r="D7093" t="n">
        <v>1850269</v>
      </c>
      <c r="E7093" t="inlineStr">
        <is>
          <t>SEC</t>
        </is>
      </c>
    </row>
    <row r="7094">
      <c r="A7094" s="5">
        <f>HYPERLINK("https://finance.yahoo.com/quote/BTCW","BTCW")</f>
        <v/>
      </c>
      <c r="B7094" t="inlineStr">
        <is>
          <t>WisdomTree Bitcoin Fund</t>
        </is>
      </c>
      <c r="C7094" t="inlineStr">
        <is>
          <t>CBOE</t>
        </is>
      </c>
      <c r="D7094" t="n">
        <v>1850391</v>
      </c>
      <c r="E7094" t="inlineStr">
        <is>
          <t>SEC</t>
        </is>
      </c>
    </row>
    <row r="7095">
      <c r="A7095" s="5">
        <f>HYPERLINK("https://finance.yahoo.com/quote/DRIL","DRIL")</f>
        <v/>
      </c>
      <c r="B7095" t="inlineStr">
        <is>
          <t>Lannister Mining Corp.</t>
        </is>
      </c>
      <c r="C7095" t="inlineStr"/>
      <c r="D7095" t="n">
        <v>1851535</v>
      </c>
      <c r="E7095" t="inlineStr">
        <is>
          <t>SEC</t>
        </is>
      </c>
    </row>
    <row r="7096">
      <c r="A7096" s="5">
        <f>HYPERLINK("https://finance.yahoo.com/quote/MANA","MANA")</f>
        <v/>
      </c>
      <c r="B7096" t="inlineStr">
        <is>
          <t>Grayscale Decentraland Trust (MANA)</t>
        </is>
      </c>
      <c r="C7096" t="inlineStr">
        <is>
          <t>OTC</t>
        </is>
      </c>
      <c r="D7096" t="n">
        <v>1852023</v>
      </c>
      <c r="E7096" t="inlineStr">
        <is>
          <t>SEC</t>
        </is>
      </c>
    </row>
    <row r="7097">
      <c r="A7097" s="5">
        <f>HYPERLINK("https://finance.yahoo.com/quote/GLIV","GLIV")</f>
        <v/>
      </c>
      <c r="B7097" t="inlineStr">
        <is>
          <t>Grayscale Livepeer Trust (LPT)</t>
        </is>
      </c>
      <c r="C7097" t="inlineStr">
        <is>
          <t>OTC</t>
        </is>
      </c>
      <c r="D7097" t="n">
        <v>1852024</v>
      </c>
      <c r="E7097" t="inlineStr">
        <is>
          <t>SEC</t>
        </is>
      </c>
    </row>
    <row r="7098">
      <c r="A7098" s="5">
        <f>HYPERLINK("https://finance.yahoo.com/quote/GLNK","GLNK")</f>
        <v/>
      </c>
      <c r="B7098" t="inlineStr">
        <is>
          <t>Grayscale Chainlink Trust ETF</t>
        </is>
      </c>
      <c r="C7098" t="inlineStr">
        <is>
          <t>NYSE</t>
        </is>
      </c>
      <c r="D7098" t="n">
        <v>1852025</v>
      </c>
      <c r="E7098" t="inlineStr">
        <is>
          <t>SEC</t>
        </is>
      </c>
    </row>
    <row r="7099">
      <c r="A7099" s="5">
        <f>HYPERLINK("https://finance.yahoo.com/quote/GBAT","GBAT")</f>
        <v/>
      </c>
      <c r="B7099" t="inlineStr">
        <is>
          <t>Grayscale Basic Attention Token Trust (BAT)</t>
        </is>
      </c>
      <c r="C7099" t="inlineStr">
        <is>
          <t>OTC</t>
        </is>
      </c>
      <c r="D7099" t="n">
        <v>1852040</v>
      </c>
      <c r="E7099" t="inlineStr">
        <is>
          <t>SEC</t>
        </is>
      </c>
    </row>
    <row r="7100">
      <c r="A7100" s="5">
        <f>HYPERLINK("https://finance.yahoo.com/quote/FBTC","FBTC")</f>
        <v/>
      </c>
      <c r="B7100" t="inlineStr">
        <is>
          <t>Fidelity Wise Origin Bitcoin Fund</t>
        </is>
      </c>
      <c r="C7100" t="inlineStr">
        <is>
          <t>CBOE</t>
        </is>
      </c>
      <c r="D7100" t="n">
        <v>1852317</v>
      </c>
      <c r="E7100" t="inlineStr">
        <is>
          <t>SEC</t>
        </is>
      </c>
    </row>
    <row r="7101">
      <c r="A7101" s="5">
        <f>HYPERLINK("https://finance.yahoo.com/quote/TSLVF","TSLVF")</f>
        <v/>
      </c>
      <c r="B7101" t="inlineStr">
        <is>
          <t>TIER ONE SILVER INC.</t>
        </is>
      </c>
      <c r="C7101" t="inlineStr">
        <is>
          <t>OTC</t>
        </is>
      </c>
      <c r="D7101" t="n">
        <v>1852753</v>
      </c>
      <c r="E7101" t="inlineStr">
        <is>
          <t>SEC</t>
        </is>
      </c>
    </row>
    <row r="7102">
      <c r="A7102" s="5">
        <f>HYPERLINK("https://finance.yahoo.com/quote/MMTZF","MMTZF")</f>
        <v/>
      </c>
      <c r="B7102" t="inlineStr">
        <is>
          <t>MindMaze Therapeutics Holding SA</t>
        </is>
      </c>
      <c r="C7102" t="inlineStr">
        <is>
          <t>OTC</t>
        </is>
      </c>
      <c r="D7102" t="n">
        <v>1854078</v>
      </c>
      <c r="E7102" t="inlineStr">
        <is>
          <t>SEC</t>
        </is>
      </c>
    </row>
    <row r="7103">
      <c r="A7103" s="5">
        <f>HYPERLINK("https://finance.yahoo.com/quote/ORIB","ORIB")</f>
        <v/>
      </c>
      <c r="B7103" t="inlineStr">
        <is>
          <t>Orion Bliss Corp.</t>
        </is>
      </c>
      <c r="C7103" t="inlineStr">
        <is>
          <t>OTC</t>
        </is>
      </c>
      <c r="D7103" t="n">
        <v>1854183</v>
      </c>
      <c r="E7103" t="inlineStr">
        <is>
          <t>SEC</t>
        </is>
      </c>
    </row>
    <row r="7104">
      <c r="A7104" s="5">
        <f>HYPERLINK("https://finance.yahoo.com/quote/BTCO","BTCO")</f>
        <v/>
      </c>
      <c r="B7104" t="inlineStr">
        <is>
          <t>Invesco Galaxy Bitcoin ETF</t>
        </is>
      </c>
      <c r="C7104" t="inlineStr">
        <is>
          <t>CBOE</t>
        </is>
      </c>
      <c r="D7104" t="n">
        <v>1855781</v>
      </c>
      <c r="E7104" t="inlineStr">
        <is>
          <t>SEC</t>
        </is>
      </c>
    </row>
    <row r="7105">
      <c r="A7105" s="5">
        <f>HYPERLINK("https://finance.yahoo.com/quote/CBPHF","CBPHF")</f>
        <v/>
      </c>
      <c r="B7105" t="inlineStr">
        <is>
          <t>Clover Biopharmaceuticals, Ltd.</t>
        </is>
      </c>
      <c r="C7105" t="inlineStr">
        <is>
          <t>OTC</t>
        </is>
      </c>
      <c r="D7105" t="n">
        <v>1856491</v>
      </c>
      <c r="E7105" t="inlineStr">
        <is>
          <t>SEC</t>
        </is>
      </c>
    </row>
    <row r="7106">
      <c r="A7106" s="5">
        <f>HYPERLINK("https://finance.yahoo.com/quote/FGDL","FGDL")</f>
        <v/>
      </c>
      <c r="B7106" t="inlineStr">
        <is>
          <t>Franklin Templeton Holdings Trust</t>
        </is>
      </c>
      <c r="C7106" t="inlineStr">
        <is>
          <t>NYSE</t>
        </is>
      </c>
      <c r="D7106" t="n">
        <v>1858258</v>
      </c>
      <c r="E7106" t="inlineStr">
        <is>
          <t>SEC</t>
        </is>
      </c>
    </row>
    <row r="7107">
      <c r="A7107" s="5">
        <f>HYPERLINK("https://finance.yahoo.com/quote/GOSC","GOSC")</f>
        <v/>
      </c>
      <c r="B7107" t="inlineStr">
        <is>
          <t>Giant Oak Acquisition Corp</t>
        </is>
      </c>
      <c r="C7107" t="inlineStr"/>
      <c r="D7107" t="n">
        <v>1858939</v>
      </c>
      <c r="E7107" t="inlineStr">
        <is>
          <t>SEC</t>
        </is>
      </c>
    </row>
    <row r="7108">
      <c r="A7108" s="5">
        <f>HYPERLINK("https://finance.yahoo.com/quote/ETHV","ETHV")</f>
        <v/>
      </c>
      <c r="B7108" t="inlineStr">
        <is>
          <t>VanEck Ethereum ETF</t>
        </is>
      </c>
      <c r="C7108" t="inlineStr">
        <is>
          <t>CBOE</t>
        </is>
      </c>
      <c r="D7108" t="n">
        <v>1860788</v>
      </c>
      <c r="E7108" t="inlineStr">
        <is>
          <t>SEC</t>
        </is>
      </c>
    </row>
    <row r="7109">
      <c r="A7109" s="5">
        <f>HYPERLINK("https://finance.yahoo.com/quote/ITRE","ITRE")</f>
        <v/>
      </c>
      <c r="B7109" t="inlineStr">
        <is>
          <t>IntriEnergy, Inc.</t>
        </is>
      </c>
      <c r="C7109" t="inlineStr">
        <is>
          <t>OTC</t>
        </is>
      </c>
      <c r="D7109" t="n">
        <v>1861448</v>
      </c>
      <c r="E7109" t="inlineStr">
        <is>
          <t>SEC</t>
        </is>
      </c>
    </row>
    <row r="7110">
      <c r="A7110" s="5">
        <f>HYPERLINK("https://finance.yahoo.com/quote/OSOL","OSOL")</f>
        <v/>
      </c>
      <c r="B7110" t="inlineStr">
        <is>
          <t>Osprey Solana Trust</t>
        </is>
      </c>
      <c r="C7110" t="inlineStr"/>
      <c r="D7110" t="n">
        <v>1868282</v>
      </c>
      <c r="E7110" t="inlineStr">
        <is>
          <t>SEC</t>
        </is>
      </c>
    </row>
    <row r="7111">
      <c r="A7111" s="5">
        <f>HYPERLINK("https://finance.yahoo.com/quote/ARKB","ARKB")</f>
        <v/>
      </c>
      <c r="B7111" t="inlineStr">
        <is>
          <t>Ark 21Shares Bitcoin ETF</t>
        </is>
      </c>
      <c r="C7111" t="inlineStr">
        <is>
          <t>CBOE</t>
        </is>
      </c>
      <c r="D7111" t="n">
        <v>1869699</v>
      </c>
      <c r="E7111" t="inlineStr">
        <is>
          <t>SEC</t>
        </is>
      </c>
    </row>
    <row r="7112">
      <c r="A7112" s="5">
        <f>HYPERLINK("https://finance.yahoo.com/quote/GLEI","GLEI")</f>
        <v/>
      </c>
      <c r="B7112" t="inlineStr">
        <is>
          <t>Galaxy Enterprises Inc. /WY/</t>
        </is>
      </c>
      <c r="C7112" t="inlineStr">
        <is>
          <t>OTC</t>
        </is>
      </c>
      <c r="D7112" t="n">
        <v>1871890</v>
      </c>
      <c r="E7112" t="inlineStr">
        <is>
          <t>SEC</t>
        </is>
      </c>
    </row>
    <row r="7113">
      <c r="A7113" s="5">
        <f>HYPERLINK("https://finance.yahoo.com/quote/SWAGW","SWAGW")</f>
        <v/>
      </c>
      <c r="B7113" t="inlineStr">
        <is>
          <t>Stran &amp; Company, Inc.</t>
        </is>
      </c>
      <c r="C7113" t="inlineStr">
        <is>
          <t>Nasdaq</t>
        </is>
      </c>
      <c r="D7113" t="n">
        <v>1872525</v>
      </c>
      <c r="E7113" t="inlineStr">
        <is>
          <t>SEC</t>
        </is>
      </c>
    </row>
    <row r="7114">
      <c r="A7114" s="5">
        <f>HYPERLINK("https://finance.yahoo.com/quote/AEIB","AEIB")</f>
        <v/>
      </c>
      <c r="B7114" t="inlineStr">
        <is>
          <t>AEI CapForce II Investment Corp</t>
        </is>
      </c>
      <c r="C7114" t="inlineStr"/>
      <c r="D7114" t="n">
        <v>1875655</v>
      </c>
      <c r="E7114" t="inlineStr">
        <is>
          <t>SEC</t>
        </is>
      </c>
    </row>
    <row r="7115">
      <c r="A7115" s="5">
        <f>HYPERLINK("https://finance.yahoo.com/quote/TCRG","TCRG")</f>
        <v/>
      </c>
      <c r="B7115" t="inlineStr">
        <is>
          <t>Cannaisseur Group Inc.</t>
        </is>
      </c>
      <c r="C7115" t="inlineStr">
        <is>
          <t>OTC</t>
        </is>
      </c>
      <c r="D7115" t="n">
        <v>1879270</v>
      </c>
      <c r="E7115" t="inlineStr">
        <is>
          <t>SEC</t>
        </is>
      </c>
    </row>
    <row r="7116">
      <c r="A7116" s="5">
        <f>HYPERLINK("https://finance.yahoo.com/quote/EIIA","EIIA")</f>
        <v/>
      </c>
      <c r="B7116" t="inlineStr">
        <is>
          <t>Eagle Point Institutional Income Fund</t>
        </is>
      </c>
      <c r="C7116" t="inlineStr">
        <is>
          <t>NYSE</t>
        </is>
      </c>
      <c r="D7116" t="n">
        <v>1896036</v>
      </c>
      <c r="E7116" t="inlineStr">
        <is>
          <t>SEC</t>
        </is>
      </c>
    </row>
    <row r="7117">
      <c r="A7117" s="5">
        <f>HYPERLINK("https://finance.yahoo.com/quote/GSOL","GSOL")</f>
        <v/>
      </c>
      <c r="B7117" t="inlineStr">
        <is>
          <t>Grayscale Solana Staking ETF</t>
        </is>
      </c>
      <c r="C7117" t="inlineStr">
        <is>
          <t>NYSE</t>
        </is>
      </c>
      <c r="D7117" t="n">
        <v>1896677</v>
      </c>
      <c r="E7117" t="inlineStr">
        <is>
          <t>SEC</t>
        </is>
      </c>
    </row>
    <row r="7118">
      <c r="A7118" s="5">
        <f>HYPERLINK("https://finance.yahoo.com/quote/MIMDF","MIMDF")</f>
        <v/>
      </c>
      <c r="B7118" t="inlineStr">
        <is>
          <t>MiMedia Holdings Inc.</t>
        </is>
      </c>
      <c r="C7118" t="inlineStr">
        <is>
          <t>OTC</t>
        </is>
      </c>
      <c r="D7118" t="n">
        <v>1920576</v>
      </c>
      <c r="E7118" t="inlineStr">
        <is>
          <t>SEC</t>
        </is>
      </c>
    </row>
    <row r="7119">
      <c r="A7119" s="5">
        <f>HYPERLINK("https://finance.yahoo.com/quote/AARTY","AARTY")</f>
        <v/>
      </c>
      <c r="B7119" t="inlineStr">
        <is>
          <t>Airtel Africa plc/ADR</t>
        </is>
      </c>
      <c r="C7119" t="inlineStr">
        <is>
          <t>OTC</t>
        </is>
      </c>
      <c r="D7119" t="n">
        <v>1921338</v>
      </c>
      <c r="E7119" t="inlineStr">
        <is>
          <t>SEC</t>
        </is>
      </c>
    </row>
    <row r="7120">
      <c r="A7120" s="5">
        <f>HYPERLINK("https://finance.yahoo.com/quote/PGIM","PGIM")</f>
        <v/>
      </c>
      <c r="B7120" t="inlineStr">
        <is>
          <t>PGIM Private Credit Fund</t>
        </is>
      </c>
      <c r="C7120" t="inlineStr"/>
      <c r="D7120" t="n">
        <v>1923622</v>
      </c>
      <c r="E7120" t="inlineStr">
        <is>
          <t>SEC</t>
        </is>
      </c>
    </row>
    <row r="7121">
      <c r="A7121" s="5">
        <f>HYPERLINK("https://finance.yahoo.com/quote/CGL","CGL")</f>
        <v/>
      </c>
      <c r="B7121" t="inlineStr">
        <is>
          <t>CGL Logistics Holdings Ltd</t>
        </is>
      </c>
      <c r="C7121" t="inlineStr"/>
      <c r="D7121" t="n">
        <v>1934387</v>
      </c>
      <c r="E7121" t="inlineStr">
        <is>
          <t>SEC</t>
        </is>
      </c>
    </row>
    <row r="7122">
      <c r="A7122" s="5">
        <f>HYPERLINK("https://finance.yahoo.com/quote/APTN","APTN")</f>
        <v/>
      </c>
      <c r="B7122" t="inlineStr">
        <is>
          <t>ADAPTIN BIO, INC.</t>
        </is>
      </c>
      <c r="C7122" t="inlineStr">
        <is>
          <t>OTC</t>
        </is>
      </c>
      <c r="D7122" t="n">
        <v>1938571</v>
      </c>
      <c r="E7122" t="inlineStr">
        <is>
          <t>SEC</t>
        </is>
      </c>
    </row>
    <row r="7123">
      <c r="A7123" s="5">
        <f>HYPERLINK("https://finance.yahoo.com/quote/DPU","DPU")</f>
        <v/>
      </c>
      <c r="B7123" t="inlineStr">
        <is>
          <t>Nexpu Ltd.</t>
        </is>
      </c>
      <c r="C7123" t="inlineStr">
        <is>
          <t>Nasdaq</t>
        </is>
      </c>
      <c r="D7123" t="n">
        <v>1938865</v>
      </c>
      <c r="E7123" t="inlineStr">
        <is>
          <t>SEC</t>
        </is>
      </c>
    </row>
    <row r="7124">
      <c r="A7124" s="5">
        <f>HYPERLINK("https://finance.yahoo.com/quote/GSMT","GSMT")</f>
        <v/>
      </c>
      <c r="B7124" t="inlineStr">
        <is>
          <t>Global-Smart.Tech Inc.</t>
        </is>
      </c>
      <c r="C7124" t="inlineStr">
        <is>
          <t>OTC</t>
        </is>
      </c>
      <c r="D7124" t="n">
        <v>1940243</v>
      </c>
      <c r="E7124" t="inlineStr">
        <is>
          <t>SEC</t>
        </is>
      </c>
    </row>
    <row r="7125">
      <c r="A7125" s="5">
        <f>HYPERLINK("https://finance.yahoo.com/quote/MWG","MWG")</f>
        <v/>
      </c>
      <c r="B7125" t="inlineStr">
        <is>
          <t>Multi Ways Holdings Ltd</t>
        </is>
      </c>
      <c r="C7125" t="inlineStr">
        <is>
          <t>NYSE</t>
        </is>
      </c>
      <c r="D7125" t="n">
        <v>1941500</v>
      </c>
      <c r="E7125" t="inlineStr">
        <is>
          <t>SEC</t>
        </is>
      </c>
    </row>
    <row r="7126">
      <c r="A7126" s="5">
        <f>HYPERLINK("https://finance.yahoo.com/quote/NNPEF","NNPEF")</f>
        <v/>
      </c>
      <c r="B7126" t="inlineStr">
        <is>
          <t>Ninepoint Energy Fund</t>
        </is>
      </c>
      <c r="C7126" t="inlineStr">
        <is>
          <t>OTC</t>
        </is>
      </c>
      <c r="D7126" t="n">
        <v>1951593</v>
      </c>
      <c r="E7126" t="inlineStr">
        <is>
          <t>SEC</t>
        </is>
      </c>
    </row>
    <row r="7127">
      <c r="A7127" s="5">
        <f>HYPERLINK("https://finance.yahoo.com/quote/TVCN","TVCN")</f>
        <v/>
      </c>
      <c r="B7127" t="inlineStr">
        <is>
          <t>TV Channels Network Inc.</t>
        </is>
      </c>
      <c r="C7127" t="inlineStr"/>
      <c r="D7127" t="n">
        <v>1952670</v>
      </c>
      <c r="E7127" t="inlineStr">
        <is>
          <t>SEC</t>
        </is>
      </c>
    </row>
    <row r="7128">
      <c r="A7128" s="5">
        <f>HYPERLINK("https://finance.yahoo.com/quote/CTWO","CTWO")</f>
        <v/>
      </c>
      <c r="B7128" t="inlineStr">
        <is>
          <t>COTWO ADVISORS PHYSICAL EUROPEAN CARBON ALLOWANCE TRUST</t>
        </is>
      </c>
      <c r="C7128" t="inlineStr">
        <is>
          <t>NYSE</t>
        </is>
      </c>
      <c r="D7128" t="n">
        <v>1958928</v>
      </c>
      <c r="E7128" t="inlineStr">
        <is>
          <t>SEC</t>
        </is>
      </c>
    </row>
    <row r="7129">
      <c r="A7129" s="5">
        <f>HYPERLINK("https://finance.yahoo.com/quote/MGMYY","MGMYY")</f>
        <v/>
      </c>
      <c r="B7129" t="inlineStr">
        <is>
          <t>MAGNA MINING INC.</t>
        </is>
      </c>
      <c r="C7129" t="inlineStr">
        <is>
          <t>OTC</t>
        </is>
      </c>
      <c r="D7129" t="n">
        <v>1965615</v>
      </c>
      <c r="E7129" t="inlineStr">
        <is>
          <t>SEC</t>
        </is>
      </c>
    </row>
    <row r="7130">
      <c r="A7130" s="5">
        <f>HYPERLINK("https://finance.yahoo.com/quote/NUOX","NUOX")</f>
        <v/>
      </c>
      <c r="B7130" t="inlineStr">
        <is>
          <t>NuvOx Therapeutics, Inc.</t>
        </is>
      </c>
      <c r="C7130" t="inlineStr"/>
      <c r="D7130" t="n">
        <v>1966126</v>
      </c>
      <c r="E7130" t="inlineStr">
        <is>
          <t>SEC</t>
        </is>
      </c>
    </row>
    <row r="7131">
      <c r="A7131" s="5">
        <f>HYPERLINK("https://finance.yahoo.com/quote/TDGGF","TDGGF")</f>
        <v/>
      </c>
      <c r="B7131" t="inlineStr">
        <is>
          <t>TDG Gold Corp.</t>
        </is>
      </c>
      <c r="C7131" t="inlineStr">
        <is>
          <t>OTC</t>
        </is>
      </c>
      <c r="D7131" t="n">
        <v>1972589</v>
      </c>
      <c r="E7131" t="inlineStr">
        <is>
          <t>SEC</t>
        </is>
      </c>
    </row>
    <row r="7132">
      <c r="A7132" s="5">
        <f>HYPERLINK("https://finance.yahoo.com/quote/NXNT","NXNT")</f>
        <v/>
      </c>
      <c r="B7132" t="inlineStr">
        <is>
          <t>Nexscient, Inc.</t>
        </is>
      </c>
      <c r="C7132" t="inlineStr">
        <is>
          <t>OTC</t>
        </is>
      </c>
      <c r="D7132" t="n">
        <v>1976663</v>
      </c>
      <c r="E7132" t="inlineStr">
        <is>
          <t>SEC</t>
        </is>
      </c>
    </row>
    <row r="7133">
      <c r="A7133" s="5">
        <f>HYPERLINK("https://finance.yahoo.com/quote/SKUB","SKUB")</f>
        <v/>
      </c>
      <c r="B7133" t="inlineStr">
        <is>
          <t>Skubbs Holdings Ltd</t>
        </is>
      </c>
      <c r="C7133" t="inlineStr"/>
      <c r="D7133" t="n">
        <v>1977251</v>
      </c>
      <c r="E7133" t="inlineStr">
        <is>
          <t>SEC</t>
        </is>
      </c>
    </row>
    <row r="7134">
      <c r="A7134" s="5">
        <f>HYPERLINK("https://finance.yahoo.com/quote/IBIT","IBIT")</f>
        <v/>
      </c>
      <c r="B7134" t="inlineStr">
        <is>
          <t>iShares Bitcoin Trust ETF</t>
        </is>
      </c>
      <c r="C7134" t="inlineStr">
        <is>
          <t>Nasdaq</t>
        </is>
      </c>
      <c r="D7134" t="n">
        <v>1980994</v>
      </c>
      <c r="E7134" t="inlineStr">
        <is>
          <t>SEC</t>
        </is>
      </c>
    </row>
    <row r="7135">
      <c r="A7135" s="5">
        <f>HYPERLINK("https://finance.yahoo.com/quote/VTNMF","VTNMF")</f>
        <v/>
      </c>
      <c r="B7135" t="inlineStr">
        <is>
          <t>V Ten Metals Corp.</t>
        </is>
      </c>
      <c r="C7135" t="inlineStr">
        <is>
          <t>OTC</t>
        </is>
      </c>
      <c r="D7135" t="n">
        <v>1981775</v>
      </c>
      <c r="E7135" t="inlineStr">
        <is>
          <t>SEC</t>
        </is>
      </c>
    </row>
    <row r="7136">
      <c r="A7136" s="5">
        <f>HYPERLINK("https://finance.yahoo.com/quote/PBM","PBM")</f>
        <v/>
      </c>
      <c r="B7136" t="inlineStr">
        <is>
          <t>PSYENCE BIOMEDICAL LTD.</t>
        </is>
      </c>
      <c r="C7136" t="inlineStr">
        <is>
          <t>Nasdaq</t>
        </is>
      </c>
      <c r="D7136" t="n">
        <v>1985062</v>
      </c>
      <c r="E7136" t="inlineStr">
        <is>
          <t>SEC</t>
        </is>
      </c>
    </row>
    <row r="7137">
      <c r="A7137" s="5">
        <f>HYPERLINK("https://finance.yahoo.com/quote/ADVI","ADVI")</f>
        <v/>
      </c>
      <c r="B7137" t="inlineStr">
        <is>
          <t>ALPHA DIGITAL VOLTZ INC.</t>
        </is>
      </c>
      <c r="C7137" t="inlineStr">
        <is>
          <t>OTC</t>
        </is>
      </c>
      <c r="D7137" t="n">
        <v>1985554</v>
      </c>
      <c r="E7137" t="inlineStr">
        <is>
          <t>SEC</t>
        </is>
      </c>
    </row>
    <row r="7138">
      <c r="A7138" s="5">
        <f>HYPERLINK("https://finance.yahoo.com/quote/TETH","TETH")</f>
        <v/>
      </c>
      <c r="B7138" t="inlineStr">
        <is>
          <t>21Shares Ethereum Staking ETF</t>
        </is>
      </c>
      <c r="C7138" t="inlineStr">
        <is>
          <t>CBOE</t>
        </is>
      </c>
      <c r="D7138" t="n">
        <v>1992508</v>
      </c>
      <c r="E7138" t="inlineStr">
        <is>
          <t>SEC</t>
        </is>
      </c>
    </row>
    <row r="7139">
      <c r="A7139" s="5">
        <f>HYPERLINK("https://finance.yahoo.com/quote/EZBC","EZBC")</f>
        <v/>
      </c>
      <c r="B7139" t="inlineStr">
        <is>
          <t>Franklin Templeton Digital Holdings Trust</t>
        </is>
      </c>
      <c r="C7139" t="inlineStr">
        <is>
          <t>CBOE</t>
        </is>
      </c>
      <c r="D7139" t="n">
        <v>1992870</v>
      </c>
      <c r="E7139" t="inlineStr">
        <is>
          <t>SEC</t>
        </is>
      </c>
    </row>
    <row r="7140">
      <c r="A7140" s="5">
        <f>HYPERLINK("https://finance.yahoo.com/quote/QETH","QETH")</f>
        <v/>
      </c>
      <c r="B7140" t="inlineStr">
        <is>
          <t>Invesco Galaxy Ethereum ETF</t>
        </is>
      </c>
      <c r="C7140" t="inlineStr">
        <is>
          <t>CBOE</t>
        </is>
      </c>
      <c r="D7140" t="n">
        <v>1995569</v>
      </c>
      <c r="E7140" t="inlineStr">
        <is>
          <t>SEC</t>
        </is>
      </c>
    </row>
    <row r="7141">
      <c r="A7141" s="5">
        <f>HYPERLINK("https://finance.yahoo.com/quote/MRX","MRX")</f>
        <v/>
      </c>
      <c r="B7141" t="inlineStr">
        <is>
          <t>Marex Group Ltd</t>
        </is>
      </c>
      <c r="C7141" t="inlineStr">
        <is>
          <t>Nasdaq</t>
        </is>
      </c>
      <c r="D7141" t="n">
        <v>1997464</v>
      </c>
      <c r="E7141" t="inlineStr">
        <is>
          <t>SEC</t>
        </is>
      </c>
    </row>
    <row r="7142">
      <c r="A7142" s="5">
        <f>HYPERLINK("https://finance.yahoo.com/quote/JRWP","JRWP")</f>
        <v/>
      </c>
      <c r="B7142" t="inlineStr">
        <is>
          <t>Jingrui Wang Pu Holdings Group Ltd.</t>
        </is>
      </c>
      <c r="C7142" t="inlineStr"/>
      <c r="D7142" t="n">
        <v>1998284</v>
      </c>
      <c r="E7142" t="inlineStr">
        <is>
          <t>SEC</t>
        </is>
      </c>
    </row>
    <row r="7143">
      <c r="A7143" s="5">
        <f>HYPERLINK("https://finance.yahoo.com/quote/TEGO","TEGO")</f>
        <v/>
      </c>
      <c r="B7143" t="inlineStr">
        <is>
          <t>TEG OVERSEAS, INC.</t>
        </is>
      </c>
      <c r="C7143" t="inlineStr">
        <is>
          <t>OTC</t>
        </is>
      </c>
      <c r="D7143" t="n">
        <v>1999261</v>
      </c>
      <c r="E7143" t="inlineStr">
        <is>
          <t>SEC</t>
        </is>
      </c>
    </row>
    <row r="7144">
      <c r="A7144" s="5">
        <f>HYPERLINK("https://finance.yahoo.com/quote/FETH","FETH")</f>
        <v/>
      </c>
      <c r="B7144" t="inlineStr">
        <is>
          <t>Fidelity Ethereum Fund</t>
        </is>
      </c>
      <c r="C7144" t="inlineStr">
        <is>
          <t>CBOE</t>
        </is>
      </c>
      <c r="D7144" t="n">
        <v>2000046</v>
      </c>
      <c r="E7144" t="inlineStr">
        <is>
          <t>SEC</t>
        </is>
      </c>
    </row>
    <row r="7145">
      <c r="A7145" s="5">
        <f>HYPERLINK("https://finance.yahoo.com/quote/KPL","KPL")</f>
        <v/>
      </c>
      <c r="B7145" t="inlineStr">
        <is>
          <t>Kepler Group Ltd</t>
        </is>
      </c>
      <c r="C7145" t="inlineStr"/>
      <c r="D7145" t="n">
        <v>2000208</v>
      </c>
      <c r="E7145" t="inlineStr">
        <is>
          <t>SEC</t>
        </is>
      </c>
    </row>
    <row r="7146">
      <c r="A7146" s="5">
        <f>HYPERLINK("https://finance.yahoo.com/quote/ETHA","ETHA")</f>
        <v/>
      </c>
      <c r="B7146" t="inlineStr">
        <is>
          <t>iShares Ethereum Trust ETF</t>
        </is>
      </c>
      <c r="C7146" t="inlineStr">
        <is>
          <t>Nasdaq</t>
        </is>
      </c>
      <c r="D7146" t="n">
        <v>2000638</v>
      </c>
      <c r="E7146" t="inlineStr">
        <is>
          <t>SEC</t>
        </is>
      </c>
    </row>
    <row r="7147">
      <c r="A7147" s="5">
        <f>HYPERLINK("https://finance.yahoo.com/quote/DHGR","DHGR")</f>
        <v/>
      </c>
      <c r="B7147" t="inlineStr">
        <is>
          <t>Devonian Health Group Inc.</t>
        </is>
      </c>
      <c r="C7147" t="inlineStr"/>
      <c r="D7147" t="n">
        <v>2000684</v>
      </c>
      <c r="E7147" t="inlineStr">
        <is>
          <t>SEC</t>
        </is>
      </c>
    </row>
    <row r="7148">
      <c r="A7148" s="5">
        <f>HYPERLINK("https://finance.yahoo.com/quote/PSUS","PSUS")</f>
        <v/>
      </c>
      <c r="B7148" t="inlineStr">
        <is>
          <t>Pershing Square USA, Ltd.</t>
        </is>
      </c>
      <c r="C7148" t="inlineStr">
        <is>
          <t>NYSE</t>
        </is>
      </c>
      <c r="D7148" t="n">
        <v>2002660</v>
      </c>
      <c r="E7148" t="inlineStr">
        <is>
          <t>SEC</t>
        </is>
      </c>
    </row>
    <row r="7149">
      <c r="A7149" s="5">
        <f>HYPERLINK("https://finance.yahoo.com/quote/SRAV","SRAV")</f>
        <v/>
      </c>
      <c r="B7149" t="inlineStr">
        <is>
          <t>Source Agriventures Inc.</t>
        </is>
      </c>
      <c r="C7149" t="inlineStr"/>
      <c r="D7149" t="n">
        <v>2006028</v>
      </c>
      <c r="E7149" t="inlineStr">
        <is>
          <t>SEC</t>
        </is>
      </c>
    </row>
    <row r="7150">
      <c r="A7150" s="5">
        <f>HYPERLINK("https://finance.yahoo.com/quote/ALFUU","ALFUU")</f>
        <v/>
      </c>
      <c r="B7150" t="inlineStr">
        <is>
          <t>Centurion Acquisition Corp.</t>
        </is>
      </c>
      <c r="C7150" t="inlineStr">
        <is>
          <t>Nasdaq</t>
        </is>
      </c>
      <c r="D7150" t="n">
        <v>2010930</v>
      </c>
      <c r="E7150" t="inlineStr">
        <is>
          <t>SEC</t>
        </is>
      </c>
    </row>
    <row r="7151">
      <c r="A7151" s="5">
        <f>HYPERLINK("https://finance.yahoo.com/quote/EZET","EZET")</f>
        <v/>
      </c>
      <c r="B7151" t="inlineStr">
        <is>
          <t>Franklin Ethereum Trust</t>
        </is>
      </c>
      <c r="C7151" t="inlineStr">
        <is>
          <t>CBOE</t>
        </is>
      </c>
      <c r="D7151" t="n">
        <v>2011535</v>
      </c>
      <c r="E7151" t="inlineStr">
        <is>
          <t>SEC</t>
        </is>
      </c>
    </row>
    <row r="7152">
      <c r="A7152" s="5">
        <f>HYPERLINK("https://finance.yahoo.com/quote/MOGMF","MOGMF")</f>
        <v/>
      </c>
      <c r="B7152" t="inlineStr">
        <is>
          <t>Mogotes Metals Inc.</t>
        </is>
      </c>
      <c r="C7152" t="inlineStr">
        <is>
          <t>OTC</t>
        </is>
      </c>
      <c r="D7152" t="n">
        <v>2011589</v>
      </c>
      <c r="E7152" t="inlineStr">
        <is>
          <t>SEC</t>
        </is>
      </c>
    </row>
    <row r="7153">
      <c r="A7153" s="5">
        <f>HYPERLINK("https://finance.yahoo.com/quote/SINI","SINI")</f>
        <v/>
      </c>
      <c r="B7153" t="inlineStr">
        <is>
          <t>SIERRA INTERNATIONAL NETWORK INC</t>
        </is>
      </c>
      <c r="C7153" t="inlineStr"/>
      <c r="D7153" t="n">
        <v>2011617</v>
      </c>
      <c r="E7153" t="inlineStr">
        <is>
          <t>SEC</t>
        </is>
      </c>
    </row>
    <row r="7154">
      <c r="A7154" s="5">
        <f>HYPERLINK("https://finance.yahoo.com/quote/ETHW","ETHW")</f>
        <v/>
      </c>
      <c r="B7154" t="inlineStr">
        <is>
          <t>Bitwise Ethereum ETF</t>
        </is>
      </c>
      <c r="C7154" t="inlineStr">
        <is>
          <t>NYSE</t>
        </is>
      </c>
      <c r="D7154" t="n">
        <v>2013744</v>
      </c>
      <c r="E7154" t="inlineStr">
        <is>
          <t>SEC</t>
        </is>
      </c>
    </row>
    <row r="7155">
      <c r="A7155" s="5">
        <f>HYPERLINK("https://finance.yahoo.com/quote/SIMAU","SIMAU")</f>
        <v/>
      </c>
      <c r="B7155" t="inlineStr">
        <is>
          <t>SIM Acquisition Corp. I</t>
        </is>
      </c>
      <c r="C7155" t="inlineStr">
        <is>
          <t>Nasdaq</t>
        </is>
      </c>
      <c r="D7155" t="n">
        <v>2014982</v>
      </c>
      <c r="E7155" t="inlineStr">
        <is>
          <t>SEC</t>
        </is>
      </c>
    </row>
    <row r="7156">
      <c r="A7156" s="5">
        <f>HYPERLINK("https://finance.yahoo.com/quote/BTC","BTC")</f>
        <v/>
      </c>
      <c r="B7156" t="inlineStr">
        <is>
          <t>Grayscale Bitcoin Mini Trust ETF</t>
        </is>
      </c>
      <c r="C7156" t="inlineStr">
        <is>
          <t>NYSE</t>
        </is>
      </c>
      <c r="D7156" t="n">
        <v>2015034</v>
      </c>
      <c r="E7156" t="inlineStr">
        <is>
          <t>SEC</t>
        </is>
      </c>
    </row>
    <row r="7157">
      <c r="A7157" s="5">
        <f>HYPERLINK("https://finance.yahoo.com/quote/LPAAU","LPAAU")</f>
        <v/>
      </c>
      <c r="B7157" t="inlineStr">
        <is>
          <t>Launch One Acquisition Corp.</t>
        </is>
      </c>
      <c r="C7157" t="inlineStr">
        <is>
          <t>Nasdaq</t>
        </is>
      </c>
      <c r="D7157" t="n">
        <v>2015502</v>
      </c>
      <c r="E7157" t="inlineStr">
        <is>
          <t>SEC</t>
        </is>
      </c>
    </row>
    <row r="7158">
      <c r="A7158" s="5">
        <f>HYPERLINK("https://finance.yahoo.com/quote/ETH","ETH")</f>
        <v/>
      </c>
      <c r="B7158" t="inlineStr">
        <is>
          <t>Grayscale Ethereum Staking Mini ETF</t>
        </is>
      </c>
      <c r="C7158" t="inlineStr">
        <is>
          <t>NYSE</t>
        </is>
      </c>
      <c r="D7158" t="n">
        <v>2020455</v>
      </c>
      <c r="E7158" t="inlineStr">
        <is>
          <t>SEC</t>
        </is>
      </c>
    </row>
    <row r="7159">
      <c r="A7159" s="5">
        <f>HYPERLINK("https://finance.yahoo.com/quote/STCK","STCK")</f>
        <v/>
      </c>
      <c r="B7159" t="inlineStr">
        <is>
          <t>Grayscale Stacks Trust (STX)</t>
        </is>
      </c>
      <c r="C7159" t="inlineStr">
        <is>
          <t>OTC</t>
        </is>
      </c>
      <c r="D7159" t="n">
        <v>2024996</v>
      </c>
      <c r="E7159" t="inlineStr">
        <is>
          <t>SEC</t>
        </is>
      </c>
    </row>
    <row r="7160">
      <c r="A7160" s="5">
        <f>HYPERLINK("https://finance.yahoo.com/quote/GSNR","GSNR")</f>
        <v/>
      </c>
      <c r="B7160" t="inlineStr">
        <is>
          <t>Grayscale Near Trust (NEAR)</t>
        </is>
      </c>
      <c r="C7160" t="inlineStr">
        <is>
          <t>OTC</t>
        </is>
      </c>
      <c r="D7160" t="n">
        <v>2025000</v>
      </c>
      <c r="E7160" t="inlineStr">
        <is>
          <t>SEC</t>
        </is>
      </c>
    </row>
    <row r="7161">
      <c r="A7161" s="5">
        <f>HYPERLINK("https://finance.yahoo.com/quote/SGIHY","SGIHY")</f>
        <v/>
      </c>
      <c r="B7161" t="inlineStr">
        <is>
          <t>Sugi Holdings Co., Ltd./ADR</t>
        </is>
      </c>
      <c r="C7161" t="inlineStr">
        <is>
          <t>OTC</t>
        </is>
      </c>
      <c r="D7161" t="n">
        <v>2027330</v>
      </c>
      <c r="E7161" t="inlineStr">
        <is>
          <t>SEC</t>
        </is>
      </c>
    </row>
    <row r="7162">
      <c r="A7162" s="5">
        <f>HYPERLINK("https://finance.yahoo.com/quote/ENT","ENT")</f>
        <v/>
      </c>
      <c r="B7162" t="inlineStr">
        <is>
          <t>ENTRATA, INC.</t>
        </is>
      </c>
      <c r="C7162" t="inlineStr"/>
      <c r="D7162" t="n">
        <v>2028464</v>
      </c>
      <c r="E7162" t="inlineStr">
        <is>
          <t>SEC</t>
        </is>
      </c>
    </row>
    <row r="7163">
      <c r="A7163" s="5">
        <f>HYPERLINK("https://finance.yahoo.com/quote/VSOL","VSOL")</f>
        <v/>
      </c>
      <c r="B7163" t="inlineStr">
        <is>
          <t>VanEck Solana ETF</t>
        </is>
      </c>
      <c r="C7163" t="inlineStr">
        <is>
          <t>Nasdaq</t>
        </is>
      </c>
      <c r="D7163" t="n">
        <v>2028541</v>
      </c>
      <c r="E7163" t="inlineStr">
        <is>
          <t>SEC</t>
        </is>
      </c>
    </row>
    <row r="7164">
      <c r="A7164" s="5">
        <f>HYPERLINK("https://finance.yahoo.com/quote/TSOL","TSOL")</f>
        <v/>
      </c>
      <c r="B7164" t="inlineStr">
        <is>
          <t>21Shares Solana Staking ETF</t>
        </is>
      </c>
      <c r="C7164" t="inlineStr">
        <is>
          <t>CBOE</t>
        </is>
      </c>
      <c r="D7164" t="n">
        <v>2028834</v>
      </c>
      <c r="E7164" t="inlineStr">
        <is>
          <t>SEC</t>
        </is>
      </c>
    </row>
    <row r="7165">
      <c r="A7165" s="5">
        <f>HYPERLINK("https://finance.yahoo.com/quote/TOXR","TOXR")</f>
        <v/>
      </c>
      <c r="B7165" t="inlineStr">
        <is>
          <t>21Shares XRP ETF</t>
        </is>
      </c>
      <c r="C7165" t="inlineStr">
        <is>
          <t>CBOE</t>
        </is>
      </c>
      <c r="D7165" t="n">
        <v>2028835</v>
      </c>
      <c r="E7165" t="inlineStr">
        <is>
          <t>SEC</t>
        </is>
      </c>
    </row>
    <row r="7166">
      <c r="A7166" s="5">
        <f>HYPERLINK("https://finance.yahoo.com/quote/GTAO","GTAO")</f>
        <v/>
      </c>
      <c r="B7166" t="inlineStr">
        <is>
          <t>Grayscale Bittensor Trust (TAO)</t>
        </is>
      </c>
      <c r="C7166" t="inlineStr">
        <is>
          <t>OTC</t>
        </is>
      </c>
      <c r="D7166" t="n">
        <v>2029297</v>
      </c>
      <c r="E7166" t="inlineStr">
        <is>
          <t>SEC</t>
        </is>
      </c>
    </row>
    <row r="7167">
      <c r="A7167" s="5">
        <f>HYPERLINK("https://finance.yahoo.com/quote/NCIQ","NCIQ")</f>
        <v/>
      </c>
      <c r="B7167" t="inlineStr">
        <is>
          <t>Hashdex Nasdaq CME Crypto Index ETF</t>
        </is>
      </c>
      <c r="C7167" t="inlineStr">
        <is>
          <t>Nasdaq</t>
        </is>
      </c>
      <c r="D7167" t="n">
        <v>2031069</v>
      </c>
      <c r="E7167" t="inlineStr">
        <is>
          <t>SEC</t>
        </is>
      </c>
    </row>
    <row r="7168">
      <c r="A7168" s="5">
        <f>HYPERLINK("https://finance.yahoo.com/quote/MGNO","MGNO")</f>
        <v/>
      </c>
      <c r="B7168" t="inlineStr">
        <is>
          <t>Magnolia Bancorp, Inc.</t>
        </is>
      </c>
      <c r="C7168" t="inlineStr">
        <is>
          <t>OTC</t>
        </is>
      </c>
      <c r="D7168" t="n">
        <v>2033615</v>
      </c>
      <c r="E7168" t="inlineStr">
        <is>
          <t>SEC</t>
        </is>
      </c>
    </row>
    <row r="7169">
      <c r="A7169" s="5">
        <f>HYPERLINK("https://finance.yahoo.com/quote/EZPZ","EZPZ")</f>
        <v/>
      </c>
      <c r="B7169" t="inlineStr">
        <is>
          <t>Franklin Crypto Trust</t>
        </is>
      </c>
      <c r="C7169" t="inlineStr">
        <is>
          <t>CBOE</t>
        </is>
      </c>
      <c r="D7169" t="n">
        <v>2033807</v>
      </c>
      <c r="E7169" t="inlineStr">
        <is>
          <t>SEC</t>
        </is>
      </c>
    </row>
    <row r="7170">
      <c r="A7170" s="5">
        <f>HYPERLINK("https://finance.yahoo.com/quote/GSUI","GSUI")</f>
        <v/>
      </c>
      <c r="B7170" t="inlineStr">
        <is>
          <t>Grayscale Sui Staking ETF</t>
        </is>
      </c>
      <c r="C7170" t="inlineStr">
        <is>
          <t>NYSE</t>
        </is>
      </c>
      <c r="D7170" t="n">
        <v>2034012</v>
      </c>
      <c r="E7170" t="inlineStr">
        <is>
          <t>SEC</t>
        </is>
      </c>
    </row>
    <row r="7171">
      <c r="A7171" s="5">
        <f>HYPERLINK("https://finance.yahoo.com/quote/PBRRY","PBRRY")</f>
        <v/>
      </c>
      <c r="B7171" t="inlineStr">
        <is>
          <t>PT Barito Renewables Energy Tbk/ADR</t>
        </is>
      </c>
      <c r="C7171" t="inlineStr">
        <is>
          <t>OTC</t>
        </is>
      </c>
      <c r="D7171" t="n">
        <v>2034467</v>
      </c>
      <c r="E7171" t="inlineStr">
        <is>
          <t>SEC</t>
        </is>
      </c>
    </row>
    <row r="7172">
      <c r="A7172" s="5">
        <f>HYPERLINK("https://finance.yahoo.com/quote/GAVA","GAVA")</f>
        <v/>
      </c>
      <c r="B7172" t="inlineStr">
        <is>
          <t>Grayscale Avalanche Staking ETF</t>
        </is>
      </c>
      <c r="C7172" t="inlineStr">
        <is>
          <t>Nasdaq</t>
        </is>
      </c>
      <c r="D7172" t="n">
        <v>2035053</v>
      </c>
      <c r="E7172" t="inlineStr">
        <is>
          <t>SEC</t>
        </is>
      </c>
    </row>
    <row r="7173">
      <c r="A7173" s="5">
        <f>HYPERLINK("https://finance.yahoo.com/quote/SBMW","SBMW")</f>
        <v/>
      </c>
      <c r="B7173" t="inlineStr">
        <is>
          <t>Security Midwest Bancorp, Inc.</t>
        </is>
      </c>
      <c r="C7173" t="inlineStr">
        <is>
          <t>OTC</t>
        </is>
      </c>
      <c r="D7173" t="n">
        <v>2036060</v>
      </c>
      <c r="E7173" t="inlineStr">
        <is>
          <t>SEC</t>
        </is>
      </c>
    </row>
    <row r="7174">
      <c r="A7174" s="5">
        <f>HYPERLINK("https://finance.yahoo.com/quote/NEOA","NEOA")</f>
        <v/>
      </c>
      <c r="B7174" t="inlineStr">
        <is>
          <t>Neo Aeronautics, Inc.</t>
        </is>
      </c>
      <c r="C7174" t="inlineStr"/>
      <c r="D7174" t="n">
        <v>2036444</v>
      </c>
      <c r="E7174" t="inlineStr">
        <is>
          <t>SEC</t>
        </is>
      </c>
    </row>
    <row r="7175">
      <c r="A7175" s="5">
        <f>HYPERLINK("https://finance.yahoo.com/quote/GXRP","GXRP")</f>
        <v/>
      </c>
      <c r="B7175" t="inlineStr">
        <is>
          <t>Grayscale XRP Trust ETF</t>
        </is>
      </c>
      <c r="C7175" t="inlineStr">
        <is>
          <t>NYSE</t>
        </is>
      </c>
      <c r="D7175" t="n">
        <v>2037427</v>
      </c>
      <c r="E7175" t="inlineStr">
        <is>
          <t>SEC</t>
        </is>
      </c>
    </row>
    <row r="7176">
      <c r="A7176" s="5">
        <f>HYPERLINK("https://finance.yahoo.com/quote/NKTP","NKTP")</f>
        <v/>
      </c>
      <c r="B7176" t="inlineStr">
        <is>
          <t>Nok Therapeutics, Inc.</t>
        </is>
      </c>
      <c r="C7176" t="inlineStr">
        <is>
          <t>OTC</t>
        </is>
      </c>
      <c r="D7176" t="n">
        <v>2038166</v>
      </c>
      <c r="E7176" t="inlineStr">
        <is>
          <t>SEC</t>
        </is>
      </c>
    </row>
    <row r="7177">
      <c r="A7177" s="5">
        <f>HYPERLINK("https://finance.yahoo.com/quote/LTCC","LTCC")</f>
        <v/>
      </c>
      <c r="B7177" t="inlineStr">
        <is>
          <t>Canary Litecoin ETF</t>
        </is>
      </c>
      <c r="C7177" t="inlineStr">
        <is>
          <t>Nasdaq</t>
        </is>
      </c>
      <c r="D7177" t="n">
        <v>2039461</v>
      </c>
      <c r="E7177" t="inlineStr">
        <is>
          <t>SEC</t>
        </is>
      </c>
    </row>
    <row r="7178">
      <c r="A7178" s="5">
        <f>HYPERLINK("https://finance.yahoo.com/quote/XRPC","XRPC")</f>
        <v/>
      </c>
      <c r="B7178" t="inlineStr">
        <is>
          <t>Canary XRP ETF</t>
        </is>
      </c>
      <c r="C7178" t="inlineStr">
        <is>
          <t>Nasdaq</t>
        </is>
      </c>
      <c r="D7178" t="n">
        <v>2039505</v>
      </c>
      <c r="E7178" t="inlineStr">
        <is>
          <t>SEC</t>
        </is>
      </c>
    </row>
    <row r="7179">
      <c r="A7179" s="5">
        <f>HYPERLINK("https://finance.yahoo.com/quote/XRP","XRP")</f>
        <v/>
      </c>
      <c r="B7179" t="inlineStr">
        <is>
          <t>Bitwise XRP ETF</t>
        </is>
      </c>
      <c r="C7179" t="inlineStr">
        <is>
          <t>NYSE</t>
        </is>
      </c>
      <c r="D7179" t="n">
        <v>2039525</v>
      </c>
      <c r="E7179" t="inlineStr">
        <is>
          <t>SEC</t>
        </is>
      </c>
    </row>
    <row r="7180">
      <c r="A7180" s="5">
        <f>HYPERLINK("https://finance.yahoo.com/quote/SOLC","SOLC")</f>
        <v/>
      </c>
      <c r="B7180" t="inlineStr">
        <is>
          <t>Canary Marinade Solana ETF</t>
        </is>
      </c>
      <c r="C7180" t="inlineStr">
        <is>
          <t>Nasdaq</t>
        </is>
      </c>
      <c r="D7180" t="n">
        <v>2041869</v>
      </c>
      <c r="E7180" t="inlineStr">
        <is>
          <t>SEC</t>
        </is>
      </c>
    </row>
    <row r="7181">
      <c r="A7181" s="5">
        <f>HYPERLINK("https://finance.yahoo.com/quote/KYTFY","KYTFY")</f>
        <v/>
      </c>
      <c r="B7181" t="inlineStr">
        <is>
          <t>Kyoto Financial Group Inc/ADR</t>
        </is>
      </c>
      <c r="C7181" t="inlineStr">
        <is>
          <t>OTC</t>
        </is>
      </c>
      <c r="D7181" t="n">
        <v>2042187</v>
      </c>
      <c r="E7181" t="inlineStr">
        <is>
          <t>SEC</t>
        </is>
      </c>
    </row>
    <row r="7182">
      <c r="A7182" s="5">
        <f>HYPERLINK("https://finance.yahoo.com/quote/OBNK","OBNK")</f>
        <v/>
      </c>
      <c r="B7182" t="inlineStr">
        <is>
          <t>Osprey BONK Trust</t>
        </is>
      </c>
      <c r="C7182" t="inlineStr">
        <is>
          <t>OTC</t>
        </is>
      </c>
      <c r="D7182" t="n">
        <v>2042444</v>
      </c>
      <c r="E7182" t="inlineStr">
        <is>
          <t>SEC</t>
        </is>
      </c>
    </row>
    <row r="7183">
      <c r="A7183" s="5">
        <f>HYPERLINK("https://finance.yahoo.com/quote/MW","MW")</f>
        <v/>
      </c>
      <c r="B7183" t="inlineStr">
        <is>
          <t>Tailored Brands, Inc. / DE</t>
        </is>
      </c>
      <c r="C7183" t="inlineStr"/>
      <c r="D7183" t="n">
        <v>2045151</v>
      </c>
      <c r="E7183" t="inlineStr">
        <is>
          <t>SEC</t>
        </is>
      </c>
    </row>
    <row r="7184">
      <c r="A7184" s="5">
        <f>HYPERLINK("https://finance.yahoo.com/quote/GHRTF","GHRTF")</f>
        <v/>
      </c>
      <c r="B7184" t="inlineStr">
        <is>
          <t>Greenheart Gold Inc.</t>
        </is>
      </c>
      <c r="C7184" t="inlineStr">
        <is>
          <t>OTC</t>
        </is>
      </c>
      <c r="D7184" t="n">
        <v>2045434</v>
      </c>
      <c r="E7184" t="inlineStr">
        <is>
          <t>SEC</t>
        </is>
      </c>
    </row>
    <row r="7185">
      <c r="A7185" s="5">
        <f>HYPERLINK("https://finance.yahoo.com/quote/BSOL","BSOL")</f>
        <v/>
      </c>
      <c r="B7185" t="inlineStr">
        <is>
          <t>Bitwise Solana Staking ETF</t>
        </is>
      </c>
      <c r="C7185" t="inlineStr">
        <is>
          <t>NYSE</t>
        </is>
      </c>
      <c r="D7185" t="n">
        <v>2045872</v>
      </c>
      <c r="E7185" t="inlineStr">
        <is>
          <t>SEC</t>
        </is>
      </c>
    </row>
    <row r="7186">
      <c r="A7186" s="5">
        <f>HYPERLINK("https://finance.yahoo.com/quote/ALEUY","ALEUY")</f>
        <v/>
      </c>
      <c r="B7186" t="inlineStr">
        <is>
          <t>ALLEGRO.EU SA/ADR</t>
        </is>
      </c>
      <c r="C7186" t="inlineStr">
        <is>
          <t>OTC</t>
        </is>
      </c>
      <c r="D7186" t="n">
        <v>2046098</v>
      </c>
      <c r="E7186" t="inlineStr">
        <is>
          <t>SEC</t>
        </is>
      </c>
    </row>
    <row r="7187">
      <c r="A7187" s="5">
        <f>HYPERLINK("https://finance.yahoo.com/quote/WODO","WODO")</f>
        <v/>
      </c>
      <c r="B7187" t="inlineStr">
        <is>
          <t>World Road Inc.</t>
        </is>
      </c>
      <c r="C7187" t="inlineStr"/>
      <c r="D7187" t="n">
        <v>2049348</v>
      </c>
      <c r="E7187" t="inlineStr">
        <is>
          <t>SEC</t>
        </is>
      </c>
    </row>
    <row r="7188">
      <c r="A7188" s="5">
        <f>HYPERLINK("https://finance.yahoo.com/quote/HCPC","HCPC")</f>
        <v/>
      </c>
      <c r="B7188" t="inlineStr">
        <is>
          <t>HengHong Technology Inc.</t>
        </is>
      </c>
      <c r="C7188" t="inlineStr"/>
      <c r="D7188" t="n">
        <v>2050020</v>
      </c>
      <c r="E7188" t="inlineStr">
        <is>
          <t>SEC</t>
        </is>
      </c>
    </row>
    <row r="7189">
      <c r="A7189" s="5">
        <f>HYPERLINK("https://finance.yahoo.com/quote/MKAR","MKAR")</f>
        <v/>
      </c>
      <c r="B7189" t="inlineStr">
        <is>
          <t>Mkango Rare Earths Ltd</t>
        </is>
      </c>
      <c r="C7189" t="inlineStr"/>
      <c r="D7189" t="n">
        <v>2052373</v>
      </c>
      <c r="E7189" t="inlineStr">
        <is>
          <t>SEC</t>
        </is>
      </c>
    </row>
    <row r="7190">
      <c r="A7190" s="5">
        <f>HYPERLINK("https://finance.yahoo.com/quote/VCCG","VCCG")</f>
        <v/>
      </c>
      <c r="B7190" t="inlineStr">
        <is>
          <t>V Capital Consulting Group Ltd</t>
        </is>
      </c>
      <c r="C7190" t="inlineStr"/>
      <c r="D7190" t="n">
        <v>2052443</v>
      </c>
      <c r="E7190" t="inlineStr">
        <is>
          <t>SEC</t>
        </is>
      </c>
    </row>
    <row r="7191">
      <c r="A7191" s="5">
        <f>HYPERLINK("https://finance.yahoo.com/quote/PCPGY","PCPGY")</f>
        <v/>
      </c>
      <c r="B7191" t="inlineStr">
        <is>
          <t>PC Partner Group Ltd/ADR</t>
        </is>
      </c>
      <c r="C7191" t="inlineStr">
        <is>
          <t>OTC</t>
        </is>
      </c>
      <c r="D7191" t="n">
        <v>2053411</v>
      </c>
      <c r="E7191" t="inlineStr">
        <is>
          <t>SEC</t>
        </is>
      </c>
    </row>
    <row r="7192">
      <c r="A7192" s="5">
        <f>HYPERLINK("https://finance.yahoo.com/quote/YGSHY","YGSHY")</f>
        <v/>
      </c>
      <c r="B7192" t="inlineStr">
        <is>
          <t>Yangzijiang Shipbuilding Holdings Ltd/ADR</t>
        </is>
      </c>
      <c r="C7192" t="inlineStr">
        <is>
          <t>OTC</t>
        </is>
      </c>
      <c r="D7192" t="n">
        <v>2053843</v>
      </c>
      <c r="E7192" t="inlineStr">
        <is>
          <t>SEC</t>
        </is>
      </c>
    </row>
    <row r="7193">
      <c r="A7193" s="5">
        <f>HYPERLINK("https://finance.yahoo.com/quote/GDOG","GDOG")</f>
        <v/>
      </c>
      <c r="B7193" t="inlineStr">
        <is>
          <t>Grayscale Dogecoin Trust ETF</t>
        </is>
      </c>
      <c r="C7193" t="inlineStr">
        <is>
          <t>NYSE</t>
        </is>
      </c>
      <c r="D7193" t="n">
        <v>2055510</v>
      </c>
      <c r="E7193" t="inlineStr">
        <is>
          <t>SEC</t>
        </is>
      </c>
    </row>
    <row r="7194">
      <c r="A7194" s="5">
        <f>HYPERLINK("https://finance.yahoo.com/quote/BXRLY","BXRLY")</f>
        <v/>
      </c>
      <c r="B7194" t="inlineStr">
        <is>
          <t>Boxer Retail Limited/ADR</t>
        </is>
      </c>
      <c r="C7194" t="inlineStr">
        <is>
          <t>OTC</t>
        </is>
      </c>
      <c r="D7194" t="n">
        <v>2056450</v>
      </c>
      <c r="E7194" t="inlineStr">
        <is>
          <t>SEC</t>
        </is>
      </c>
    </row>
    <row r="7195">
      <c r="A7195" s="5">
        <f>HYPERLINK("https://finance.yahoo.com/quote/SOEZ","SOEZ")</f>
        <v/>
      </c>
      <c r="B7195" t="inlineStr">
        <is>
          <t>Franklin Solana Trust</t>
        </is>
      </c>
      <c r="C7195" t="inlineStr">
        <is>
          <t>NYSE</t>
        </is>
      </c>
      <c r="D7195" t="n">
        <v>2057388</v>
      </c>
      <c r="E7195" t="inlineStr">
        <is>
          <t>SEC</t>
        </is>
      </c>
    </row>
    <row r="7196">
      <c r="A7196" s="5">
        <f>HYPERLINK("https://finance.yahoo.com/quote/KUBE","KUBE")</f>
        <v/>
      </c>
      <c r="B7196" t="inlineStr">
        <is>
          <t>CubeBio Holdings Ltd</t>
        </is>
      </c>
      <c r="C7196" t="inlineStr"/>
      <c r="D7196" t="n">
        <v>2058261</v>
      </c>
      <c r="E7196" t="inlineStr">
        <is>
          <t>SEC</t>
        </is>
      </c>
    </row>
    <row r="7197">
      <c r="A7197" s="5">
        <f>HYPERLINK("https://finance.yahoo.com/quote/XRPZ","XRPZ")</f>
        <v/>
      </c>
      <c r="B7197" t="inlineStr">
        <is>
          <t>Franklin XRP Trust</t>
        </is>
      </c>
      <c r="C7197" t="inlineStr">
        <is>
          <t>NYSE</t>
        </is>
      </c>
      <c r="D7197" t="n">
        <v>2059438</v>
      </c>
      <c r="E7197" t="inlineStr">
        <is>
          <t>SEC</t>
        </is>
      </c>
    </row>
    <row r="7198">
      <c r="A7198" s="5">
        <f>HYPERLINK("https://finance.yahoo.com/quote/GGTKY","GGTKY")</f>
        <v/>
      </c>
      <c r="B7198" t="inlineStr">
        <is>
          <t>PT GoTo Gojek Tokopedia Tbk/ADR</t>
        </is>
      </c>
      <c r="C7198" t="inlineStr">
        <is>
          <t>OTC</t>
        </is>
      </c>
      <c r="D7198" t="n">
        <v>2059690</v>
      </c>
      <c r="E7198" t="inlineStr">
        <is>
          <t>SEC</t>
        </is>
      </c>
    </row>
    <row r="7199">
      <c r="A7199" s="5">
        <f>HYPERLINK("https://finance.yahoo.com/quote/ONWRY","ONWRY")</f>
        <v/>
      </c>
      <c r="B7199" t="inlineStr">
        <is>
          <t>Onward Medical N.V./ADR</t>
        </is>
      </c>
      <c r="C7199" t="inlineStr">
        <is>
          <t>OTC</t>
        </is>
      </c>
      <c r="D7199" t="n">
        <v>2059986</v>
      </c>
      <c r="E7199" t="inlineStr">
        <is>
          <t>SEC</t>
        </is>
      </c>
    </row>
    <row r="7200">
      <c r="A7200" s="5">
        <f>HYPERLINK("https://finance.yahoo.com/quote/HZRBY","HZRBY")</f>
        <v/>
      </c>
      <c r="B7200" t="inlineStr">
        <is>
          <t>Horizon Robotics, Inc./ADR</t>
        </is>
      </c>
      <c r="C7200" t="inlineStr">
        <is>
          <t>OTC</t>
        </is>
      </c>
      <c r="D7200" t="n">
        <v>2060217</v>
      </c>
      <c r="E7200" t="inlineStr">
        <is>
          <t>SEC</t>
        </is>
      </c>
    </row>
    <row r="7201">
      <c r="A7201" s="5">
        <f>HYPERLINK("https://finance.yahoo.com/quote/SUIS","SUIS")</f>
        <v/>
      </c>
      <c r="B7201" t="inlineStr">
        <is>
          <t>Canary Staked SUI ETF</t>
        </is>
      </c>
      <c r="C7201" t="inlineStr">
        <is>
          <t>Nasdaq</t>
        </is>
      </c>
      <c r="D7201" t="n">
        <v>2060703</v>
      </c>
      <c r="E7201" t="inlineStr">
        <is>
          <t>SEC</t>
        </is>
      </c>
    </row>
    <row r="7202">
      <c r="A7202" s="5">
        <f>HYPERLINK("https://finance.yahoo.com/quote/VAVX","VAVX")</f>
        <v/>
      </c>
      <c r="B7202" t="inlineStr">
        <is>
          <t>VanEck Avalanche ETF</t>
        </is>
      </c>
      <c r="C7202" t="inlineStr">
        <is>
          <t>Nasdaq</t>
        </is>
      </c>
      <c r="D7202" t="n">
        <v>2060717</v>
      </c>
      <c r="E7202" t="inlineStr">
        <is>
          <t>SEC</t>
        </is>
      </c>
    </row>
    <row r="7203">
      <c r="A7203" s="5">
        <f>HYPERLINK("https://finance.yahoo.com/quote/NHLTY","NHLTY")</f>
        <v/>
      </c>
      <c r="B7203" t="inlineStr">
        <is>
          <t>Nightingale Health Plc</t>
        </is>
      </c>
      <c r="C7203" t="inlineStr">
        <is>
          <t>OTC</t>
        </is>
      </c>
      <c r="D7203" t="n">
        <v>2060863</v>
      </c>
      <c r="E7203" t="inlineStr">
        <is>
          <t>SEC</t>
        </is>
      </c>
    </row>
    <row r="7204">
      <c r="A7204" s="5">
        <f>HYPERLINK("https://finance.yahoo.com/quote/TSUI","TSUI")</f>
        <v/>
      </c>
      <c r="B7204" t="inlineStr">
        <is>
          <t>21Shares Sui Staking ETF</t>
        </is>
      </c>
      <c r="C7204" t="inlineStr">
        <is>
          <t>Nasdaq</t>
        </is>
      </c>
      <c r="D7204" t="n">
        <v>2061626</v>
      </c>
      <c r="E7204" t="inlineStr">
        <is>
          <t>SEC</t>
        </is>
      </c>
    </row>
    <row r="7205">
      <c r="A7205" s="5">
        <f>HYPERLINK("https://finance.yahoo.com/quote/IDPEY","IDPEY")</f>
        <v/>
      </c>
      <c r="B7205" t="inlineStr">
        <is>
          <t>IDP Education Ltd./ADR</t>
        </is>
      </c>
      <c r="C7205" t="inlineStr">
        <is>
          <t>OTC</t>
        </is>
      </c>
      <c r="D7205" t="n">
        <v>2062803</v>
      </c>
      <c r="E7205" t="inlineStr">
        <is>
          <t>SEC</t>
        </is>
      </c>
    </row>
    <row r="7206">
      <c r="A7206" s="5">
        <f>HYPERLINK("https://finance.yahoo.com/quote/MNZLY","MNZLY")</f>
        <v/>
      </c>
      <c r="B7206" t="inlineStr">
        <is>
          <t>Mercury NZ Ltd./ADR</t>
        </is>
      </c>
      <c r="C7206" t="inlineStr">
        <is>
          <t>OTC</t>
        </is>
      </c>
      <c r="D7206" t="n">
        <v>2062807</v>
      </c>
      <c r="E7206" t="inlineStr">
        <is>
          <t>SEC</t>
        </is>
      </c>
    </row>
    <row r="7207">
      <c r="A7207" s="5">
        <f>HYPERLINK("https://finance.yahoo.com/quote/CLRLY","CLRLY")</f>
        <v/>
      </c>
      <c r="B7207" t="inlineStr">
        <is>
          <t>Central Retail Corp Public Co Limited/ADR</t>
        </is>
      </c>
      <c r="C7207" t="inlineStr">
        <is>
          <t>OTC</t>
        </is>
      </c>
      <c r="D7207" t="n">
        <v>2063231</v>
      </c>
      <c r="E7207" t="inlineStr">
        <is>
          <t>SEC</t>
        </is>
      </c>
    </row>
    <row r="7208">
      <c r="A7208" s="5">
        <f>HYPERLINK("https://finance.yahoo.com/quote/FSOL","FSOL")</f>
        <v/>
      </c>
      <c r="B7208" t="inlineStr">
        <is>
          <t>Fidelity Solana Fund</t>
        </is>
      </c>
      <c r="C7208" t="inlineStr">
        <is>
          <t>NYSE</t>
        </is>
      </c>
      <c r="D7208" t="n">
        <v>2063380</v>
      </c>
      <c r="E7208" t="inlineStr">
        <is>
          <t>SEC</t>
        </is>
      </c>
    </row>
    <row r="7209">
      <c r="A7209" s="5">
        <f>HYPERLINK("https://finance.yahoo.com/quote/SMPHY","SMPHY")</f>
        <v/>
      </c>
      <c r="B7209" t="inlineStr">
        <is>
          <t>SM Prime Holdings Inc./ADR</t>
        </is>
      </c>
      <c r="C7209" t="inlineStr">
        <is>
          <t>OTC</t>
        </is>
      </c>
      <c r="D7209" t="n">
        <v>2063413</v>
      </c>
      <c r="E7209" t="inlineStr">
        <is>
          <t>SEC</t>
        </is>
      </c>
    </row>
    <row r="7210">
      <c r="A7210" s="5">
        <f>HYPERLINK("https://finance.yahoo.com/quote/MREGY","MREGY")</f>
        <v/>
      </c>
      <c r="B7210" t="inlineStr">
        <is>
          <t>Meridian Energy Ltd/ADR</t>
        </is>
      </c>
      <c r="C7210" t="inlineStr">
        <is>
          <t>OTC</t>
        </is>
      </c>
      <c r="D7210" t="n">
        <v>2063417</v>
      </c>
      <c r="E7210" t="inlineStr">
        <is>
          <t>SEC</t>
        </is>
      </c>
    </row>
    <row r="7211">
      <c r="A7211" s="5">
        <f>HYPERLINK("https://finance.yahoo.com/quote/GRCPY","GRCPY")</f>
        <v/>
      </c>
      <c r="B7211" t="inlineStr">
        <is>
          <t>Canal Plus SA/ADR</t>
        </is>
      </c>
      <c r="C7211" t="inlineStr">
        <is>
          <t>OTC</t>
        </is>
      </c>
      <c r="D7211" t="n">
        <v>2063671</v>
      </c>
      <c r="E7211" t="inlineStr">
        <is>
          <t>SEC</t>
        </is>
      </c>
    </row>
    <row r="7212">
      <c r="A7212" s="5">
        <f>HYPERLINK("https://finance.yahoo.com/quote/LSHGY","LSHGY")</f>
        <v/>
      </c>
      <c r="B7212" t="inlineStr">
        <is>
          <t>Louis Hachette Group/ADR</t>
        </is>
      </c>
      <c r="C7212" t="inlineStr">
        <is>
          <t>OTC</t>
        </is>
      </c>
      <c r="D7212" t="n">
        <v>2063675</v>
      </c>
      <c r="E7212" t="inlineStr">
        <is>
          <t>SEC</t>
        </is>
      </c>
    </row>
    <row r="7213">
      <c r="A7213" s="5">
        <f>HYPERLINK("https://finance.yahoo.com/quote/PSBTY","PSBTY")</f>
        <v/>
      </c>
      <c r="B7213" t="inlineStr">
        <is>
          <t>PT Sumber Alfaria Trijaya Tbk/ADR</t>
        </is>
      </c>
      <c r="C7213" t="inlineStr">
        <is>
          <t>OTC</t>
        </is>
      </c>
      <c r="D7213" t="n">
        <v>2063685</v>
      </c>
      <c r="E7213" t="inlineStr">
        <is>
          <t>SEC</t>
        </is>
      </c>
    </row>
    <row r="7214">
      <c r="A7214" s="5">
        <f>HYPERLINK("https://finance.yahoo.com/quote/TDOG","TDOG")</f>
        <v/>
      </c>
      <c r="B7214" t="inlineStr">
        <is>
          <t>21Shares Dogecoin ETF</t>
        </is>
      </c>
      <c r="C7214" t="inlineStr">
        <is>
          <t>Nasdaq</t>
        </is>
      </c>
      <c r="D7214" t="n">
        <v>2064314</v>
      </c>
      <c r="E7214" t="inlineStr">
        <is>
          <t>SEC</t>
        </is>
      </c>
    </row>
    <row r="7215">
      <c r="A7215" s="5">
        <f>HYPERLINK("https://finance.yahoo.com/quote/THCLY","THCLY")</f>
        <v/>
      </c>
      <c r="B7215" t="inlineStr">
        <is>
          <t>Toho Co., Ltd./ADR</t>
        </is>
      </c>
      <c r="C7215" t="inlineStr">
        <is>
          <t>OTC</t>
        </is>
      </c>
      <c r="D7215" t="n">
        <v>2064381</v>
      </c>
      <c r="E7215" t="inlineStr">
        <is>
          <t>SEC</t>
        </is>
      </c>
    </row>
    <row r="7216">
      <c r="A7216" s="5">
        <f>HYPERLINK("https://finance.yahoo.com/quote/TRXS","TRXS")</f>
        <v/>
      </c>
      <c r="B7216" t="inlineStr">
        <is>
          <t>Canary Staked TRX ETF</t>
        </is>
      </c>
      <c r="C7216" t="inlineStr">
        <is>
          <t>CBOE</t>
        </is>
      </c>
      <c r="D7216" t="n">
        <v>2064768</v>
      </c>
      <c r="E7216" t="inlineStr">
        <is>
          <t>SEC</t>
        </is>
      </c>
    </row>
    <row r="7217">
      <c r="A7217" s="5">
        <f>HYPERLINK("https://finance.yahoo.com/quote/FIT","FIT")</f>
        <v/>
      </c>
      <c r="B7217" t="inlineStr">
        <is>
          <t>Fitness Fanatics Ltd</t>
        </is>
      </c>
      <c r="C7217" t="inlineStr"/>
      <c r="D7217" t="n">
        <v>2065232</v>
      </c>
      <c r="E7217" t="inlineStr">
        <is>
          <t>SEC</t>
        </is>
      </c>
    </row>
    <row r="7218">
      <c r="A7218" s="5">
        <f>HYPERLINK("https://finance.yahoo.com/quote/DNCLY","DNCLY")</f>
        <v/>
      </c>
      <c r="B7218" t="inlineStr">
        <is>
          <t>DeNA Co., Ltd./ADR</t>
        </is>
      </c>
      <c r="C7218" t="inlineStr">
        <is>
          <t>OTC</t>
        </is>
      </c>
      <c r="D7218" t="n">
        <v>2065660</v>
      </c>
      <c r="E7218" t="inlineStr">
        <is>
          <t>SEC</t>
        </is>
      </c>
    </row>
    <row r="7219">
      <c r="A7219" s="5">
        <f>HYPERLINK("https://finance.yahoo.com/quote/FRLCY","FRLCY")</f>
        <v/>
      </c>
      <c r="B7219" t="inlineStr">
        <is>
          <t>Freelancer Ltd</t>
        </is>
      </c>
      <c r="C7219" t="inlineStr">
        <is>
          <t>OTC</t>
        </is>
      </c>
      <c r="D7219" t="n">
        <v>2065932</v>
      </c>
      <c r="E7219" t="inlineStr">
        <is>
          <t>SEC</t>
        </is>
      </c>
    </row>
    <row r="7220">
      <c r="A7220" s="5">
        <f>HYPERLINK("https://finance.yahoo.com/quote/SCBXY","SCBXY")</f>
        <v/>
      </c>
      <c r="B7220" t="inlineStr">
        <is>
          <t>SCB X Public Co Ltd</t>
        </is>
      </c>
      <c r="C7220" t="inlineStr">
        <is>
          <t>OTC</t>
        </is>
      </c>
      <c r="D7220" t="n">
        <v>2066600</v>
      </c>
      <c r="E7220" t="inlineStr">
        <is>
          <t>SEC</t>
        </is>
      </c>
    </row>
    <row r="7221">
      <c r="A7221" s="5">
        <f>HYPERLINK("https://finance.yahoo.com/quote/TKCYY","TKCYY")</f>
        <v/>
      </c>
      <c r="B7221" t="inlineStr">
        <is>
          <t>Tokyo Ohka Kogyo Co., Ltd./ADR</t>
        </is>
      </c>
      <c r="C7221" t="inlineStr">
        <is>
          <t>OTC</t>
        </is>
      </c>
      <c r="D7221" t="n">
        <v>2066601</v>
      </c>
      <c r="E7221" t="inlineStr">
        <is>
          <t>SEC</t>
        </is>
      </c>
    </row>
    <row r="7222">
      <c r="A7222" s="5">
        <f>HYPERLINK("https://finance.yahoo.com/quote/VBNB","VBNB")</f>
        <v/>
      </c>
      <c r="B7222" t="inlineStr">
        <is>
          <t>VanEck BNB ETF</t>
        </is>
      </c>
      <c r="C7222" t="inlineStr">
        <is>
          <t>Nasdaq</t>
        </is>
      </c>
      <c r="D7222" t="n">
        <v>2066824</v>
      </c>
      <c r="E7222" t="inlineStr">
        <is>
          <t>SEC</t>
        </is>
      </c>
    </row>
    <row r="7223">
      <c r="A7223" s="5">
        <f>HYPERLINK("https://finance.yahoo.com/quote/CAPI","CAPI")</f>
        <v/>
      </c>
      <c r="B7223" t="inlineStr">
        <is>
          <t>CAPSTONE 72, INC.</t>
        </is>
      </c>
      <c r="C7223" t="inlineStr"/>
      <c r="D7223" t="n">
        <v>2066925</v>
      </c>
      <c r="E7223" t="inlineStr">
        <is>
          <t>SEC</t>
        </is>
      </c>
    </row>
    <row r="7224">
      <c r="A7224" s="5">
        <f>HYPERLINK("https://finance.yahoo.com/quote/NRR","NRR")</f>
        <v/>
      </c>
      <c r="B7224" t="inlineStr">
        <is>
          <t>Bitwise NEAR ETF</t>
        </is>
      </c>
      <c r="C7224" t="inlineStr">
        <is>
          <t>NYSE</t>
        </is>
      </c>
      <c r="D7224" t="n">
        <v>2067111</v>
      </c>
      <c r="E7224" t="inlineStr">
        <is>
          <t>SEC</t>
        </is>
      </c>
    </row>
    <row r="7225">
      <c r="A7225" s="5">
        <f>HYPERLINK("https://finance.yahoo.com/quote/IDXMF","IDXMF")</f>
        <v/>
      </c>
      <c r="B7225" t="inlineStr">
        <is>
          <t>IDEX METALS CORP.</t>
        </is>
      </c>
      <c r="C7225" t="inlineStr">
        <is>
          <t>OTC</t>
        </is>
      </c>
      <c r="D7225" t="n">
        <v>2067171</v>
      </c>
      <c r="E7225" t="inlineStr">
        <is>
          <t>SEC</t>
        </is>
      </c>
    </row>
    <row r="7226">
      <c r="A7226" s="5">
        <f>HYPERLINK("https://finance.yahoo.com/quote/KOEI","KOEI")</f>
        <v/>
      </c>
      <c r="B7226" t="inlineStr">
        <is>
          <t>Koei Group Co., Ltd.</t>
        </is>
      </c>
      <c r="C7226" t="inlineStr"/>
      <c r="D7226" t="n">
        <v>2070087</v>
      </c>
      <c r="E7226" t="inlineStr">
        <is>
          <t>SEC</t>
        </is>
      </c>
    </row>
    <row r="7227">
      <c r="A7227" s="5">
        <f>HYPERLINK("https://finance.yahoo.com/quote/SOUD","SOUD")</f>
        <v/>
      </c>
      <c r="B7227" t="inlineStr">
        <is>
          <t>Hacker Interstellar Inc.</t>
        </is>
      </c>
      <c r="C7227" t="inlineStr"/>
      <c r="D7227" t="n">
        <v>2070237</v>
      </c>
      <c r="E7227" t="inlineStr">
        <is>
          <t>SEC</t>
        </is>
      </c>
    </row>
    <row r="7228">
      <c r="A7228" s="5">
        <f>HYPERLINK("https://finance.yahoo.com/quote/AIB","AIB")</f>
        <v/>
      </c>
      <c r="B7228" t="inlineStr">
        <is>
          <t>AIB Data Centers Inc.</t>
        </is>
      </c>
      <c r="C7228" t="inlineStr">
        <is>
          <t>NYSE</t>
        </is>
      </c>
      <c r="D7228" t="n">
        <v>2070542</v>
      </c>
      <c r="E7228" t="inlineStr">
        <is>
          <t>SEC</t>
        </is>
      </c>
    </row>
    <row r="7229">
      <c r="A7229" s="5">
        <f>HYPERLINK("https://finance.yahoo.com/quote/RECCY","RECCY")</f>
        <v/>
      </c>
      <c r="B7229" t="inlineStr">
        <is>
          <t>Reece Limited/ADR</t>
        </is>
      </c>
      <c r="C7229" t="inlineStr">
        <is>
          <t>OTC</t>
        </is>
      </c>
      <c r="D7229" t="n">
        <v>2070570</v>
      </c>
      <c r="E7229" t="inlineStr">
        <is>
          <t>SEC</t>
        </is>
      </c>
    </row>
    <row r="7230">
      <c r="A7230" s="5">
        <f>HYPERLINK("https://finance.yahoo.com/quote/BMOK","BMOK")</f>
        <v/>
      </c>
      <c r="B7230" t="inlineStr">
        <is>
          <t>BM Acquisition Corp.</t>
        </is>
      </c>
      <c r="C7230" t="inlineStr"/>
      <c r="D7230" t="n">
        <v>2071607</v>
      </c>
      <c r="E7230" t="inlineStr">
        <is>
          <t>SEC</t>
        </is>
      </c>
    </row>
    <row r="7231">
      <c r="A7231" s="5">
        <f>HYPERLINK("https://finance.yahoo.com/quote/CPXXY","CPXXY")</f>
        <v/>
      </c>
      <c r="B7231" t="inlineStr">
        <is>
          <t>Capital Power Corp/ADR</t>
        </is>
      </c>
      <c r="C7231" t="inlineStr">
        <is>
          <t>OTC</t>
        </is>
      </c>
      <c r="D7231" t="n">
        <v>2071911</v>
      </c>
      <c r="E7231" t="inlineStr">
        <is>
          <t>SEC</t>
        </is>
      </c>
    </row>
    <row r="7232">
      <c r="A7232" s="5">
        <f>HYPERLINK("https://finance.yahoo.com/quote/PRSKY","PRSKY")</f>
        <v/>
      </c>
      <c r="B7232" t="inlineStr">
        <is>
          <t>PrairieSky Royalty Ltd/ADR</t>
        </is>
      </c>
      <c r="C7232" t="inlineStr">
        <is>
          <t>OTC</t>
        </is>
      </c>
      <c r="D7232" t="n">
        <v>2071912</v>
      </c>
      <c r="E7232" t="inlineStr">
        <is>
          <t>SEC</t>
        </is>
      </c>
    </row>
    <row r="7233">
      <c r="A7233" s="5">
        <f>HYPERLINK("https://finance.yahoo.com/quote/GBNXY","GBNXY")</f>
        <v/>
      </c>
      <c r="B7233" t="inlineStr">
        <is>
          <t>Gibson Energy Inc/ADR</t>
        </is>
      </c>
      <c r="C7233" t="inlineStr">
        <is>
          <t>OTC</t>
        </is>
      </c>
      <c r="D7233" t="n">
        <v>2071913</v>
      </c>
      <c r="E7233" t="inlineStr">
        <is>
          <t>SEC</t>
        </is>
      </c>
    </row>
    <row r="7234">
      <c r="A7234" s="5">
        <f>HYPERLINK("https://finance.yahoo.com/quote/NPIXY","NPIXY")</f>
        <v/>
      </c>
      <c r="B7234" t="inlineStr">
        <is>
          <t>Northland Power Inc./ADR</t>
        </is>
      </c>
      <c r="C7234" t="inlineStr">
        <is>
          <t>OTC</t>
        </is>
      </c>
      <c r="D7234" t="n">
        <v>2072389</v>
      </c>
      <c r="E7234" t="inlineStr">
        <is>
          <t>SEC</t>
        </is>
      </c>
    </row>
    <row r="7235">
      <c r="A7235" s="5">
        <f>HYPERLINK("https://finance.yahoo.com/quote/SAPUY","SAPUY")</f>
        <v/>
      </c>
      <c r="B7235" t="inlineStr">
        <is>
          <t>Saputo Inc./ADR</t>
        </is>
      </c>
      <c r="C7235" t="inlineStr">
        <is>
          <t>OTC</t>
        </is>
      </c>
      <c r="D7235" t="n">
        <v>2072563</v>
      </c>
      <c r="E7235" t="inlineStr">
        <is>
          <t>SEC</t>
        </is>
      </c>
    </row>
    <row r="7236">
      <c r="A7236" s="5">
        <f>HYPERLINK("https://finance.yahoo.com/quote/BIREY","BIREY")</f>
        <v/>
      </c>
      <c r="B7236" t="inlineStr">
        <is>
          <t>Birchcliff Energy Ltd./ADR</t>
        </is>
      </c>
      <c r="C7236" t="inlineStr">
        <is>
          <t>OTC</t>
        </is>
      </c>
      <c r="D7236" t="n">
        <v>2073268</v>
      </c>
      <c r="E7236" t="inlineStr">
        <is>
          <t>SEC</t>
        </is>
      </c>
    </row>
    <row r="7237">
      <c r="A7237" s="5">
        <f>HYPERLINK("https://finance.yahoo.com/quote/ELFTY","ELFTY")</f>
        <v/>
      </c>
      <c r="B7237" t="inlineStr">
        <is>
          <t>Element Fleet Management Corp./ADR</t>
        </is>
      </c>
      <c r="C7237" t="inlineStr">
        <is>
          <t>OTC</t>
        </is>
      </c>
      <c r="D7237" t="n">
        <v>2073615</v>
      </c>
      <c r="E7237" t="inlineStr">
        <is>
          <t>SEC</t>
        </is>
      </c>
    </row>
    <row r="7238">
      <c r="A7238" s="5">
        <f>HYPERLINK("https://finance.yahoo.com/quote/FNIGY","FNIGY")</f>
        <v/>
      </c>
      <c r="B7238" t="inlineStr">
        <is>
          <t>Finning International Inc./ADR</t>
        </is>
      </c>
      <c r="C7238" t="inlineStr">
        <is>
          <t>OTC</t>
        </is>
      </c>
      <c r="D7238" t="n">
        <v>2073638</v>
      </c>
      <c r="E7238" t="inlineStr">
        <is>
          <t>SEC</t>
        </is>
      </c>
    </row>
    <row r="7239">
      <c r="A7239" s="5">
        <f>HYPERLINK("https://finance.yahoo.com/quote/METRY","METRY")</f>
        <v/>
      </c>
      <c r="B7239" t="inlineStr">
        <is>
          <t>METRO INC./ADR</t>
        </is>
      </c>
      <c r="C7239" t="inlineStr">
        <is>
          <t>OTC</t>
        </is>
      </c>
      <c r="D7239" t="n">
        <v>2073643</v>
      </c>
      <c r="E7239" t="inlineStr">
        <is>
          <t>SEC</t>
        </is>
      </c>
    </row>
    <row r="7240">
      <c r="A7240" s="5">
        <f>HYPERLINK("https://finance.yahoo.com/quote/TPZEY","TPZEY")</f>
        <v/>
      </c>
      <c r="B7240" t="inlineStr">
        <is>
          <t>Topaz Energy Corp./ADR</t>
        </is>
      </c>
      <c r="C7240" t="inlineStr">
        <is>
          <t>OTC</t>
        </is>
      </c>
      <c r="D7240" t="n">
        <v>2073655</v>
      </c>
      <c r="E7240" t="inlineStr">
        <is>
          <t>SEC</t>
        </is>
      </c>
    </row>
    <row r="7241">
      <c r="A7241" s="5">
        <f>HYPERLINK("https://finance.yahoo.com/quote/HNPHY","HNPHY")</f>
        <v/>
      </c>
      <c r="B7241" t="inlineStr">
        <is>
          <t>Hansoh Pharmaceutical Group Co Limited/ADR</t>
        </is>
      </c>
      <c r="C7241" t="inlineStr">
        <is>
          <t>OTC</t>
        </is>
      </c>
      <c r="D7241" t="n">
        <v>2073669</v>
      </c>
      <c r="E7241" t="inlineStr">
        <is>
          <t>SEC</t>
        </is>
      </c>
    </row>
    <row r="7242">
      <c r="A7242" s="5">
        <f>HYPERLINK("https://finance.yahoo.com/quote/TCLXY","TCLXY")</f>
        <v/>
      </c>
      <c r="B7242" t="inlineStr">
        <is>
          <t>TCL Electronics Holdings Limited/ADR</t>
        </is>
      </c>
      <c r="C7242" t="inlineStr">
        <is>
          <t>OTC</t>
        </is>
      </c>
      <c r="D7242" t="n">
        <v>2073804</v>
      </c>
      <c r="E7242" t="inlineStr">
        <is>
          <t>SEC</t>
        </is>
      </c>
    </row>
    <row r="7243">
      <c r="A7243" s="5">
        <f>HYPERLINK("https://finance.yahoo.com/quote/TMKVY","TMKVY")</f>
        <v/>
      </c>
      <c r="B7243" t="inlineStr">
        <is>
          <t>Tamarack Valley Energy Ltd./ADR</t>
        </is>
      </c>
      <c r="C7243" t="inlineStr">
        <is>
          <t>OTC</t>
        </is>
      </c>
      <c r="D7243" t="n">
        <v>2073901</v>
      </c>
      <c r="E7243" t="inlineStr">
        <is>
          <t>SEC</t>
        </is>
      </c>
    </row>
    <row r="7244">
      <c r="A7244" s="5">
        <f>HYPERLINK("https://finance.yahoo.com/quote/NWCYY","NWCYY")</f>
        <v/>
      </c>
      <c r="B7244" t="inlineStr">
        <is>
          <t>North West Co Inc./ADR</t>
        </is>
      </c>
      <c r="C7244" t="inlineStr">
        <is>
          <t>OTC</t>
        </is>
      </c>
      <c r="D7244" t="n">
        <v>2073913</v>
      </c>
      <c r="E7244" t="inlineStr">
        <is>
          <t>SEC</t>
        </is>
      </c>
    </row>
    <row r="7245">
      <c r="A7245" s="5">
        <f>HYPERLINK("https://finance.yahoo.com/quote/SSRLY","SSRLY")</f>
        <v/>
      </c>
      <c r="B7245" t="inlineStr">
        <is>
          <t>Sienna Senior Living Inc./ADR</t>
        </is>
      </c>
      <c r="C7245" t="inlineStr">
        <is>
          <t>OTC</t>
        </is>
      </c>
      <c r="D7245" t="n">
        <v>2073972</v>
      </c>
      <c r="E7245" t="inlineStr">
        <is>
          <t>SEC</t>
        </is>
      </c>
    </row>
    <row r="7246">
      <c r="A7246" s="5">
        <f>HYPERLINK("https://finance.yahoo.com/quote/SVICY","SVICY")</f>
        <v/>
      </c>
      <c r="B7246" t="inlineStr">
        <is>
          <t>StorageVault Canada Inc./ADR</t>
        </is>
      </c>
      <c r="C7246" t="inlineStr">
        <is>
          <t>OTC</t>
        </is>
      </c>
      <c r="D7246" t="n">
        <v>2074157</v>
      </c>
      <c r="E7246" t="inlineStr">
        <is>
          <t>SEC</t>
        </is>
      </c>
    </row>
    <row r="7247">
      <c r="A7247" s="5">
        <f>HYPERLINK("https://finance.yahoo.com/quote/QSOL","QSOL")</f>
        <v/>
      </c>
      <c r="B7247" t="inlineStr">
        <is>
          <t>Invesco Galaxy Solana ETF</t>
        </is>
      </c>
      <c r="C7247" t="inlineStr">
        <is>
          <t>CBOE</t>
        </is>
      </c>
      <c r="D7247" t="n">
        <v>2074409</v>
      </c>
      <c r="E7247" t="inlineStr">
        <is>
          <t>SEC</t>
        </is>
      </c>
    </row>
    <row r="7248">
      <c r="A7248" s="5">
        <f>HYPERLINK("https://finance.yahoo.com/quote/EVON","EVON")</f>
        <v/>
      </c>
      <c r="B7248" t="inlineStr">
        <is>
          <t>EvoNexus Group LTD</t>
        </is>
      </c>
      <c r="C7248" t="inlineStr"/>
      <c r="D7248" t="n">
        <v>2075036</v>
      </c>
      <c r="E7248" t="inlineStr">
        <is>
          <t>SEC</t>
        </is>
      </c>
    </row>
    <row r="7249">
      <c r="A7249" s="5">
        <f>HYPERLINK("https://finance.yahoo.com/quote/VSGRY","VSGRY")</f>
        <v/>
      </c>
      <c r="B7249" t="inlineStr">
        <is>
          <t>VusionGroup</t>
        </is>
      </c>
      <c r="C7249" t="inlineStr">
        <is>
          <t>OTC</t>
        </is>
      </c>
      <c r="D7249" t="n">
        <v>2075141</v>
      </c>
      <c r="E7249" t="inlineStr">
        <is>
          <t>SEC</t>
        </is>
      </c>
    </row>
    <row r="7250">
      <c r="A7250" s="5">
        <f>HYPERLINK("https://finance.yahoo.com/quote/GGRPY","GGRPY")</f>
        <v/>
      </c>
      <c r="B7250" t="inlineStr">
        <is>
          <t>GPT Group/ADR</t>
        </is>
      </c>
      <c r="C7250" t="inlineStr">
        <is>
          <t>OTC</t>
        </is>
      </c>
      <c r="D7250" t="n">
        <v>2075474</v>
      </c>
      <c r="E7250" t="inlineStr">
        <is>
          <t>SEC</t>
        </is>
      </c>
    </row>
    <row r="7251">
      <c r="A7251" s="5">
        <f>HYPERLINK("https://finance.yahoo.com/quote/LSBA","LSBA")</f>
        <v/>
      </c>
      <c r="B7251" t="inlineStr">
        <is>
          <t>Law's Business Group Holding Ltd</t>
        </is>
      </c>
      <c r="C7251" t="inlineStr"/>
      <c r="D7251" t="n">
        <v>2075589</v>
      </c>
      <c r="E7251" t="inlineStr">
        <is>
          <t>SEC</t>
        </is>
      </c>
    </row>
    <row r="7252">
      <c r="A7252" s="5">
        <f>HYPERLINK("https://finance.yahoo.com/quote/BKPOY","BKPOY")</f>
        <v/>
      </c>
      <c r="B7252" t="inlineStr">
        <is>
          <t>Bank Pekao S.A./ADR</t>
        </is>
      </c>
      <c r="C7252" t="inlineStr">
        <is>
          <t>OTC</t>
        </is>
      </c>
      <c r="D7252" t="n">
        <v>2075877</v>
      </c>
      <c r="E7252" t="inlineStr">
        <is>
          <t>SEC</t>
        </is>
      </c>
    </row>
    <row r="7253">
      <c r="A7253" s="5">
        <f>HYPERLINK("https://finance.yahoo.com/quote/CTVHY","CTVHY")</f>
        <v/>
      </c>
      <c r="B7253" t="inlineStr">
        <is>
          <t>CT Vision S.L. (International) Holdings Limited/ADR</t>
        </is>
      </c>
      <c r="C7253" t="inlineStr">
        <is>
          <t>OTC</t>
        </is>
      </c>
      <c r="D7253" t="n">
        <v>2075908</v>
      </c>
      <c r="E7253" t="inlineStr">
        <is>
          <t>SEC</t>
        </is>
      </c>
    </row>
    <row r="7254">
      <c r="A7254" s="5">
        <f>HYPERLINK("https://finance.yahoo.com/quote/CSCCY","CSCCY")</f>
        <v/>
      </c>
      <c r="B7254" t="inlineStr">
        <is>
          <t>Capstone Copper Corp./ADR</t>
        </is>
      </c>
      <c r="C7254" t="inlineStr">
        <is>
          <t>OTC</t>
        </is>
      </c>
      <c r="D7254" t="n">
        <v>2075918</v>
      </c>
      <c r="E7254" t="inlineStr">
        <is>
          <t>SEC</t>
        </is>
      </c>
    </row>
    <row r="7255">
      <c r="A7255" s="5">
        <f>HYPERLINK("https://finance.yahoo.com/quote/GOTV","GOTV")</f>
        <v/>
      </c>
      <c r="B7255" t="inlineStr">
        <is>
          <t>FullPAC, Inc.</t>
        </is>
      </c>
      <c r="C7255" t="inlineStr"/>
      <c r="D7255" t="n">
        <v>2076148</v>
      </c>
      <c r="E7255" t="inlineStr">
        <is>
          <t>SEC</t>
        </is>
      </c>
    </row>
    <row r="7256">
      <c r="A7256" s="5">
        <f>HYPERLINK("https://finance.yahoo.com/quote/ZSICY","ZSICY")</f>
        <v/>
      </c>
      <c r="B7256" t="inlineStr">
        <is>
          <t>Zhejiang Sanhua Intelligent Controls Co., Ltd./ADR</t>
        </is>
      </c>
      <c r="C7256" t="inlineStr">
        <is>
          <t>OTC</t>
        </is>
      </c>
      <c r="D7256" t="n">
        <v>2076398</v>
      </c>
      <c r="E7256" t="inlineStr">
        <is>
          <t>SEC</t>
        </is>
      </c>
    </row>
    <row r="7257">
      <c r="A7257" s="5">
        <f>HYPERLINK("https://finance.yahoo.com/quote/STJNY","STJNY")</f>
        <v/>
      </c>
      <c r="B7257" t="inlineStr">
        <is>
          <t>Stella-Jones Inc./ADR</t>
        </is>
      </c>
      <c r="C7257" t="inlineStr">
        <is>
          <t>OTC</t>
        </is>
      </c>
      <c r="D7257" t="n">
        <v>2077242</v>
      </c>
      <c r="E7257" t="inlineStr">
        <is>
          <t>SEC</t>
        </is>
      </c>
    </row>
    <row r="7258">
      <c r="A7258" s="5">
        <f>HYPERLINK("https://finance.yahoo.com/quote/GRVT","GRVT")</f>
        <v/>
      </c>
      <c r="B7258" t="inlineStr">
        <is>
          <t>GreenVector Holdings Ltd</t>
        </is>
      </c>
      <c r="C7258" t="inlineStr"/>
      <c r="D7258" t="n">
        <v>2078037</v>
      </c>
      <c r="E7258" t="inlineStr">
        <is>
          <t>SEC</t>
        </is>
      </c>
    </row>
    <row r="7259">
      <c r="A7259" s="5">
        <f>HYPERLINK("https://finance.yahoo.com/quote/ZOAR","ZOAR")</f>
        <v/>
      </c>
      <c r="B7259" t="inlineStr">
        <is>
          <t>Zoar Ltd</t>
        </is>
      </c>
      <c r="C7259" t="inlineStr"/>
      <c r="D7259" t="n">
        <v>2078148</v>
      </c>
      <c r="E7259" t="inlineStr">
        <is>
          <t>SEC</t>
        </is>
      </c>
    </row>
    <row r="7260">
      <c r="A7260" s="5">
        <f>HYPERLINK("https://finance.yahoo.com/quote/ASKRY","ASKRY")</f>
        <v/>
      </c>
      <c r="B7260" t="inlineStr">
        <is>
          <t>Asker Healthcare Group AB/ADR</t>
        </is>
      </c>
      <c r="C7260" t="inlineStr">
        <is>
          <t>OTC</t>
        </is>
      </c>
      <c r="D7260" t="n">
        <v>2078895</v>
      </c>
      <c r="E7260" t="inlineStr">
        <is>
          <t>SEC</t>
        </is>
      </c>
    </row>
    <row r="7261">
      <c r="A7261" s="5">
        <f>HYPERLINK("https://finance.yahoo.com/quote/MLIZY","MLIZY")</f>
        <v/>
      </c>
      <c r="B7261" t="inlineStr">
        <is>
          <t>MELIUZ S.A.</t>
        </is>
      </c>
      <c r="C7261" t="inlineStr">
        <is>
          <t>OTC</t>
        </is>
      </c>
      <c r="D7261" t="n">
        <v>2080003</v>
      </c>
      <c r="E7261" t="inlineStr">
        <is>
          <t>SEC</t>
        </is>
      </c>
    </row>
    <row r="7262">
      <c r="A7262" s="5">
        <f>HYPERLINK("https://finance.yahoo.com/quote/LPNE","LPNE")</f>
        <v/>
      </c>
      <c r="B7262" t="inlineStr">
        <is>
          <t>LiPower New Energy Holdings Ltd</t>
        </is>
      </c>
      <c r="C7262" t="inlineStr"/>
      <c r="D7262" t="n">
        <v>2080577</v>
      </c>
      <c r="E7262" t="inlineStr">
        <is>
          <t>SEC</t>
        </is>
      </c>
    </row>
    <row r="7263">
      <c r="A7263" s="5">
        <f>HYPERLINK("https://finance.yahoo.com/quote/FHFFY","FHFFY")</f>
        <v/>
      </c>
      <c r="B7263" t="inlineStr">
        <is>
          <t>Foshan Haitian Flavouring &amp; Food Co Ltd./ADR</t>
        </is>
      </c>
      <c r="C7263" t="inlineStr">
        <is>
          <t>OTC</t>
        </is>
      </c>
      <c r="D7263" t="n">
        <v>2082876</v>
      </c>
      <c r="E7263" t="inlineStr">
        <is>
          <t>SEC</t>
        </is>
      </c>
    </row>
    <row r="7264">
      <c r="A7264" s="5">
        <f>HYPERLINK("https://finance.yahoo.com/quote/CLNK","CLNK")</f>
        <v/>
      </c>
      <c r="B7264" t="inlineStr">
        <is>
          <t>Bitwise Chainlink ETF</t>
        </is>
      </c>
      <c r="C7264" t="inlineStr">
        <is>
          <t>NYSE</t>
        </is>
      </c>
      <c r="D7264" t="n">
        <v>2082889</v>
      </c>
      <c r="E7264" t="inlineStr">
        <is>
          <t>SEC</t>
        </is>
      </c>
    </row>
    <row r="7265">
      <c r="A7265" s="5">
        <f>HYPERLINK("https://finance.yahoo.com/quote/CCIL","CCIL")</f>
        <v/>
      </c>
      <c r="B7265" t="inlineStr">
        <is>
          <t>CALM Chain International Ltd</t>
        </is>
      </c>
      <c r="C7265" t="inlineStr"/>
      <c r="D7265" t="n">
        <v>2083945</v>
      </c>
      <c r="E7265" t="inlineStr">
        <is>
          <t>SEC</t>
        </is>
      </c>
    </row>
    <row r="7266">
      <c r="A7266" s="5">
        <f>HYPERLINK("https://finance.yahoo.com/quote/RGNA","RGNA")</f>
        <v/>
      </c>
      <c r="B7266" t="inlineStr">
        <is>
          <t>Regenlab USA Inc.</t>
        </is>
      </c>
      <c r="C7266" t="inlineStr"/>
      <c r="D7266" t="n">
        <v>2084031</v>
      </c>
      <c r="E7266" t="inlineStr">
        <is>
          <t>SEC</t>
        </is>
      </c>
    </row>
    <row r="7267">
      <c r="A7267" s="5">
        <f>HYPERLINK("https://finance.yahoo.com/quote/ADBT","ADBT")</f>
        <v/>
      </c>
      <c r="B7267" t="inlineStr">
        <is>
          <t>Advasa Holdings, Inc.</t>
        </is>
      </c>
      <c r="C7267" t="inlineStr">
        <is>
          <t>Nasdaq</t>
        </is>
      </c>
      <c r="D7267" t="n">
        <v>2084227</v>
      </c>
      <c r="E7267" t="inlineStr">
        <is>
          <t>SEC</t>
        </is>
      </c>
    </row>
    <row r="7268">
      <c r="A7268" s="5">
        <f>HYPERLINK("https://finance.yahoo.com/quote/UATCY","UATCY")</f>
        <v/>
      </c>
      <c r="B7268" t="inlineStr">
        <is>
          <t>Unisound AI Technology Co., Ltd./ADR</t>
        </is>
      </c>
      <c r="C7268" t="inlineStr">
        <is>
          <t>OTC</t>
        </is>
      </c>
      <c r="D7268" t="n">
        <v>2084585</v>
      </c>
      <c r="E7268" t="inlineStr">
        <is>
          <t>SEC</t>
        </is>
      </c>
    </row>
    <row r="7269">
      <c r="A7269" s="5">
        <f>HYPERLINK("https://finance.yahoo.com/quote/KHOBF","KHOBF")</f>
        <v/>
      </c>
      <c r="B7269" t="inlineStr">
        <is>
          <t>KHEOBA Ltd</t>
        </is>
      </c>
      <c r="C7269" t="inlineStr">
        <is>
          <t>OTC</t>
        </is>
      </c>
      <c r="D7269" t="n">
        <v>2084698</v>
      </c>
      <c r="E7269" t="inlineStr">
        <is>
          <t>SEC</t>
        </is>
      </c>
    </row>
    <row r="7270">
      <c r="A7270" s="5">
        <f>HYPERLINK("https://finance.yahoo.com/quote/DYBTY","DYBTY")</f>
        <v/>
      </c>
      <c r="B7270" t="inlineStr">
        <is>
          <t>Duality Biotherapeutics Inc/ADR</t>
        </is>
      </c>
      <c r="C7270" t="inlineStr">
        <is>
          <t>OTC</t>
        </is>
      </c>
      <c r="D7270" t="n">
        <v>2085208</v>
      </c>
      <c r="E7270" t="inlineStr">
        <is>
          <t>SEC</t>
        </is>
      </c>
    </row>
    <row r="7271">
      <c r="A7271" s="5">
        <f>HYPERLINK("https://finance.yahoo.com/quote/POCH","POCH")</f>
        <v/>
      </c>
      <c r="B7271" t="inlineStr">
        <is>
          <t>POCHE TECHNOLOGY CO., Ltd</t>
        </is>
      </c>
      <c r="C7271" t="inlineStr"/>
      <c r="D7271" t="n">
        <v>2085836</v>
      </c>
      <c r="E7271" t="inlineStr">
        <is>
          <t>SEC</t>
        </is>
      </c>
    </row>
    <row r="7272">
      <c r="A7272" s="5">
        <f>HYPERLINK("https://finance.yahoo.com/quote/BAVA","BAVA")</f>
        <v/>
      </c>
      <c r="B7272" t="inlineStr">
        <is>
          <t>Bitwise Avalanche ETF</t>
        </is>
      </c>
      <c r="C7272" t="inlineStr">
        <is>
          <t>NYSE</t>
        </is>
      </c>
      <c r="D7272" t="n">
        <v>2086017</v>
      </c>
      <c r="E7272" t="inlineStr">
        <is>
          <t>SEC</t>
        </is>
      </c>
    </row>
    <row r="7273">
      <c r="A7273" s="5">
        <f>HYPERLINK("https://finance.yahoo.com/quote/ARTC","ARTC")</f>
        <v/>
      </c>
      <c r="B7273" t="inlineStr">
        <is>
          <t>Art Technology Acquisition Corp.</t>
        </is>
      </c>
      <c r="C7273" t="inlineStr">
        <is>
          <t>Nasdaq</t>
        </is>
      </c>
      <c r="D7273" t="n">
        <v>2086545</v>
      </c>
      <c r="E7273" t="inlineStr">
        <is>
          <t>SEC</t>
        </is>
      </c>
    </row>
    <row r="7274">
      <c r="A7274" s="5">
        <f>HYPERLINK("https://finance.yahoo.com/quote/AFNX","AFNX")</f>
        <v/>
      </c>
      <c r="B7274" t="inlineStr">
        <is>
          <t>AfterNext Acquisition I Corp.</t>
        </is>
      </c>
      <c r="C7274" t="inlineStr"/>
      <c r="D7274" t="n">
        <v>2087035</v>
      </c>
      <c r="E7274" t="inlineStr">
        <is>
          <t>SEC</t>
        </is>
      </c>
    </row>
    <row r="7275">
      <c r="A7275" s="5">
        <f>HYPERLINK("https://finance.yahoo.com/quote/PNSB","PNSB")</f>
        <v/>
      </c>
      <c r="B7275" t="inlineStr">
        <is>
          <t>PSB Financial, Inc.</t>
        </is>
      </c>
      <c r="C7275" t="inlineStr">
        <is>
          <t>OTC</t>
        </is>
      </c>
      <c r="D7275" t="n">
        <v>2087419</v>
      </c>
      <c r="E7275" t="inlineStr">
        <is>
          <t>SEC</t>
        </is>
      </c>
    </row>
    <row r="7276">
      <c r="A7276" s="5">
        <f>HYPERLINK("https://finance.yahoo.com/quote/NHKSY","NHKSY")</f>
        <v/>
      </c>
      <c r="B7276" t="inlineStr">
        <is>
          <t>NHK Spring Co. Ltd/ADR</t>
        </is>
      </c>
      <c r="C7276" t="inlineStr">
        <is>
          <t>OTC</t>
        </is>
      </c>
      <c r="D7276" t="n">
        <v>2087500</v>
      </c>
      <c r="E7276" t="inlineStr">
        <is>
          <t>SEC</t>
        </is>
      </c>
    </row>
    <row r="7277">
      <c r="A7277" s="5">
        <f>HYPERLINK("https://finance.yahoo.com/quote/ZGJLY","ZGJLY")</f>
        <v/>
      </c>
      <c r="B7277" t="inlineStr">
        <is>
          <t>Zhejiang Leapmotor Technology Co., Ltd./ADR</t>
        </is>
      </c>
      <c r="C7277" t="inlineStr">
        <is>
          <t>OTC</t>
        </is>
      </c>
      <c r="D7277" t="n">
        <v>2087840</v>
      </c>
      <c r="E7277" t="inlineStr">
        <is>
          <t>SEC</t>
        </is>
      </c>
    </row>
    <row r="7278">
      <c r="A7278" s="5">
        <f>HYPERLINK("https://finance.yahoo.com/quote/GTLRY","GTLRY")</f>
        <v/>
      </c>
      <c r="B7278" t="inlineStr">
        <is>
          <t>Greatland Resources Limited/ADR</t>
        </is>
      </c>
      <c r="C7278" t="inlineStr">
        <is>
          <t>OTC</t>
        </is>
      </c>
      <c r="D7278" t="n">
        <v>2087843</v>
      </c>
      <c r="E7278" t="inlineStr">
        <is>
          <t>SEC</t>
        </is>
      </c>
    </row>
    <row r="7279">
      <c r="A7279" s="5">
        <f>HYPERLINK("https://finance.yahoo.com/quote/AKCLY","AKCLY")</f>
        <v/>
      </c>
      <c r="B7279" t="inlineStr">
        <is>
          <t>Aica Kogyo Co Limited/ADR</t>
        </is>
      </c>
      <c r="C7279" t="inlineStr">
        <is>
          <t>OTC</t>
        </is>
      </c>
      <c r="D7279" t="n">
        <v>2087856</v>
      </c>
      <c r="E7279" t="inlineStr">
        <is>
          <t>SEC</t>
        </is>
      </c>
    </row>
    <row r="7280">
      <c r="A7280" s="5">
        <f>HYPERLINK("https://finance.yahoo.com/quote/BHYP","BHYP")</f>
        <v/>
      </c>
      <c r="B7280" t="inlineStr">
        <is>
          <t>Bitwise Hyperliquid ETF</t>
        </is>
      </c>
      <c r="C7280" t="inlineStr">
        <is>
          <t>NYSE</t>
        </is>
      </c>
      <c r="D7280" t="n">
        <v>2088139</v>
      </c>
      <c r="E7280" t="inlineStr">
        <is>
          <t>SEC</t>
        </is>
      </c>
    </row>
    <row r="7281">
      <c r="A7281" s="5">
        <f>HYPERLINK("https://finance.yahoo.com/quote/SLTC","SLTC")</f>
        <v/>
      </c>
      <c r="B7281" t="inlineStr">
        <is>
          <t>Siltrium Tech Corp</t>
        </is>
      </c>
      <c r="C7281" t="inlineStr">
        <is>
          <t>OTC</t>
        </is>
      </c>
      <c r="D7281" t="n">
        <v>2088221</v>
      </c>
      <c r="E7281" t="inlineStr">
        <is>
          <t>SEC</t>
        </is>
      </c>
    </row>
    <row r="7282">
      <c r="A7282" s="5">
        <f>HYPERLINK("https://finance.yahoo.com/quote/OBBCY","OBBCY")</f>
        <v/>
      </c>
      <c r="B7282" t="inlineStr">
        <is>
          <t>OBIC Business Consultants Co., Ltd./ADR</t>
        </is>
      </c>
      <c r="C7282" t="inlineStr">
        <is>
          <t>OTC</t>
        </is>
      </c>
      <c r="D7282" t="n">
        <v>2088339</v>
      </c>
      <c r="E7282" t="inlineStr">
        <is>
          <t>SEC</t>
        </is>
      </c>
    </row>
    <row r="7283">
      <c r="A7283" s="5">
        <f>HYPERLINK("https://finance.yahoo.com/quote/ZSHLY","ZSHLY")</f>
        <v/>
      </c>
      <c r="B7283" t="inlineStr">
        <is>
          <t>Zensho Holdings Co., Ltd./ADR</t>
        </is>
      </c>
      <c r="C7283" t="inlineStr">
        <is>
          <t>OTC</t>
        </is>
      </c>
      <c r="D7283" t="n">
        <v>2088776</v>
      </c>
      <c r="E7283" t="inlineStr">
        <is>
          <t>SEC</t>
        </is>
      </c>
    </row>
    <row r="7284">
      <c r="A7284" s="5">
        <f>HYPERLINK("https://finance.yahoo.com/quote/HRBAY","HRBAY")</f>
        <v/>
      </c>
      <c r="B7284" t="inlineStr">
        <is>
          <t>Horiba, Ltd./ADR</t>
        </is>
      </c>
      <c r="C7284" t="inlineStr">
        <is>
          <t>OTC</t>
        </is>
      </c>
      <c r="D7284" t="n">
        <v>2088827</v>
      </c>
      <c r="E7284" t="inlineStr">
        <is>
          <t>SEC</t>
        </is>
      </c>
    </row>
    <row r="7285">
      <c r="A7285" s="5">
        <f>HYPERLINK("https://finance.yahoo.com/quote/STNF","STNF")</f>
        <v/>
      </c>
      <c r="B7285" t="inlineStr">
        <is>
          <t>Santa Ana Global Enterprises, S.A.</t>
        </is>
      </c>
      <c r="C7285" t="inlineStr"/>
      <c r="D7285" t="n">
        <v>2089160</v>
      </c>
      <c r="E7285" t="inlineStr">
        <is>
          <t>SEC</t>
        </is>
      </c>
    </row>
    <row r="7286">
      <c r="A7286" s="5">
        <f>HYPERLINK("https://finance.yahoo.com/quote/SNEVY","SNEVY")</f>
        <v/>
      </c>
      <c r="B7286" t="inlineStr">
        <is>
          <t>SUNEVISION HOLDINGS/ADR</t>
        </is>
      </c>
      <c r="C7286" t="inlineStr">
        <is>
          <t>OTC</t>
        </is>
      </c>
      <c r="D7286" t="n">
        <v>2089488</v>
      </c>
      <c r="E7286" t="inlineStr">
        <is>
          <t>SEC</t>
        </is>
      </c>
    </row>
    <row r="7287">
      <c r="A7287" s="5">
        <f>HYPERLINK("https://finance.yahoo.com/quote/GLVPY","GLVPY")</f>
        <v/>
      </c>
      <c r="B7287" t="inlineStr">
        <is>
          <t>GLENVEAGH PROPERTIES PLC/ADR</t>
        </is>
      </c>
      <c r="C7287" t="inlineStr">
        <is>
          <t>OTC</t>
        </is>
      </c>
      <c r="D7287" t="n">
        <v>2089499</v>
      </c>
      <c r="E7287" t="inlineStr">
        <is>
          <t>SEC</t>
        </is>
      </c>
    </row>
    <row r="7288">
      <c r="A7288" s="5">
        <f>HYPERLINK("https://finance.yahoo.com/quote/TEICY","TEICY")</f>
        <v/>
      </c>
      <c r="B7288" t="inlineStr">
        <is>
          <t>TOSEI CORP/ADR</t>
        </is>
      </c>
      <c r="C7288" t="inlineStr">
        <is>
          <t>OTC</t>
        </is>
      </c>
      <c r="D7288" t="n">
        <v>2089506</v>
      </c>
      <c r="E7288" t="inlineStr">
        <is>
          <t>SEC</t>
        </is>
      </c>
    </row>
    <row r="7289">
      <c r="A7289" s="5">
        <f>HYPERLINK("https://finance.yahoo.com/quote/TKNZ","TKNZ")</f>
        <v/>
      </c>
      <c r="B7289" t="inlineStr">
        <is>
          <t>T. Rowe Price Active Crypto ETF</t>
        </is>
      </c>
      <c r="C7289" t="inlineStr">
        <is>
          <t>NYSE</t>
        </is>
      </c>
      <c r="D7289" t="n">
        <v>2089855</v>
      </c>
      <c r="E7289" t="inlineStr">
        <is>
          <t>SEC</t>
        </is>
      </c>
    </row>
    <row r="7290">
      <c r="A7290" s="5">
        <f>HYPERLINK("https://finance.yahoo.com/quote/BITA","BITA")</f>
        <v/>
      </c>
      <c r="B7290" t="inlineStr">
        <is>
          <t>iShares Bitcoin Premium Income ETF</t>
        </is>
      </c>
      <c r="C7290" t="inlineStr">
        <is>
          <t>Nasdaq</t>
        </is>
      </c>
      <c r="D7290" t="n">
        <v>2089969</v>
      </c>
      <c r="E7290" t="inlineStr">
        <is>
          <t>SEC</t>
        </is>
      </c>
    </row>
    <row r="7291">
      <c r="A7291" s="5">
        <f>HYPERLINK("https://finance.yahoo.com/quote/THYP","THYP")</f>
        <v/>
      </c>
      <c r="B7291" t="inlineStr">
        <is>
          <t>21Shares Hyperliquid Staking ETF</t>
        </is>
      </c>
      <c r="C7291" t="inlineStr">
        <is>
          <t>Nasdaq</t>
        </is>
      </c>
      <c r="D7291" t="n">
        <v>2090011</v>
      </c>
      <c r="E7291" t="inlineStr">
        <is>
          <t>SEC</t>
        </is>
      </c>
    </row>
    <row r="7292">
      <c r="A7292" s="5">
        <f>HYPERLINK("https://finance.yahoo.com/quote/MTMTY","MTMTY")</f>
        <v/>
      </c>
      <c r="B7292" t="inlineStr">
        <is>
          <t>Metlen Energy &amp; Metals PLC/ADR</t>
        </is>
      </c>
      <c r="C7292" t="inlineStr">
        <is>
          <t>OTC</t>
        </is>
      </c>
      <c r="D7292" t="n">
        <v>2090231</v>
      </c>
      <c r="E7292" t="inlineStr">
        <is>
          <t>SEC</t>
        </is>
      </c>
    </row>
    <row r="7293">
      <c r="A7293" s="5">
        <f>HYPERLINK("https://finance.yahoo.com/quote/CNYGF","CNYGF")</f>
        <v/>
      </c>
      <c r="B7293" t="inlineStr">
        <is>
          <t>Canary Gold Corp.</t>
        </is>
      </c>
      <c r="C7293" t="inlineStr">
        <is>
          <t>OTC</t>
        </is>
      </c>
      <c r="D7293" t="n">
        <v>2090651</v>
      </c>
      <c r="E7293" t="inlineStr">
        <is>
          <t>SEC</t>
        </is>
      </c>
    </row>
    <row r="7294">
      <c r="A7294" s="5">
        <f>HYPERLINK("https://finance.yahoo.com/quote/LKYLY","LKYLY")</f>
        <v/>
      </c>
      <c r="B7294" t="inlineStr">
        <is>
          <t>Locksley Resources Limited/ADR</t>
        </is>
      </c>
      <c r="C7294" t="inlineStr">
        <is>
          <t>OTC</t>
        </is>
      </c>
      <c r="D7294" t="n">
        <v>2091585</v>
      </c>
      <c r="E7294" t="inlineStr">
        <is>
          <t>SEC</t>
        </is>
      </c>
    </row>
    <row r="7295">
      <c r="A7295" s="5">
        <f>HYPERLINK("https://finance.yahoo.com/quote/CDTHY","CDTHY")</f>
        <v/>
      </c>
      <c r="B7295" t="inlineStr">
        <is>
          <t>CONDUIT HOLDINGS LTD/ADR</t>
        </is>
      </c>
      <c r="C7295" t="inlineStr">
        <is>
          <t>OTC</t>
        </is>
      </c>
      <c r="D7295" t="n">
        <v>2091663</v>
      </c>
      <c r="E7295" t="inlineStr">
        <is>
          <t>SEC</t>
        </is>
      </c>
    </row>
    <row r="7296">
      <c r="A7296" s="5">
        <f>HYPERLINK("https://finance.yahoo.com/quote/BIAI","BIAI")</f>
        <v/>
      </c>
      <c r="B7296" t="inlineStr">
        <is>
          <t>Bitari Inc</t>
        </is>
      </c>
      <c r="C7296" t="inlineStr"/>
      <c r="D7296" t="n">
        <v>2091680</v>
      </c>
      <c r="E7296" t="inlineStr">
        <is>
          <t>SEC</t>
        </is>
      </c>
    </row>
    <row r="7297">
      <c r="A7297" s="5">
        <f>HYPERLINK("https://finance.yahoo.com/quote/NGCOY","NGCOY")</f>
        <v/>
      </c>
      <c r="B7297" t="inlineStr">
        <is>
          <t>Nagase &amp; Co., Ltd./ADR</t>
        </is>
      </c>
      <c r="C7297" t="inlineStr">
        <is>
          <t>OTC</t>
        </is>
      </c>
      <c r="D7297" t="n">
        <v>2092248</v>
      </c>
      <c r="E7297" t="inlineStr">
        <is>
          <t>SEC</t>
        </is>
      </c>
    </row>
    <row r="7298">
      <c r="A7298" s="5">
        <f>HYPERLINK("https://finance.yahoo.com/quote/RENGY","RENGY")</f>
        <v/>
      </c>
      <c r="B7298" t="inlineStr">
        <is>
          <t>Rengo Co., Ltd./ADR</t>
        </is>
      </c>
      <c r="C7298" t="inlineStr">
        <is>
          <t>OTC</t>
        </is>
      </c>
      <c r="D7298" t="n">
        <v>2092252</v>
      </c>
      <c r="E7298" t="inlineStr">
        <is>
          <t>SEC</t>
        </is>
      </c>
    </row>
    <row r="7299">
      <c r="A7299" s="5">
        <f>HYPERLINK("https://finance.yahoo.com/quote/TIWD","TIWD")</f>
        <v/>
      </c>
      <c r="B7299" t="inlineStr">
        <is>
          <t>Timwood Holdings Ltd</t>
        </is>
      </c>
      <c r="C7299" t="inlineStr"/>
      <c r="D7299" t="n">
        <v>2092291</v>
      </c>
      <c r="E7299" t="inlineStr">
        <is>
          <t>SEC</t>
        </is>
      </c>
    </row>
    <row r="7300">
      <c r="A7300" s="5">
        <f>HYPERLINK("https://finance.yahoo.com/quote/ORNJY","ORNJY")</f>
        <v/>
      </c>
      <c r="B7300" t="inlineStr">
        <is>
          <t>OranjeBTC S.A. Educacao E Investmentimento/ADR</t>
        </is>
      </c>
      <c r="C7300" t="inlineStr">
        <is>
          <t>OTC</t>
        </is>
      </c>
      <c r="D7300" t="n">
        <v>2093314</v>
      </c>
      <c r="E7300" t="inlineStr">
        <is>
          <t>SEC</t>
        </is>
      </c>
    </row>
    <row r="7301">
      <c r="A7301" s="5">
        <f>HYPERLINK("https://finance.yahoo.com/quote/NBKBY","NBKBY")</f>
        <v/>
      </c>
      <c r="B7301" t="inlineStr">
        <is>
          <t>Noba Bank Group AG/ADR</t>
        </is>
      </c>
      <c r="C7301" t="inlineStr">
        <is>
          <t>OTC</t>
        </is>
      </c>
      <c r="D7301" t="n">
        <v>2093618</v>
      </c>
      <c r="E7301" t="inlineStr">
        <is>
          <t>SEC</t>
        </is>
      </c>
    </row>
    <row r="7302">
      <c r="A7302" s="5">
        <f>HYPERLINK("https://finance.yahoo.com/quote/ZJGIY","ZJGIY")</f>
        <v/>
      </c>
      <c r="B7302" t="inlineStr">
        <is>
          <t>Zijin Gold International Co Limited/ADR</t>
        </is>
      </c>
      <c r="C7302" t="inlineStr">
        <is>
          <t>OTC</t>
        </is>
      </c>
      <c r="D7302" t="n">
        <v>2093654</v>
      </c>
      <c r="E7302" t="inlineStr">
        <is>
          <t>SEC</t>
        </is>
      </c>
    </row>
    <row r="7303">
      <c r="A7303" s="5">
        <f>HYPERLINK("https://finance.yahoo.com/quote/APXC","APXC")</f>
        <v/>
      </c>
      <c r="B7303" t="inlineStr">
        <is>
          <t>APEX CRITICAL METALS CORP.</t>
        </is>
      </c>
      <c r="C7303" t="inlineStr">
        <is>
          <t>Nasdaq</t>
        </is>
      </c>
      <c r="D7303" t="n">
        <v>2093856</v>
      </c>
      <c r="E7303" t="inlineStr">
        <is>
          <t>SEC</t>
        </is>
      </c>
    </row>
    <row r="7304">
      <c r="A7304" s="5">
        <f>HYPERLINK("https://finance.yahoo.com/quote/OTAI","OTAI")</f>
        <v/>
      </c>
      <c r="B7304" t="inlineStr">
        <is>
          <t>Starlink AI Acquisition Corp</t>
        </is>
      </c>
      <c r="C7304" t="inlineStr">
        <is>
          <t>NYSE</t>
        </is>
      </c>
      <c r="D7304" t="n">
        <v>2094076</v>
      </c>
      <c r="E7304" t="inlineStr">
        <is>
          <t>SEC</t>
        </is>
      </c>
    </row>
    <row r="7305">
      <c r="A7305" s="5">
        <f>HYPERLINK("https://finance.yahoo.com/quote/DPDSY","DPDSY")</f>
        <v/>
      </c>
      <c r="B7305" t="inlineStr">
        <is>
          <t>DPC DASH LTD/ADR</t>
        </is>
      </c>
      <c r="C7305" t="inlineStr">
        <is>
          <t>OTC</t>
        </is>
      </c>
      <c r="D7305" t="n">
        <v>2094201</v>
      </c>
      <c r="E7305" t="inlineStr">
        <is>
          <t>SEC</t>
        </is>
      </c>
    </row>
    <row r="7306">
      <c r="A7306" s="5">
        <f>HYPERLINK("https://finance.yahoo.com/quote/CLYD","CLYD")</f>
        <v/>
      </c>
      <c r="B7306" t="inlineStr">
        <is>
          <t>BEACON TOPCO, INC.</t>
        </is>
      </c>
      <c r="C7306" t="inlineStr"/>
      <c r="D7306" t="n">
        <v>2094256</v>
      </c>
      <c r="E7306" t="inlineStr">
        <is>
          <t>SEC</t>
        </is>
      </c>
    </row>
    <row r="7307">
      <c r="A7307" s="5">
        <f>HYPERLINK("https://finance.yahoo.com/quote/CRAUY","CRAUY")</f>
        <v/>
      </c>
      <c r="B7307" t="inlineStr">
        <is>
          <t>Chery Automobile Co., Ltd./ADR</t>
        </is>
      </c>
      <c r="C7307" t="inlineStr">
        <is>
          <t>OTC</t>
        </is>
      </c>
      <c r="D7307" t="n">
        <v>2094687</v>
      </c>
      <c r="E7307" t="inlineStr">
        <is>
          <t>SEC</t>
        </is>
      </c>
    </row>
    <row r="7308">
      <c r="A7308" s="5">
        <f>HYPERLINK("https://finance.yahoo.com/quote/BREZ","BREZ")</f>
        <v/>
      </c>
      <c r="B7308" t="inlineStr">
        <is>
          <t>Breeze Acquisition Corp. II</t>
        </is>
      </c>
      <c r="C7308" t="inlineStr">
        <is>
          <t>Nasdaq</t>
        </is>
      </c>
      <c r="D7308" t="n">
        <v>2095443</v>
      </c>
      <c r="E7308" t="inlineStr">
        <is>
          <t>SEC</t>
        </is>
      </c>
    </row>
    <row r="7309">
      <c r="A7309" s="5">
        <f>HYPERLINK("https://finance.yahoo.com/quote/BDI","BDI")</f>
        <v/>
      </c>
      <c r="B7309" t="inlineStr">
        <is>
          <t>Blockfusion Digital Infrastructure, Inc.</t>
        </is>
      </c>
      <c r="C7309" t="inlineStr"/>
      <c r="D7309" t="n">
        <v>2097508</v>
      </c>
      <c r="E7309" t="inlineStr">
        <is>
          <t>SEC</t>
        </is>
      </c>
    </row>
    <row r="7310">
      <c r="A7310" s="5">
        <f>HYPERLINK("https://finance.yahoo.com/quote/SWBKY","SWBKY")</f>
        <v/>
      </c>
      <c r="B7310" t="inlineStr">
        <is>
          <t>Shawbrook Group plc/ADR</t>
        </is>
      </c>
      <c r="C7310" t="inlineStr">
        <is>
          <t>OTC</t>
        </is>
      </c>
      <c r="D7310" t="n">
        <v>2098324</v>
      </c>
      <c r="E7310" t="inlineStr">
        <is>
          <t>SEC</t>
        </is>
      </c>
    </row>
    <row r="7311">
      <c r="A7311" s="5">
        <f>HYPERLINK("https://finance.yahoo.com/quote/MDKGY","MDKGY")</f>
        <v/>
      </c>
      <c r="B7311" t="inlineStr">
        <is>
          <t>Merdeka Gold Resources Tbk PT/ADR</t>
        </is>
      </c>
      <c r="C7311" t="inlineStr">
        <is>
          <t>OTC</t>
        </is>
      </c>
      <c r="D7311" t="n">
        <v>2098332</v>
      </c>
      <c r="E7311" t="inlineStr">
        <is>
          <t>SEC</t>
        </is>
      </c>
    </row>
    <row r="7312">
      <c r="A7312" s="5">
        <f>HYPERLINK("https://finance.yahoo.com/quote/ANJFY","ANJFY")</f>
        <v/>
      </c>
      <c r="B7312" t="inlineStr">
        <is>
          <t>Anjoy Foods Group Co., Ltd./ADR</t>
        </is>
      </c>
      <c r="C7312" t="inlineStr">
        <is>
          <t>OTC</t>
        </is>
      </c>
      <c r="D7312" t="n">
        <v>2098397</v>
      </c>
      <c r="E7312" t="inlineStr">
        <is>
          <t>SEC</t>
        </is>
      </c>
    </row>
    <row r="7313">
      <c r="A7313" s="5">
        <f>HYPERLINK("https://finance.yahoo.com/quote/BRRK","BRRK")</f>
        <v/>
      </c>
      <c r="B7313" t="inlineStr">
        <is>
          <t>Bluerock Acquisition Corp. II</t>
        </is>
      </c>
      <c r="C7313" t="inlineStr"/>
      <c r="D7313" t="n">
        <v>2098410</v>
      </c>
      <c r="E7313" t="inlineStr">
        <is>
          <t>SEC</t>
        </is>
      </c>
    </row>
    <row r="7314">
      <c r="A7314" s="5">
        <f>HYPERLINK("https://finance.yahoo.com/quote/FRTRY","FRTRY")</f>
        <v/>
      </c>
      <c r="B7314" t="inlineStr">
        <is>
          <t>Fortior Technology (Shenzhen) Co., Ltd./ADR</t>
        </is>
      </c>
      <c r="C7314" t="inlineStr">
        <is>
          <t>OTC</t>
        </is>
      </c>
      <c r="D7314" t="n">
        <v>2098710</v>
      </c>
      <c r="E7314" t="inlineStr">
        <is>
          <t>SEC</t>
        </is>
      </c>
    </row>
    <row r="7315">
      <c r="A7315" s="5">
        <f>HYPERLINK("https://finance.yahoo.com/quote/SICCY","SICCY")</f>
        <v/>
      </c>
      <c r="B7315" t="inlineStr">
        <is>
          <t>SICC Co., Ltd./ADR</t>
        </is>
      </c>
      <c r="C7315" t="inlineStr">
        <is>
          <t>OTC</t>
        </is>
      </c>
      <c r="D7315" t="n">
        <v>2098860</v>
      </c>
      <c r="E7315" t="inlineStr">
        <is>
          <t>SEC</t>
        </is>
      </c>
    </row>
    <row r="7316">
      <c r="A7316" s="5">
        <f>HYPERLINK("https://finance.yahoo.com/quote/ETHB","ETHB")</f>
        <v/>
      </c>
      <c r="B7316" t="inlineStr">
        <is>
          <t>iShares Staked Ethereum Trust ETF</t>
        </is>
      </c>
      <c r="C7316" t="inlineStr">
        <is>
          <t>Nasdaq</t>
        </is>
      </c>
      <c r="D7316" t="n">
        <v>2099103</v>
      </c>
      <c r="E7316" t="inlineStr">
        <is>
          <t>SEC</t>
        </is>
      </c>
    </row>
    <row r="7317">
      <c r="A7317" s="5">
        <f>HYPERLINK("https://finance.yahoo.com/quote/SGPIY","SGPIY")</f>
        <v/>
      </c>
      <c r="B7317" t="inlineStr">
        <is>
          <t>Seres Group Co., Ltd./ADR</t>
        </is>
      </c>
      <c r="C7317" t="inlineStr">
        <is>
          <t>OTC</t>
        </is>
      </c>
      <c r="D7317" t="n">
        <v>2099326</v>
      </c>
      <c r="E7317" t="inlineStr">
        <is>
          <t>SEC</t>
        </is>
      </c>
    </row>
    <row r="7318">
      <c r="A7318" s="5">
        <f>HYPERLINK("https://finance.yahoo.com/quote/ITIA","ITIA")</f>
        <v/>
      </c>
      <c r="B7318" t="inlineStr">
        <is>
          <t>Star Integratia Ltd</t>
        </is>
      </c>
      <c r="C7318" t="inlineStr"/>
      <c r="D7318" t="n">
        <v>2099952</v>
      </c>
      <c r="E7318" t="inlineStr">
        <is>
          <t>SEC</t>
        </is>
      </c>
    </row>
    <row r="7319">
      <c r="A7319" s="5">
        <f>HYPERLINK("https://finance.yahoo.com/quote/MPJPY","MPJPY")</f>
        <v/>
      </c>
      <c r="B7319" t="inlineStr">
        <is>
          <t>Metaplanet Inc.</t>
        </is>
      </c>
      <c r="C7319" t="inlineStr">
        <is>
          <t>OTC</t>
        </is>
      </c>
      <c r="D7319" t="n">
        <v>2100603</v>
      </c>
      <c r="E7319" t="inlineStr">
        <is>
          <t>SEC</t>
        </is>
      </c>
    </row>
    <row r="7320">
      <c r="A7320" s="5">
        <f>HYPERLINK("https://finance.yahoo.com/quote/ISTL","ISTL")</f>
        <v/>
      </c>
      <c r="B7320" t="inlineStr">
        <is>
          <t>iStep Learning plc</t>
        </is>
      </c>
      <c r="C7320" t="inlineStr"/>
      <c r="D7320" t="n">
        <v>2100713</v>
      </c>
      <c r="E7320" t="inlineStr">
        <is>
          <t>SEC</t>
        </is>
      </c>
    </row>
    <row r="7321">
      <c r="A7321" s="5">
        <f>HYPERLINK("https://finance.yahoo.com/quote/NYB","NYB")</f>
        <v/>
      </c>
      <c r="B7321" t="inlineStr">
        <is>
          <t>NYB Holdings Ltd</t>
        </is>
      </c>
      <c r="C7321" t="inlineStr"/>
      <c r="D7321" t="n">
        <v>2100835</v>
      </c>
      <c r="E7321" t="inlineStr">
        <is>
          <t>SEC</t>
        </is>
      </c>
    </row>
    <row r="7322">
      <c r="A7322" s="5">
        <f>HYPERLINK("https://finance.yahoo.com/quote/TZIC","TZIC")</f>
        <v/>
      </c>
      <c r="B7322" t="inlineStr">
        <is>
          <t>Trinzic, Inc.</t>
        </is>
      </c>
      <c r="C7322" t="inlineStr"/>
      <c r="D7322" t="n">
        <v>2101664</v>
      </c>
      <c r="E7322" t="inlineStr">
        <is>
          <t>SEC</t>
        </is>
      </c>
    </row>
    <row r="7323">
      <c r="A7323" s="5">
        <f>HYPERLINK("https://finance.yahoo.com/quote/NANO","NANO")</f>
        <v/>
      </c>
      <c r="B7323" t="inlineStr">
        <is>
          <t>Forge Nano Holdings, Inc.</t>
        </is>
      </c>
      <c r="C7323" t="inlineStr">
        <is>
          <t>Nasdaq</t>
        </is>
      </c>
      <c r="D7323" t="n">
        <v>2101833</v>
      </c>
      <c r="E7323" t="inlineStr">
        <is>
          <t>SEC</t>
        </is>
      </c>
    </row>
    <row r="7324">
      <c r="A7324" s="5">
        <f>HYPERLINK("https://finance.yahoo.com/quote/AFNDY","AFNDY")</f>
        <v/>
      </c>
      <c r="B7324" t="inlineStr">
        <is>
          <t>Allfunds Group PLC./ADR</t>
        </is>
      </c>
      <c r="C7324" t="inlineStr">
        <is>
          <t>OTC</t>
        </is>
      </c>
      <c r="D7324" t="n">
        <v>2101973</v>
      </c>
      <c r="E7324" t="inlineStr">
        <is>
          <t>SEC</t>
        </is>
      </c>
    </row>
    <row r="7325">
      <c r="A7325" s="5">
        <f>HYPERLINK("https://finance.yahoo.com/quote/KCAC-UN","KCAC-UN")</f>
        <v/>
      </c>
      <c r="B7325" t="inlineStr">
        <is>
          <t>Kensington Capital Acquisition Corp. VI</t>
        </is>
      </c>
      <c r="C7325" t="inlineStr">
        <is>
          <t>NYSE</t>
        </is>
      </c>
      <c r="D7325" t="n">
        <v>2102713</v>
      </c>
      <c r="E7325" t="inlineStr">
        <is>
          <t>SEC</t>
        </is>
      </c>
    </row>
    <row r="7326">
      <c r="A7326" s="5">
        <f>HYPERLINK("https://finance.yahoo.com/quote/MSOL","MSOL")</f>
        <v/>
      </c>
      <c r="B7326" t="inlineStr">
        <is>
          <t>Morgan Stanley Solana Trust</t>
        </is>
      </c>
      <c r="C7326" t="inlineStr">
        <is>
          <t>NYSE</t>
        </is>
      </c>
      <c r="D7326" t="n">
        <v>2103547</v>
      </c>
      <c r="E7326" t="inlineStr">
        <is>
          <t>SEC</t>
        </is>
      </c>
    </row>
    <row r="7327">
      <c r="A7327" s="5">
        <f>HYPERLINK("https://finance.yahoo.com/quote/MSBT","MSBT")</f>
        <v/>
      </c>
      <c r="B7327" t="inlineStr">
        <is>
          <t>Morgan Stanley Bitcoin Trust</t>
        </is>
      </c>
      <c r="C7327" t="inlineStr">
        <is>
          <t>NYSE</t>
        </is>
      </c>
      <c r="D7327" t="n">
        <v>2103612</v>
      </c>
      <c r="E7327" t="inlineStr">
        <is>
          <t>SEC</t>
        </is>
      </c>
    </row>
    <row r="7328">
      <c r="A7328" s="5">
        <f>HYPERLINK("https://finance.yahoo.com/quote/MSSE","MSSE")</f>
        <v/>
      </c>
      <c r="B7328" t="inlineStr">
        <is>
          <t>Morgan Stanley Ethereum Trust</t>
        </is>
      </c>
      <c r="C7328" t="inlineStr">
        <is>
          <t>NYSE</t>
        </is>
      </c>
      <c r="D7328" t="n">
        <v>2103976</v>
      </c>
      <c r="E7328" t="inlineStr">
        <is>
          <t>SEC</t>
        </is>
      </c>
    </row>
    <row r="7329">
      <c r="A7329" s="5">
        <f>HYPERLINK("https://finance.yahoo.com/quote/SUCH","SUCH")</f>
        <v/>
      </c>
      <c r="B7329" t="inlineStr">
        <is>
          <t>Suchness Tech Ltd</t>
        </is>
      </c>
      <c r="C7329" t="inlineStr"/>
      <c r="D7329" t="n">
        <v>2104032</v>
      </c>
      <c r="E7329" t="inlineStr">
        <is>
          <t>SEC</t>
        </is>
      </c>
    </row>
    <row r="7330">
      <c r="A7330" s="5">
        <f>HYPERLINK("https://finance.yahoo.com/quote/BMF","BMF")</f>
        <v/>
      </c>
      <c r="B7330" t="inlineStr">
        <is>
          <t>BANG MAI FANG HOLDINGS</t>
        </is>
      </c>
      <c r="C7330" t="inlineStr"/>
      <c r="D7330" t="n">
        <v>2104827</v>
      </c>
      <c r="E7330" t="inlineStr">
        <is>
          <t>SEC</t>
        </is>
      </c>
    </row>
    <row r="7331">
      <c r="A7331" s="5">
        <f>HYPERLINK("https://finance.yahoo.com/quote/GDMT","GDMT")</f>
        <v/>
      </c>
      <c r="B7331" t="inlineStr">
        <is>
          <t>Gold Mountain Acquisition Corp.</t>
        </is>
      </c>
      <c r="C7331" t="inlineStr"/>
      <c r="D7331" t="n">
        <v>2105318</v>
      </c>
      <c r="E7331" t="inlineStr">
        <is>
          <t>SEC</t>
        </is>
      </c>
    </row>
    <row r="7332">
      <c r="A7332" s="5">
        <f>HYPERLINK("https://finance.yahoo.com/quote/SSHBY","SSHBY")</f>
        <v/>
      </c>
      <c r="B7332" t="inlineStr">
        <is>
          <t>SBI Shinsei Bank, Limited/ADR</t>
        </is>
      </c>
      <c r="C7332" t="inlineStr">
        <is>
          <t>OTC</t>
        </is>
      </c>
      <c r="D7332" t="n">
        <v>2107375</v>
      </c>
      <c r="E7332" t="inlineStr">
        <is>
          <t>SEC</t>
        </is>
      </c>
    </row>
    <row r="7333">
      <c r="A7333" s="5">
        <f>HYPERLINK("https://finance.yahoo.com/quote/HYPG","HYPG")</f>
        <v/>
      </c>
      <c r="B7333" t="inlineStr">
        <is>
          <t>Grayscale Hyperliquid Staking ETF</t>
        </is>
      </c>
      <c r="C7333" t="inlineStr">
        <is>
          <t>Nasdaq</t>
        </is>
      </c>
      <c r="D7333" t="n">
        <v>2107730</v>
      </c>
      <c r="E7333" t="inlineStr">
        <is>
          <t>SEC</t>
        </is>
      </c>
    </row>
    <row r="7334">
      <c r="A7334" s="5">
        <f>HYPERLINK("https://finance.yahoo.com/quote/ODKUY","ODKUY")</f>
        <v/>
      </c>
      <c r="B7334" t="inlineStr">
        <is>
          <t>Odakyu Electric Railway Co., Ltd./ADR</t>
        </is>
      </c>
      <c r="C7334" t="inlineStr">
        <is>
          <t>OTC</t>
        </is>
      </c>
      <c r="D7334" t="n">
        <v>2108124</v>
      </c>
      <c r="E7334" t="inlineStr">
        <is>
          <t>SEC</t>
        </is>
      </c>
    </row>
    <row r="7335">
      <c r="A7335" s="5">
        <f>HYPERLINK("https://finance.yahoo.com/quote/SCOP","SCOP")</f>
        <v/>
      </c>
      <c r="B7335" t="inlineStr">
        <is>
          <t>Sprott Physical Copper Trust</t>
        </is>
      </c>
      <c r="C7335" t="inlineStr">
        <is>
          <t>NYSE</t>
        </is>
      </c>
      <c r="D7335" t="n">
        <v>2108383</v>
      </c>
      <c r="E7335" t="inlineStr">
        <is>
          <t>SEC</t>
        </is>
      </c>
    </row>
    <row r="7336">
      <c r="A7336" s="5">
        <f>HYPERLINK("https://finance.yahoo.com/quote/GIGDY","GIGDY")</f>
        <v/>
      </c>
      <c r="B7336" t="inlineStr">
        <is>
          <t>GigaDevice Semiconductor Inc./ADR</t>
        </is>
      </c>
      <c r="C7336" t="inlineStr">
        <is>
          <t>OTC</t>
        </is>
      </c>
      <c r="D7336" t="n">
        <v>2109547</v>
      </c>
      <c r="E7336" t="inlineStr">
        <is>
          <t>SEC</t>
        </is>
      </c>
    </row>
    <row r="7337">
      <c r="A7337" s="5">
        <f>HYPERLINK("https://finance.yahoo.com/quote/OICGF","OICGF")</f>
        <v/>
      </c>
      <c r="B7337" t="inlineStr">
        <is>
          <t>OmniVision Integrated Circuits Group, Inc./ADR</t>
        </is>
      </c>
      <c r="C7337" t="inlineStr">
        <is>
          <t>OTC</t>
        </is>
      </c>
      <c r="D7337" t="n">
        <v>2109550</v>
      </c>
      <c r="E7337" t="inlineStr">
        <is>
          <t>SEC</t>
        </is>
      </c>
    </row>
    <row r="7338">
      <c r="A7338" s="5">
        <f>HYPERLINK("https://finance.yahoo.com/quote/MMXGY","MMXGY")</f>
        <v/>
      </c>
      <c r="B7338" t="inlineStr">
        <is>
          <t>Minimax Group Inc./ADR</t>
        </is>
      </c>
      <c r="C7338" t="inlineStr">
        <is>
          <t>OTC</t>
        </is>
      </c>
      <c r="D7338" t="n">
        <v>2109556</v>
      </c>
      <c r="E7338" t="inlineStr">
        <is>
          <t>SEC</t>
        </is>
      </c>
    </row>
    <row r="7339">
      <c r="A7339" s="5">
        <f>HYPERLINK("https://finance.yahoo.com/quote/JNGDY","JNGDY")</f>
        <v/>
      </c>
      <c r="B7339" t="inlineStr">
        <is>
          <t>Jingdong Industrials, Inc./ADR</t>
        </is>
      </c>
      <c r="C7339" t="inlineStr">
        <is>
          <t>OTC</t>
        </is>
      </c>
      <c r="D7339" t="n">
        <v>2109559</v>
      </c>
      <c r="E7339" t="inlineStr">
        <is>
          <t>SEC</t>
        </is>
      </c>
    </row>
    <row r="7340">
      <c r="A7340" s="5">
        <f>HYPERLINK("https://finance.yahoo.com/quote/VAT","VAT")</f>
        <v/>
      </c>
      <c r="B7340" t="inlineStr">
        <is>
          <t>VARSAL TECH, INC.</t>
        </is>
      </c>
      <c r="C7340" t="inlineStr"/>
      <c r="D7340" t="n">
        <v>2109801</v>
      </c>
      <c r="E7340" t="inlineStr">
        <is>
          <t>SEC</t>
        </is>
      </c>
    </row>
    <row r="7341">
      <c r="A7341" s="5">
        <f>HYPERLINK("https://finance.yahoo.com/quote/LEDR","LEDR")</f>
        <v/>
      </c>
      <c r="B7341" t="inlineStr">
        <is>
          <t>Leader's Advantage Acquisition Corp.</t>
        </is>
      </c>
      <c r="C7341" t="inlineStr"/>
      <c r="D7341" t="n">
        <v>2109823</v>
      </c>
      <c r="E7341" t="inlineStr">
        <is>
          <t>SEC</t>
        </is>
      </c>
    </row>
    <row r="7342">
      <c r="A7342" s="5">
        <f>HYPERLINK("https://finance.yahoo.com/quote/AELKY","AELKY")</f>
        <v/>
      </c>
      <c r="B7342" t="inlineStr">
        <is>
          <t>ASELSAN Elektronik Sanayi ve Ticaret Anonim Sirketi/ADR</t>
        </is>
      </c>
      <c r="C7342" t="inlineStr">
        <is>
          <t>OTC</t>
        </is>
      </c>
      <c r="D7342" t="n">
        <v>2110583</v>
      </c>
      <c r="E7342" t="inlineStr">
        <is>
          <t>SEC</t>
        </is>
      </c>
    </row>
    <row r="7343">
      <c r="A7343" s="5">
        <f>HYPERLINK("https://finance.yahoo.com/quote/SHILY","SHILY")</f>
        <v/>
      </c>
      <c r="B7343" t="inlineStr">
        <is>
          <t>Shanghai Iluvatar CoreX Semiconductor Co Ltd/ADR</t>
        </is>
      </c>
      <c r="C7343" t="inlineStr">
        <is>
          <t>OTC</t>
        </is>
      </c>
      <c r="D7343" t="n">
        <v>2111790</v>
      </c>
      <c r="E7343" t="inlineStr">
        <is>
          <t>SEC</t>
        </is>
      </c>
    </row>
    <row r="7344">
      <c r="A7344" s="5">
        <f>HYPERLINK("https://finance.yahoo.com/quote/SIAI","SIAI")</f>
        <v/>
      </c>
      <c r="B7344" t="inlineStr">
        <is>
          <t>Silentium Ltd.</t>
        </is>
      </c>
      <c r="C7344" t="inlineStr"/>
      <c r="D7344" t="n">
        <v>2112466</v>
      </c>
      <c r="E7344" t="inlineStr">
        <is>
          <t>SEC</t>
        </is>
      </c>
    </row>
    <row r="7345">
      <c r="A7345" s="5">
        <f>HYPERLINK("https://finance.yahoo.com/quote/BOGD","BOGD")</f>
        <v/>
      </c>
      <c r="B7345" t="inlineStr">
        <is>
          <t>Bogd FT Ltd</t>
        </is>
      </c>
      <c r="C7345" t="inlineStr"/>
      <c r="D7345" t="n">
        <v>2113733</v>
      </c>
      <c r="E7345" t="inlineStr">
        <is>
          <t>SEC</t>
        </is>
      </c>
    </row>
    <row r="7346">
      <c r="A7346" s="5">
        <f>HYPERLINK("https://finance.yahoo.com/quote/TELYF","TELYF")</f>
        <v/>
      </c>
      <c r="B7346" t="inlineStr">
        <is>
          <t>TELYRX HOLDINGS INC.</t>
        </is>
      </c>
      <c r="C7346" t="inlineStr">
        <is>
          <t>OTC</t>
        </is>
      </c>
      <c r="D7346" t="n">
        <v>2113853</v>
      </c>
      <c r="E7346" t="inlineStr">
        <is>
          <t>SEC</t>
        </is>
      </c>
    </row>
    <row r="7347">
      <c r="A7347" s="5">
        <f>HYPERLINK("https://finance.yahoo.com/quote/TRCX","TRCX")</f>
        <v/>
      </c>
      <c r="B7347" t="inlineStr">
        <is>
          <t>Tracx Logis Ltd.</t>
        </is>
      </c>
      <c r="C7347" t="inlineStr"/>
      <c r="D7347" t="n">
        <v>2114145</v>
      </c>
      <c r="E7347" t="inlineStr">
        <is>
          <t>SEC</t>
        </is>
      </c>
    </row>
    <row r="7348">
      <c r="A7348" s="5">
        <f>HYPERLINK("https://finance.yahoo.com/quote/BAGZ","BAGZ")</f>
        <v/>
      </c>
      <c r="B7348" t="inlineStr">
        <is>
          <t>Cryptex Digital Market Cap ETF</t>
        </is>
      </c>
      <c r="C7348" t="inlineStr"/>
      <c r="D7348" t="n">
        <v>2115027</v>
      </c>
      <c r="E7348" t="inlineStr">
        <is>
          <t>SEC</t>
        </is>
      </c>
    </row>
    <row r="7349">
      <c r="A7349" s="5">
        <f>HYPERLINK("https://finance.yahoo.com/quote/LOVI","LOVI")</f>
        <v/>
      </c>
      <c r="B7349" t="inlineStr">
        <is>
          <t>Live Oak Acquisition Corp. VI</t>
        </is>
      </c>
      <c r="C7349" t="inlineStr"/>
      <c r="D7349" t="n">
        <v>2115191</v>
      </c>
      <c r="E7349" t="inlineStr">
        <is>
          <t>SEC</t>
        </is>
      </c>
    </row>
    <row r="7350">
      <c r="A7350" s="5">
        <f>HYPERLINK("https://finance.yahoo.com/quote/BEJRY","BEJRY")</f>
        <v/>
      </c>
      <c r="B7350" t="inlineStr">
        <is>
          <t>Beijer Ref AB/ADR</t>
        </is>
      </c>
      <c r="C7350" t="inlineStr">
        <is>
          <t>OTC</t>
        </is>
      </c>
      <c r="D7350" t="n">
        <v>2116276</v>
      </c>
      <c r="E7350" t="inlineStr">
        <is>
          <t>SEC</t>
        </is>
      </c>
    </row>
    <row r="7351">
      <c r="A7351" s="5">
        <f>HYPERLINK("https://finance.yahoo.com/quote/MNBS","MNBS")</f>
        <v/>
      </c>
      <c r="B7351" t="inlineStr">
        <is>
          <t>MNBS Acquisition Corp.</t>
        </is>
      </c>
      <c r="C7351" t="inlineStr"/>
      <c r="D7351" t="n">
        <v>2116517</v>
      </c>
      <c r="E7351" t="inlineStr">
        <is>
          <t>SEC</t>
        </is>
      </c>
    </row>
    <row r="7352">
      <c r="A7352" s="5">
        <f>HYPERLINK("https://finance.yahoo.com/quote/CMPLY","CMPLY")</f>
        <v/>
      </c>
      <c r="B7352" t="inlineStr">
        <is>
          <t>Com7 PCL/ADR</t>
        </is>
      </c>
      <c r="C7352" t="inlineStr">
        <is>
          <t>OTC</t>
        </is>
      </c>
      <c r="D7352" t="n">
        <v>2117197</v>
      </c>
      <c r="E7352" t="inlineStr">
        <is>
          <t>SEC</t>
        </is>
      </c>
    </row>
    <row r="7353">
      <c r="A7353" s="5">
        <f>HYPERLINK("https://finance.yahoo.com/quote/CVCPY","CVCPY")</f>
        <v/>
      </c>
      <c r="B7353" t="inlineStr">
        <is>
          <t>CVC Capital Partners plc/ADR</t>
        </is>
      </c>
      <c r="C7353" t="inlineStr">
        <is>
          <t>OTC</t>
        </is>
      </c>
      <c r="D7353" t="n">
        <v>2120046</v>
      </c>
      <c r="E7353" t="inlineStr">
        <is>
          <t>SEC</t>
        </is>
      </c>
    </row>
    <row r="7354">
      <c r="A7354" s="5">
        <f>HYPERLINK("https://finance.yahoo.com/quote/HFE","HFE")</f>
        <v/>
      </c>
      <c r="B7354" t="inlineStr">
        <is>
          <t>Hao Feng Group Ltd.</t>
        </is>
      </c>
      <c r="C7354" t="inlineStr"/>
      <c r="D7354" t="n">
        <v>2120204</v>
      </c>
      <c r="E7354" t="inlineStr">
        <is>
          <t>SEC</t>
        </is>
      </c>
    </row>
    <row r="7355">
      <c r="A7355" s="5">
        <f>HYPERLINK("https://finance.yahoo.com/quote/KHG","KHG")</f>
        <v/>
      </c>
      <c r="B7355" t="inlineStr">
        <is>
          <t>Kainan Holding Group Ltd</t>
        </is>
      </c>
      <c r="C7355" t="inlineStr"/>
      <c r="D7355" t="n">
        <v>2120528</v>
      </c>
      <c r="E7355" t="inlineStr">
        <is>
          <t>SEC</t>
        </is>
      </c>
    </row>
    <row r="7356">
      <c r="A7356" s="5">
        <f>HYPERLINK("https://finance.yahoo.com/quote/CMBY","CMBY")</f>
        <v/>
      </c>
      <c r="B7356" t="inlineStr">
        <is>
          <t>Cumberland Farms Ltd</t>
        </is>
      </c>
      <c r="C7356" t="inlineStr"/>
      <c r="D7356" t="n">
        <v>2123232</v>
      </c>
      <c r="E7356" t="inlineStr">
        <is>
          <t>SEC</t>
        </is>
      </c>
    </row>
    <row r="7357">
      <c r="A7357" s="5">
        <f>HYPERLINK("https://finance.yahoo.com/quote/MNTGY","MNTGY")</f>
        <v/>
      </c>
      <c r="B7357" t="inlineStr">
        <is>
          <t>Montage Technology Co., Ltd./ADR</t>
        </is>
      </c>
      <c r="C7357" t="inlineStr">
        <is>
          <t>OTC</t>
        </is>
      </c>
      <c r="D7357" t="n">
        <v>2123346</v>
      </c>
      <c r="E7357" t="inlineStr">
        <is>
          <t>SEC</t>
        </is>
      </c>
    </row>
    <row r="7358">
      <c r="A7358" s="5">
        <f>HYPERLINK("https://finance.yahoo.com/quote/WXILY","WXILY")</f>
        <v/>
      </c>
      <c r="B7358" t="inlineStr">
        <is>
          <t>Wuxi Lead Intelligent Equipment Co., Ltd./ADR</t>
        </is>
      </c>
      <c r="C7358" t="inlineStr">
        <is>
          <t>OTC</t>
        </is>
      </c>
      <c r="D7358" t="n">
        <v>2123372</v>
      </c>
      <c r="E7358" t="inlineStr">
        <is>
          <t>SEC</t>
        </is>
      </c>
    </row>
    <row r="7359">
      <c r="A7359" s="5">
        <f>HYPERLINK("https://finance.yahoo.com/quote/GVAC","GVAC")</f>
        <v/>
      </c>
      <c r="B7359" t="inlineStr">
        <is>
          <t>Gravity Acquisition Corp.</t>
        </is>
      </c>
      <c r="C7359" t="inlineStr"/>
      <c r="D7359" t="n">
        <v>2123380</v>
      </c>
      <c r="E7359" t="inlineStr">
        <is>
          <t>SEC</t>
        </is>
      </c>
    </row>
    <row r="7360">
      <c r="A7360" s="5">
        <f>HYPERLINK("https://finance.yahoo.com/quote/MUYNY","MUYNY")</f>
        <v/>
      </c>
      <c r="B7360" t="inlineStr">
        <is>
          <t>Muyuan Foods Co. Ltd/ADR</t>
        </is>
      </c>
      <c r="C7360" t="inlineStr">
        <is>
          <t>OTC</t>
        </is>
      </c>
      <c r="D7360" t="n">
        <v>2123524</v>
      </c>
      <c r="E7360" t="inlineStr">
        <is>
          <t>SEC</t>
        </is>
      </c>
    </row>
    <row r="7361">
      <c r="A7361" s="5">
        <f>HYPERLINK("https://finance.yahoo.com/quote/EBGCY","EBGCY")</f>
        <v/>
      </c>
      <c r="B7361" t="inlineStr">
        <is>
          <t>Eastroc Beverage Group Co. Ltd/ADR</t>
        </is>
      </c>
      <c r="C7361" t="inlineStr">
        <is>
          <t>OTC</t>
        </is>
      </c>
      <c r="D7361" t="n">
        <v>2123531</v>
      </c>
      <c r="E7361" t="inlineStr">
        <is>
          <t>SEC</t>
        </is>
      </c>
    </row>
    <row r="7362">
      <c r="A7362" s="5">
        <f>HYPERLINK("https://finance.yahoo.com/quote/ASPE","ASPE")</f>
        <v/>
      </c>
      <c r="B7362" t="inlineStr">
        <is>
          <t>Aspen Neuroscience, Inc.</t>
        </is>
      </c>
      <c r="C7362" t="inlineStr"/>
      <c r="D7362" t="n">
        <v>2124080</v>
      </c>
      <c r="E7362" t="inlineStr">
        <is>
          <t>SEC</t>
        </is>
      </c>
    </row>
    <row r="7363">
      <c r="A7363" s="5">
        <f>HYPERLINK("https://finance.yahoo.com/quote/SKG","SKG")</f>
        <v/>
      </c>
      <c r="B7363" t="inlineStr">
        <is>
          <t>SMART KREATE GROUP Ltd</t>
        </is>
      </c>
      <c r="C7363" t="inlineStr"/>
      <c r="D7363" t="n">
        <v>2124478</v>
      </c>
      <c r="E7363" t="inlineStr">
        <is>
          <t>SEC</t>
        </is>
      </c>
    </row>
    <row r="7364">
      <c r="A7364" s="5">
        <f>HYPERLINK("https://finance.yahoo.com/quote/WELA","WELA")</f>
        <v/>
      </c>
      <c r="B7364" t="inlineStr">
        <is>
          <t>Wella Co</t>
        </is>
      </c>
      <c r="C7364" t="inlineStr"/>
      <c r="D7364" t="n">
        <v>2125056</v>
      </c>
      <c r="E7364" t="inlineStr">
        <is>
          <t>SEC</t>
        </is>
      </c>
    </row>
    <row r="7365">
      <c r="A7365" s="5">
        <f>HYPERLINK("https://finance.yahoo.com/quote/BMB","BMB")</f>
        <v/>
      </c>
      <c r="B7365" t="inlineStr">
        <is>
          <t>Bamboo Insurance Services, Inc.</t>
        </is>
      </c>
      <c r="C7365" t="inlineStr"/>
      <c r="D7365" t="n">
        <v>2125355</v>
      </c>
      <c r="E7365" t="inlineStr">
        <is>
          <t>SEC</t>
        </is>
      </c>
    </row>
    <row r="7366">
      <c r="A7366" s="5">
        <f>HYPERLINK("https://finance.yahoo.com/quote/SKBBY","SKBBY")</f>
        <v/>
      </c>
      <c r="B7366" t="inlineStr">
        <is>
          <t>Sichuan Kelun-Biotech Biopharmaceutical Co., Ltd./ADR</t>
        </is>
      </c>
      <c r="C7366" t="inlineStr">
        <is>
          <t>OTC</t>
        </is>
      </c>
      <c r="D7366" t="n">
        <v>2125904</v>
      </c>
      <c r="E7366" t="inlineStr">
        <is>
          <t>SEC</t>
        </is>
      </c>
    </row>
    <row r="7367">
      <c r="A7367" s="5">
        <f>HYPERLINK("https://finance.yahoo.com/quote/BHTGY","BHTGY")</f>
        <v/>
      </c>
      <c r="B7367" t="inlineStr">
        <is>
          <t>Beijing Haizhi Technology Group Co., Ltd./ADR</t>
        </is>
      </c>
      <c r="C7367" t="inlineStr">
        <is>
          <t>OTC</t>
        </is>
      </c>
      <c r="D7367" t="n">
        <v>2125951</v>
      </c>
      <c r="E7367" t="inlineStr">
        <is>
          <t>SEC</t>
        </is>
      </c>
    </row>
    <row r="7368">
      <c r="A7368" s="5">
        <f>HYPERLINK("https://finance.yahoo.com/quote/NTCMY","NTCMY")</f>
        <v/>
      </c>
      <c r="B7368" t="inlineStr">
        <is>
          <t>Natura Cosmeticos S.A./ADR</t>
        </is>
      </c>
      <c r="C7368" t="inlineStr">
        <is>
          <t>OTC</t>
        </is>
      </c>
      <c r="D7368" t="n">
        <v>2126620</v>
      </c>
      <c r="E7368" t="inlineStr">
        <is>
          <t>SEC</t>
        </is>
      </c>
    </row>
    <row r="7369">
      <c r="A7369" s="5">
        <f>HYPERLINK("https://finance.yahoo.com/quote/ATAYY","ATAYY")</f>
        <v/>
      </c>
      <c r="B7369" t="inlineStr">
        <is>
          <t>American Tungsten &amp; Antimony Ltd</t>
        </is>
      </c>
      <c r="C7369" t="inlineStr">
        <is>
          <t>OTC</t>
        </is>
      </c>
      <c r="D7369" t="n">
        <v>2127653</v>
      </c>
      <c r="E7369" t="inlineStr">
        <is>
          <t>SEC</t>
        </is>
      </c>
    </row>
    <row r="7370">
      <c r="A7370" s="5">
        <f>HYPERLINK("https://finance.yahoo.com/quote/BVGLY","BVGLY")</f>
        <v/>
      </c>
      <c r="B7370" t="inlineStr">
        <is>
          <t>Bellevue Gold Ltd./ADR</t>
        </is>
      </c>
      <c r="C7370" t="inlineStr">
        <is>
          <t>OTC</t>
        </is>
      </c>
      <c r="D7370" t="n">
        <v>2127839</v>
      </c>
      <c r="E7370" t="inlineStr">
        <is>
          <t>SEC</t>
        </is>
      </c>
    </row>
    <row r="7371">
      <c r="A7371" s="5">
        <f>HYPERLINK("https://finance.yahoo.com/quote/EULLY","EULLY")</f>
        <v/>
      </c>
      <c r="B7371" t="inlineStr">
        <is>
          <t>EUROPEAN LITHIUM LTD/ADR</t>
        </is>
      </c>
      <c r="C7371" t="inlineStr">
        <is>
          <t>OTC</t>
        </is>
      </c>
      <c r="D7371" t="n">
        <v>2127859</v>
      </c>
      <c r="E7371" t="inlineStr">
        <is>
          <t>SEC</t>
        </is>
      </c>
    </row>
    <row r="7372">
      <c r="A7372" s="5">
        <f>HYPERLINK("https://finance.yahoo.com/quote/DTRSY","DTRSY")</f>
        <v/>
      </c>
      <c r="B7372" t="inlineStr">
        <is>
          <t>DATELINE RESOURCES LTD/ADR</t>
        </is>
      </c>
      <c r="C7372" t="inlineStr">
        <is>
          <t>OTC</t>
        </is>
      </c>
      <c r="D7372" t="n">
        <v>2127860</v>
      </c>
      <c r="E7372" t="inlineStr">
        <is>
          <t>SEC</t>
        </is>
      </c>
    </row>
    <row r="7373">
      <c r="A7373" s="5">
        <f>HYPERLINK("https://finance.yahoo.com/quote/BCLGY","BCLGY")</f>
        <v/>
      </c>
      <c r="B7373" t="inlineStr">
        <is>
          <t>BALTIC CLASSIFIEDS GROUP PLC/ADR</t>
        </is>
      </c>
      <c r="C7373" t="inlineStr">
        <is>
          <t>OTC</t>
        </is>
      </c>
      <c r="D7373" t="n">
        <v>2127862</v>
      </c>
      <c r="E7373" t="inlineStr">
        <is>
          <t>SEC</t>
        </is>
      </c>
    </row>
    <row r="7374">
      <c r="A7374" s="5">
        <f>HYPERLINK("https://finance.yahoo.com/quote/TFP","TFP")</f>
        <v/>
      </c>
      <c r="B7374" t="inlineStr">
        <is>
          <t>TFP Group Ltd</t>
        </is>
      </c>
      <c r="C7374" t="inlineStr"/>
      <c r="D7374" t="n">
        <v>2128185</v>
      </c>
      <c r="E7374" t="inlineStr">
        <is>
          <t>SEC</t>
        </is>
      </c>
    </row>
    <row r="7375">
      <c r="A7375" s="5">
        <f>HYPERLINK("https://finance.yahoo.com/quote/MTGLY","MTGLY")</f>
        <v/>
      </c>
      <c r="B7375" t="inlineStr">
        <is>
          <t>Mininglamp Technology Group Limited/ADR</t>
        </is>
      </c>
      <c r="C7375" t="inlineStr">
        <is>
          <t>OTC</t>
        </is>
      </c>
      <c r="D7375" t="n">
        <v>2128448</v>
      </c>
      <c r="E7375" t="inlineStr">
        <is>
          <t>SEC</t>
        </is>
      </c>
    </row>
    <row r="7376">
      <c r="A7376" s="5">
        <f>HYPERLINK("https://finance.yahoo.com/quote/JXIRY","JXIRY")</f>
        <v/>
      </c>
      <c r="B7376" t="inlineStr">
        <is>
          <t>Jiaxin International Resources Investment Limited/ADR</t>
        </is>
      </c>
      <c r="C7376" t="inlineStr">
        <is>
          <t>OTC</t>
        </is>
      </c>
      <c r="D7376" t="n">
        <v>2128458</v>
      </c>
      <c r="E7376" t="inlineStr">
        <is>
          <t>SEC</t>
        </is>
      </c>
    </row>
    <row r="7377">
      <c r="A7377" s="5">
        <f>HYPERLINK("https://finance.yahoo.com/quote/SXTEY","SXTEY")</f>
        <v/>
      </c>
      <c r="B7377" t="inlineStr">
        <is>
          <t>Shenzhen Xunce Technology Co., Ltd./ADR</t>
        </is>
      </c>
      <c r="C7377" t="inlineStr">
        <is>
          <t>OTC</t>
        </is>
      </c>
      <c r="D7377" t="n">
        <v>2128597</v>
      </c>
      <c r="E7377" t="inlineStr">
        <is>
          <t>SEC</t>
        </is>
      </c>
    </row>
    <row r="7378">
      <c r="A7378" s="5">
        <f>HYPERLINK("https://finance.yahoo.com/quote/TYOEY","TYOEY")</f>
        <v/>
      </c>
      <c r="B7378" t="inlineStr">
        <is>
          <t>Toyo Engineering Corporation/ADR</t>
        </is>
      </c>
      <c r="C7378" t="inlineStr">
        <is>
          <t>OTC</t>
        </is>
      </c>
      <c r="D7378" t="n">
        <v>2128619</v>
      </c>
      <c r="E7378" t="inlineStr">
        <is>
          <t>SEC</t>
        </is>
      </c>
    </row>
    <row r="7379">
      <c r="A7379" s="5">
        <f>HYPERLINK("https://finance.yahoo.com/quote/HGZDY","HGZDY")</f>
        <v/>
      </c>
      <c r="B7379" t="inlineStr">
        <is>
          <t>Hangzhou Diagens Biotechnology Co., Ltd./ADR</t>
        </is>
      </c>
      <c r="C7379" t="inlineStr">
        <is>
          <t>OTC</t>
        </is>
      </c>
      <c r="D7379" t="n">
        <v>2128813</v>
      </c>
      <c r="E7379" t="inlineStr">
        <is>
          <t>SEC</t>
        </is>
      </c>
    </row>
    <row r="7380">
      <c r="A7380" s="5">
        <f>HYPERLINK("https://finance.yahoo.com/quote/GDHRY","GDHRY")</f>
        <v/>
      </c>
      <c r="B7380" t="inlineStr">
        <is>
          <t>Guangdong Huayan Robotics Co, Ltd./ADR</t>
        </is>
      </c>
      <c r="C7380" t="inlineStr">
        <is>
          <t>OTC</t>
        </is>
      </c>
      <c r="D7380" t="n">
        <v>2129466</v>
      </c>
      <c r="E7380" t="inlineStr">
        <is>
          <t>SEC</t>
        </is>
      </c>
    </row>
    <row r="7381">
      <c r="A7381" s="5">
        <f>HYPERLINK("https://finance.yahoo.com/quote/OMGCY","OMGCY")</f>
        <v/>
      </c>
      <c r="B7381" t="inlineStr">
        <is>
          <t>Omai Gold Mines Corp./ADR</t>
        </is>
      </c>
      <c r="C7381" t="inlineStr">
        <is>
          <t>OTC</t>
        </is>
      </c>
      <c r="D7381" t="n">
        <v>2130027</v>
      </c>
      <c r="E7381" t="inlineStr">
        <is>
          <t>SEC</t>
        </is>
      </c>
    </row>
    <row r="7382">
      <c r="A7382" s="5">
        <f>HYPERLINK("https://finance.yahoo.com/quote/HCAX","HCAX")</f>
        <v/>
      </c>
      <c r="B7382" t="inlineStr">
        <is>
          <t>Hall Chadwick Acquisition Corp II</t>
        </is>
      </c>
      <c r="C7382" t="inlineStr"/>
      <c r="D7382" t="n">
        <v>2130219</v>
      </c>
      <c r="E7382" t="inlineStr">
        <is>
          <t>SEC</t>
        </is>
      </c>
    </row>
    <row r="7383">
      <c r="A7383" s="5">
        <f>HYPERLINK("https://finance.yahoo.com/quote/AXM","AXM")</f>
        <v/>
      </c>
      <c r="B7383" t="inlineStr">
        <is>
          <t>Archer SpinCo, Inc.</t>
        </is>
      </c>
      <c r="C7383" t="inlineStr"/>
      <c r="D7383" t="n">
        <v>2130999</v>
      </c>
      <c r="E7383" t="inlineStr">
        <is>
          <t>SEC</t>
        </is>
      </c>
    </row>
    <row r="7384">
      <c r="A7384" s="5">
        <f>HYPERLINK("https://finance.yahoo.com/quote/HRIA","HRIA")</f>
        <v/>
      </c>
      <c r="B7384" t="inlineStr">
        <is>
          <t>Harbour Island Acquisition Corp. I</t>
        </is>
      </c>
      <c r="C7384" t="inlineStr"/>
      <c r="D7384" t="n">
        <v>2131072</v>
      </c>
      <c r="E7384" t="inlineStr">
        <is>
          <t>SEC</t>
        </is>
      </c>
    </row>
    <row r="7385">
      <c r="A7385" s="5">
        <f>HYPERLINK("https://finance.yahoo.com/quote/SCQC","SCQC")</f>
        <v/>
      </c>
      <c r="B7385" t="inlineStr">
        <is>
          <t>SPACCircle Acquisition Corp.</t>
        </is>
      </c>
      <c r="C7385" t="inlineStr"/>
      <c r="D7385" t="n">
        <v>2131303</v>
      </c>
      <c r="E7385" t="inlineStr">
        <is>
          <t>SEC</t>
        </is>
      </c>
    </row>
    <row r="7386">
      <c r="A7386" s="5">
        <f>HYPERLINK("https://finance.yahoo.com/quote/VGTHY","VGTHY")</f>
        <v/>
      </c>
      <c r="B7386" t="inlineStr">
        <is>
          <t>Victory Giant Technology (HuiZhou) Co., Ltd./ADR</t>
        </is>
      </c>
      <c r="C7386" t="inlineStr">
        <is>
          <t>OTC</t>
        </is>
      </c>
      <c r="D7386" t="n">
        <v>2131322</v>
      </c>
      <c r="E7386" t="inlineStr">
        <is>
          <t>SEC</t>
        </is>
      </c>
    </row>
    <row r="7387">
      <c r="A7387" s="5">
        <f>HYPERLINK("https://finance.yahoo.com/quote/KVLT","KVLT")</f>
        <v/>
      </c>
      <c r="B7387" t="inlineStr">
        <is>
          <t>CoVolt Power, Inc.</t>
        </is>
      </c>
      <c r="C7387" t="inlineStr"/>
      <c r="D7387" t="n">
        <v>2131613</v>
      </c>
      <c r="E7387" t="inlineStr">
        <is>
          <t>SEC</t>
        </is>
      </c>
    </row>
    <row r="7388">
      <c r="A7388" s="5">
        <f>HYPERLINK("https://finance.yahoo.com/quote/OPNHY","OPNHY")</f>
        <v/>
      </c>
      <c r="B7388" t="inlineStr">
        <is>
          <t>Open House Group Co. Ltd/ADR</t>
        </is>
      </c>
      <c r="C7388" t="inlineStr">
        <is>
          <t>OTC</t>
        </is>
      </c>
      <c r="D7388" t="n">
        <v>2131812</v>
      </c>
      <c r="E7388" t="inlineStr">
        <is>
          <t>SEC</t>
        </is>
      </c>
    </row>
    <row r="7389">
      <c r="A7389" s="5">
        <f>HYPERLINK("https://finance.yahoo.com/quote/FTRA","FTRA")</f>
        <v/>
      </c>
      <c r="B7389" t="inlineStr">
        <is>
          <t>FutureCorp Space Acquisition 1</t>
        </is>
      </c>
      <c r="C7389" t="inlineStr">
        <is>
          <t>NYSE</t>
        </is>
      </c>
      <c r="D7389" t="n">
        <v>2131853</v>
      </c>
      <c r="E7389" t="inlineStr">
        <is>
          <t>SEC</t>
        </is>
      </c>
    </row>
    <row r="7390">
      <c r="A7390" s="5">
        <f>HYPERLINK("https://finance.yahoo.com/quote/MCFN","MCFN")</f>
        <v/>
      </c>
      <c r="B7390" t="inlineStr">
        <is>
          <t>McCarthy Finney, Inc.</t>
        </is>
      </c>
      <c r="C7390" t="inlineStr"/>
      <c r="D7390" t="n">
        <v>2131882</v>
      </c>
      <c r="E7390" t="inlineStr">
        <is>
          <t>SEC</t>
        </is>
      </c>
    </row>
    <row r="7391">
      <c r="A7391" s="5">
        <f>HYPERLINK("https://finance.yahoo.com/quote/MNYCY","MNYCY")</f>
        <v/>
      </c>
      <c r="B7391" t="inlineStr">
        <is>
          <t>Manycore Tech Inc./ADR</t>
        </is>
      </c>
      <c r="C7391" t="inlineStr">
        <is>
          <t>OTC</t>
        </is>
      </c>
      <c r="D7391" t="n">
        <v>2131961</v>
      </c>
      <c r="E7391" t="inlineStr">
        <is>
          <t>SEC</t>
        </is>
      </c>
    </row>
    <row r="7392">
      <c r="A7392" s="5">
        <f>HYPERLINK("https://finance.yahoo.com/quote/CNTL","CNTL")</f>
        <v/>
      </c>
      <c r="B7392" t="inlineStr">
        <is>
          <t>Centinel Spine Holdco, Inc.</t>
        </is>
      </c>
      <c r="C7392" t="inlineStr"/>
      <c r="D7392" t="n">
        <v>2132065</v>
      </c>
      <c r="E7392" t="inlineStr">
        <is>
          <t>SEC</t>
        </is>
      </c>
    </row>
    <row r="7393">
      <c r="A7393" s="5">
        <f>HYPERLINK("https://finance.yahoo.com/quote/SIGEY","SIGEY")</f>
        <v/>
      </c>
      <c r="B7393" t="inlineStr">
        <is>
          <t>Sigenergy Technology Co., Ltd./ADR</t>
        </is>
      </c>
      <c r="C7393" t="inlineStr">
        <is>
          <t>OTC</t>
        </is>
      </c>
      <c r="D7393" t="n">
        <v>2132082</v>
      </c>
      <c r="E7393" t="inlineStr">
        <is>
          <t>SEC</t>
        </is>
      </c>
    </row>
    <row r="7394">
      <c r="A7394" s="5">
        <f>HYPERLINK("https://finance.yahoo.com/quote/MSGR","MSGR")</f>
        <v/>
      </c>
      <c r="B7394" t="inlineStr">
        <is>
          <t>MSGS Spinco, Inc.</t>
        </is>
      </c>
      <c r="C7394" t="inlineStr"/>
      <c r="D7394" t="n">
        <v>2132873</v>
      </c>
      <c r="E7394" t="inlineStr">
        <is>
          <t>SEC</t>
        </is>
      </c>
    </row>
    <row r="7395">
      <c r="A7395" s="5">
        <f>HYPERLINK("https://finance.yahoo.com/quote/RHDTY","RHDTY")</f>
        <v/>
      </c>
      <c r="B7395" t="inlineStr">
        <is>
          <t>Ruihe Data Technology Holdings Limited/ADR</t>
        </is>
      </c>
      <c r="C7395" t="inlineStr">
        <is>
          <t>OTC</t>
        </is>
      </c>
      <c r="D7395" t="n">
        <v>2133020</v>
      </c>
      <c r="E7395" t="inlineStr">
        <is>
          <t>SEC</t>
        </is>
      </c>
    </row>
    <row r="7396">
      <c r="A7396" s="5">
        <f>HYPERLINK("https://finance.yahoo.com/quote/OURA","OURA")</f>
        <v/>
      </c>
      <c r="B7396" t="inlineStr">
        <is>
          <t>Oura Inc.</t>
        </is>
      </c>
      <c r="C7396" t="inlineStr"/>
      <c r="D7396" t="n">
        <v>2133022</v>
      </c>
      <c r="E7396" t="inlineStr">
        <is>
          <t>SEC</t>
        </is>
      </c>
    </row>
    <row r="7397">
      <c r="A7397" s="5">
        <f>HYPERLINK("https://finance.yahoo.com/quote/YLUZ","YLUZ")</f>
        <v/>
      </c>
      <c r="B7397" t="inlineStr">
        <is>
          <t>YPF Energia Electrica S.A.</t>
        </is>
      </c>
      <c r="C7397" t="inlineStr"/>
      <c r="D7397" t="n">
        <v>2133716</v>
      </c>
      <c r="E7397" t="inlineStr">
        <is>
          <t>SEC</t>
        </is>
      </c>
    </row>
    <row r="7398">
      <c r="A7398" s="5">
        <f>HYPERLINK("https://finance.yahoo.com/quote/THARY","THARY")</f>
        <v/>
      </c>
      <c r="B7398" t="inlineStr">
        <is>
          <t>Tharisa plc</t>
        </is>
      </c>
      <c r="C7398" t="inlineStr">
        <is>
          <t>OTC</t>
        </is>
      </c>
      <c r="D7398" t="n">
        <v>2133810</v>
      </c>
      <c r="E7398" t="inlineStr">
        <is>
          <t>SEC</t>
        </is>
      </c>
    </row>
    <row r="7399">
      <c r="A7399" s="5">
        <f>HYPERLINK("https://finance.yahoo.com/quote/KGBMY","KGBMY")</f>
        <v/>
      </c>
      <c r="B7399" t="inlineStr">
        <is>
          <t>Kongsberg Maritime ASA/ADR</t>
        </is>
      </c>
      <c r="C7399" t="inlineStr">
        <is>
          <t>OTC</t>
        </is>
      </c>
      <c r="D7399" t="n">
        <v>2133892</v>
      </c>
      <c r="E7399" t="inlineStr">
        <is>
          <t>SEC</t>
        </is>
      </c>
    </row>
    <row r="7400">
      <c r="A7400" s="5">
        <f>HYPERLINK("https://finance.yahoo.com/quote/FBLL","FBLL")</f>
        <v/>
      </c>
      <c r="B7400" t="inlineStr">
        <is>
          <t>Football Manager SPAC Inc.</t>
        </is>
      </c>
      <c r="C7400" t="inlineStr"/>
      <c r="D7400" t="n">
        <v>2133939</v>
      </c>
      <c r="E7400" t="inlineStr">
        <is>
          <t>SEC</t>
        </is>
      </c>
    </row>
    <row r="7401">
      <c r="A7401" s="5">
        <f>HYPERLINK("https://finance.yahoo.com/quote/AGKO","AGKO")</f>
        <v/>
      </c>
      <c r="B7401" t="inlineStr">
        <is>
          <t>Aggreko Inc.</t>
        </is>
      </c>
      <c r="C7401" t="inlineStr"/>
      <c r="D7401" t="n">
        <v>2134090</v>
      </c>
      <c r="E7401" t="inlineStr">
        <is>
          <t>SEC</t>
        </is>
      </c>
    </row>
    <row r="7402">
      <c r="A7402" s="5">
        <f>HYPERLINK("https://finance.yahoo.com/quote/ITHEY","ITHEY")</f>
        <v/>
      </c>
      <c r="B7402" t="inlineStr">
        <is>
          <t>Ithaca Energy PLC/ADR</t>
        </is>
      </c>
      <c r="C7402" t="inlineStr">
        <is>
          <t>OTC</t>
        </is>
      </c>
      <c r="D7402" t="n">
        <v>2134539</v>
      </c>
      <c r="E7402" t="inlineStr">
        <is>
          <t>SEC</t>
        </is>
      </c>
    </row>
    <row r="7403">
      <c r="A7403" s="5">
        <f>HYPERLINK("https://finance.yahoo.com/quote/ULIT","ULIT")</f>
        <v/>
      </c>
      <c r="B7403" t="inlineStr">
        <is>
          <t>US Elemental Inc.</t>
        </is>
      </c>
      <c r="C7403" t="inlineStr"/>
      <c r="D7403" t="n">
        <v>2134552</v>
      </c>
      <c r="E7403" t="inlineStr">
        <is>
          <t>SEC</t>
        </is>
      </c>
    </row>
    <row r="7404">
      <c r="A7404" s="5">
        <f>HYPERLINK("https://finance.yahoo.com/quote/SRALY","SRALY")</f>
        <v/>
      </c>
      <c r="B7404" t="inlineStr">
        <is>
          <t>Stadler Rail AG/ADR</t>
        </is>
      </c>
      <c r="C7404" t="inlineStr">
        <is>
          <t>OTC</t>
        </is>
      </c>
      <c r="D7404" t="n">
        <v>2134599</v>
      </c>
      <c r="E7404" t="inlineStr">
        <is>
          <t>SEC</t>
        </is>
      </c>
    </row>
    <row r="7405">
      <c r="A7405" s="5">
        <f>HYPERLINK("https://finance.yahoo.com/quote/SXZTY","SXZTY")</f>
        <v/>
      </c>
      <c r="B7405" t="inlineStr">
        <is>
          <t>Shanghai Xizhi Technology Co., Ltd./ADR</t>
        </is>
      </c>
      <c r="C7405" t="inlineStr">
        <is>
          <t>OTC</t>
        </is>
      </c>
      <c r="D7405" t="n">
        <v>2135894</v>
      </c>
      <c r="E7405" t="inlineStr">
        <is>
          <t>SEC</t>
        </is>
      </c>
    </row>
    <row r="7406">
      <c r="A7406" s="5">
        <f>HYPERLINK("https://finance.yahoo.com/quote/HUAQY","HUAQY")</f>
        <v/>
      </c>
      <c r="B7406" t="inlineStr">
        <is>
          <t>Huaqin Co. LTD/ADR</t>
        </is>
      </c>
      <c r="C7406" t="inlineStr">
        <is>
          <t>OTC</t>
        </is>
      </c>
      <c r="D7406" t="n">
        <v>2136116</v>
      </c>
      <c r="E7406" t="inlineStr">
        <is>
          <t>SEC</t>
        </is>
      </c>
    </row>
    <row r="7407">
      <c r="A7407" s="5">
        <f>HYPERLINK("https://finance.yahoo.com/quote/CSCM","CSCM")</f>
        <v/>
      </c>
      <c r="B7407" t="inlineStr">
        <is>
          <t>Crestone Strategic Capital Acquisition Corp</t>
        </is>
      </c>
      <c r="C7407" t="inlineStr"/>
      <c r="D7407" t="n">
        <v>2136449</v>
      </c>
      <c r="E7407" t="inlineStr">
        <is>
          <t>SEC</t>
        </is>
      </c>
    </row>
    <row r="7408">
      <c r="A7408" s="5">
        <f>HYPERLINK("https://finance.yahoo.com/quote/NMRRY","NMRRY")</f>
        <v/>
      </c>
      <c r="B7408" t="inlineStr">
        <is>
          <t>Nomura Real Estate Holdings, Inc./ADR</t>
        </is>
      </c>
      <c r="C7408" t="inlineStr">
        <is>
          <t>OTC</t>
        </is>
      </c>
      <c r="D7408" t="n">
        <v>2136706</v>
      </c>
      <c r="E7408" t="inlineStr">
        <is>
          <t>SEC</t>
        </is>
      </c>
    </row>
    <row r="7409">
      <c r="A7409" s="5">
        <f>HYPERLINK("https://finance.yahoo.com/quote/BEMPY","BEMPY")</f>
        <v/>
      </c>
      <c r="B7409" t="inlineStr">
        <is>
          <t>Bangkok Expressway &amp; Metro Public Co Limited/ADR</t>
        </is>
      </c>
      <c r="C7409" t="inlineStr">
        <is>
          <t>OTC</t>
        </is>
      </c>
      <c r="D7409" t="n">
        <v>2137137</v>
      </c>
      <c r="E7409" t="inlineStr">
        <is>
          <t>SEC</t>
        </is>
      </c>
    </row>
    <row r="7410">
      <c r="A7410" s="5">
        <f>HYPERLINK("https://finance.yahoo.com/quote/PRLG","PRLG")</f>
        <v/>
      </c>
      <c r="B7410" t="inlineStr">
        <is>
          <t>Prologium Holding Inc.</t>
        </is>
      </c>
      <c r="C7410" t="inlineStr"/>
      <c r="D7410" t="n">
        <v>2137754</v>
      </c>
      <c r="E7410" t="inlineStr">
        <is>
          <t>SEC</t>
        </is>
      </c>
    </row>
    <row r="7411">
      <c r="A7411" s="5">
        <f>HYPERLINK("https://finance.yahoo.com/quote/YHTE","YHTE")</f>
        <v/>
      </c>
      <c r="B7411" t="inlineStr">
        <is>
          <t>Primagrove Ltd</t>
        </is>
      </c>
      <c r="C7411" t="inlineStr"/>
      <c r="D7411" t="n">
        <v>2138135</v>
      </c>
      <c r="E7411" t="inlineStr">
        <is>
          <t>SEC</t>
        </is>
      </c>
    </row>
    <row r="7412">
      <c r="A7412" s="5">
        <f>HYPERLINK("https://finance.yahoo.com/quote/NARA","NARA")</f>
        <v/>
      </c>
      <c r="B7412" t="inlineStr">
        <is>
          <t>Narragansett Bancorp, Inc.</t>
        </is>
      </c>
      <c r="C7412" t="inlineStr"/>
      <c r="D7412" t="n">
        <v>2138186</v>
      </c>
      <c r="E7412" t="inlineStr">
        <is>
          <t>SEC</t>
        </is>
      </c>
    </row>
    <row r="7413">
      <c r="A7413" s="5">
        <f>HYPERLINK("https://finance.yahoo.com/quote/SIAMY","SIAMY")</f>
        <v/>
      </c>
      <c r="B7413" t="inlineStr">
        <is>
          <t>Siam Global House Public Co Limited/ADR</t>
        </is>
      </c>
      <c r="C7413" t="inlineStr">
        <is>
          <t>OTC</t>
        </is>
      </c>
      <c r="D7413" t="n">
        <v>2138369</v>
      </c>
      <c r="E7413" t="inlineStr">
        <is>
          <t>SEC</t>
        </is>
      </c>
    </row>
    <row r="7414">
      <c r="A7414" s="5">
        <f>HYPERLINK("https://finance.yahoo.com/quote/CBAGY","CBAGY")</f>
        <v/>
      </c>
      <c r="B7414" t="inlineStr">
        <is>
          <t>Carabao Group Public Co Limited/ADR</t>
        </is>
      </c>
      <c r="C7414" t="inlineStr">
        <is>
          <t>OTC</t>
        </is>
      </c>
      <c r="D7414" t="n">
        <v>2138373</v>
      </c>
      <c r="E7414" t="inlineStr">
        <is>
          <t>SEC</t>
        </is>
      </c>
    </row>
    <row r="7415">
      <c r="A7415" s="5">
        <f>HYPERLINK("https://finance.yahoo.com/quote/SBRTY","SBRTY")</f>
        <v/>
      </c>
      <c r="B7415" t="inlineStr">
        <is>
          <t>Shanghai Biren Technology/ADR</t>
        </is>
      </c>
      <c r="C7415" t="inlineStr">
        <is>
          <t>OTC</t>
        </is>
      </c>
      <c r="D7415" t="n">
        <v>2138453</v>
      </c>
      <c r="E7415" t="inlineStr">
        <is>
          <t>SEC</t>
        </is>
      </c>
    </row>
    <row r="7416">
      <c r="A7416" s="5">
        <f>HYPERLINK("https://finance.yahoo.com/quote/ZABKY","ZABKY")</f>
        <v/>
      </c>
      <c r="B7416" t="inlineStr">
        <is>
          <t>Zabka Group S.A./ADR</t>
        </is>
      </c>
      <c r="C7416" t="inlineStr">
        <is>
          <t>OTC</t>
        </is>
      </c>
      <c r="D7416" t="n">
        <v>2138474</v>
      </c>
      <c r="E7416" t="inlineStr">
        <is>
          <t>SEC</t>
        </is>
      </c>
    </row>
    <row r="7417">
      <c r="A7417" s="5">
        <f>HYPERLINK("https://finance.yahoo.com/quote/SHNTY","SHNTY")</f>
        <v/>
      </c>
      <c r="B7417" t="inlineStr">
        <is>
          <t>Shanghai Top Numerical Control Technology Co., Ltd./ADR</t>
        </is>
      </c>
      <c r="C7417" t="inlineStr">
        <is>
          <t>OTC</t>
        </is>
      </c>
      <c r="D7417" t="n">
        <v>2138554</v>
      </c>
      <c r="E7417" t="inlineStr">
        <is>
          <t>SEC</t>
        </is>
      </c>
    </row>
    <row r="7418">
      <c r="A7418" s="5">
        <f>HYPERLINK("https://finance.yahoo.com/quote/VII","VII")</f>
        <v/>
      </c>
      <c r="B7418" t="inlineStr">
        <is>
          <t>Viking Acquisition Corp. II</t>
        </is>
      </c>
      <c r="C7418" t="inlineStr">
        <is>
          <t>NYSE</t>
        </is>
      </c>
      <c r="D7418" t="n">
        <v>2139246</v>
      </c>
      <c r="E7418" t="inlineStr">
        <is>
          <t>SEC</t>
        </is>
      </c>
    </row>
    <row r="7419">
      <c r="A7419" s="5">
        <f>HYPERLINK("https://finance.yahoo.com/quote/ATZIY","ATZIY")</f>
        <v/>
      </c>
      <c r="B7419" t="inlineStr">
        <is>
          <t>Aritzia Inc./ADR</t>
        </is>
      </c>
      <c r="C7419" t="inlineStr">
        <is>
          <t>OTC</t>
        </is>
      </c>
      <c r="D7419" t="n">
        <v>2139627</v>
      </c>
      <c r="E7419" t="inlineStr">
        <is>
          <t>SEC</t>
        </is>
      </c>
    </row>
    <row r="7420">
      <c r="A7420" s="5">
        <f>HYPERLINK("https://finance.yahoo.com/quote/LARS","LARS")</f>
        <v/>
      </c>
      <c r="B7420" t="inlineStr">
        <is>
          <t>Laris Growth Acquisition Corp.</t>
        </is>
      </c>
      <c r="C7420" t="inlineStr"/>
      <c r="D7420" t="n">
        <v>2140589</v>
      </c>
      <c r="E7420" t="inlineStr">
        <is>
          <t>SEC</t>
        </is>
      </c>
    </row>
    <row r="7421">
      <c r="A7421" s="5">
        <f>HYPERLINK("https://finance.yahoo.com/quote/LNFGY","LNFGY")</f>
        <v/>
      </c>
      <c r="B7421" t="inlineStr">
        <is>
          <t>Lion Finance Group PLC/ADR</t>
        </is>
      </c>
      <c r="C7421" t="inlineStr">
        <is>
          <t>OTC</t>
        </is>
      </c>
      <c r="D7421" t="n">
        <v>2140948</v>
      </c>
      <c r="E7421" t="inlineStr">
        <is>
          <t>SEC</t>
        </is>
      </c>
    </row>
    <row r="7422">
      <c r="A7422" s="5">
        <f>HYPERLINK("https://finance.yahoo.com/quote/DLTYY","DLTYY")</f>
        <v/>
      </c>
      <c r="B7422" t="inlineStr">
        <is>
          <t>Delton Technology Guangzhou Inc./ADR</t>
        </is>
      </c>
      <c r="C7422" t="inlineStr">
        <is>
          <t>OTC</t>
        </is>
      </c>
      <c r="D7422" t="n">
        <v>2140977</v>
      </c>
      <c r="E7422" t="inlineStr">
        <is>
          <t>SEC</t>
        </is>
      </c>
    </row>
    <row r="7423">
      <c r="A7423" s="5">
        <f>HYPERLINK("https://finance.yahoo.com/quote/RGKUY","RGKUY")</f>
        <v/>
      </c>
      <c r="B7423" t="inlineStr">
        <is>
          <t>Rigaku Holdings Corporation/ADR</t>
        </is>
      </c>
      <c r="C7423" t="inlineStr">
        <is>
          <t>OTC</t>
        </is>
      </c>
      <c r="D7423" t="n">
        <v>2141099</v>
      </c>
      <c r="E7423" t="inlineStr">
        <is>
          <t>SEC</t>
        </is>
      </c>
    </row>
    <row r="7424">
      <c r="A7424" s="5">
        <f>HYPERLINK("https://finance.yahoo.com/quote/SCNLD","SCNLD")</f>
        <v/>
      </c>
      <c r="B7424" t="inlineStr">
        <is>
          <t>Scancell Holdings plc</t>
        </is>
      </c>
      <c r="C7424" t="inlineStr">
        <is>
          <t>OTC</t>
        </is>
      </c>
      <c r="D7424" t="n">
        <v>2141116</v>
      </c>
      <c r="E7424" t="inlineStr">
        <is>
          <t>SEC</t>
        </is>
      </c>
    </row>
    <row r="7425">
      <c r="A7425" s="5">
        <f>HYPERLINK("https://finance.yahoo.com/quote/MGMVF","MGMVF")</f>
        <v/>
      </c>
      <c r="B7425" t="inlineStr">
        <is>
          <t>Mogul Mountain Ventures Corp</t>
        </is>
      </c>
      <c r="C7425" t="inlineStr">
        <is>
          <t>OTC</t>
        </is>
      </c>
      <c r="D7425" t="n">
        <v>2141493</v>
      </c>
      <c r="E7425" t="inlineStr">
        <is>
          <t>SEC</t>
        </is>
      </c>
    </row>
    <row r="7426">
      <c r="A7426" s="5">
        <f>HYPERLINK("https://finance.yahoo.com/quote/RZRA","RZRA")</f>
        <v/>
      </c>
      <c r="B7426" t="inlineStr">
        <is>
          <t>Rezera Inc.</t>
        </is>
      </c>
      <c r="C7426" t="inlineStr"/>
      <c r="D7426" t="n">
        <v>2141583</v>
      </c>
      <c r="E7426" t="inlineStr">
        <is>
          <t>SEC</t>
        </is>
      </c>
    </row>
    <row r="7427">
      <c r="A7427" s="5">
        <f>HYPERLINK("https://finance.yahoo.com/quote/BHAI","BHAI")</f>
        <v/>
      </c>
      <c r="B7427" t="inlineStr">
        <is>
          <t>BHAV Acquisition Corp II</t>
        </is>
      </c>
      <c r="C7427" t="inlineStr"/>
      <c r="D7427" t="n">
        <v>2142627</v>
      </c>
      <c r="E7427" t="inlineStr">
        <is>
          <t>SEC</t>
        </is>
      </c>
    </row>
    <row r="7428">
      <c r="A7428" s="5">
        <f>HYPERLINK("https://finance.yahoo.com/quote/FTPK","FTPK")</f>
        <v/>
      </c>
      <c r="B7428" t="inlineStr">
        <is>
          <t>FuturePeak Acquisition Corp</t>
        </is>
      </c>
      <c r="C7428" t="inlineStr"/>
      <c r="D7428" t="n">
        <v>2142699</v>
      </c>
      <c r="E7428" t="inlineStr">
        <is>
          <t>SEC</t>
        </is>
      </c>
    </row>
    <row r="7429">
      <c r="A7429" s="5">
        <f>HYPERLINK("https://finance.yahoo.com/quote/OHII","OHII")</f>
        <v/>
      </c>
      <c r="B7429" t="inlineStr">
        <is>
          <t>Oceanhawk Acquisition II Corp.</t>
        </is>
      </c>
      <c r="C7429" t="inlineStr"/>
      <c r="D7429" t="n">
        <v>2143038</v>
      </c>
      <c r="E7429" t="inlineStr">
        <is>
          <t>SEC</t>
        </is>
      </c>
    </row>
    <row r="7430">
      <c r="A7430" s="5">
        <f>HYPERLINK("https://finance.yahoo.com/quote/EMAC","EMAC")</f>
        <v/>
      </c>
      <c r="B7430" t="inlineStr">
        <is>
          <t>Essential Minerals Acquisition Corp</t>
        </is>
      </c>
      <c r="C7430" t="inlineStr"/>
      <c r="D7430" t="n">
        <v>2143060</v>
      </c>
      <c r="E7430" t="inlineStr">
        <is>
          <t>SEC</t>
        </is>
      </c>
    </row>
    <row r="7431">
      <c r="A7431" s="5">
        <f>HYPERLINK("https://finance.yahoo.com/quote/ALXMF","ALXMF")</f>
        <v/>
      </c>
      <c r="B7431" t="inlineStr">
        <is>
          <t>Alex Metals Corp.</t>
        </is>
      </c>
      <c r="C7431" t="inlineStr">
        <is>
          <t>OTC</t>
        </is>
      </c>
      <c r="D7431" t="n">
        <v>2144401</v>
      </c>
      <c r="E7431" t="inlineStr">
        <is>
          <t>SEC</t>
        </is>
      </c>
    </row>
    <row r="7432">
      <c r="A7432" s="5">
        <f>HYPERLINK("https://finance.yahoo.com/quote/LXSPY","LXSPY")</f>
        <v/>
      </c>
      <c r="B7432" t="inlineStr">
        <is>
          <t>Luxshare Precision Industry Co., Ltd./ADR</t>
        </is>
      </c>
      <c r="C7432" t="inlineStr">
        <is>
          <t>OTC</t>
        </is>
      </c>
      <c r="D7432" t="n">
        <v>2144732</v>
      </c>
      <c r="E7432" t="inlineStr">
        <is>
          <t>SEC</t>
        </is>
      </c>
    </row>
    <row r="7433">
      <c r="A7433" s="5">
        <f>HYPERLINK("https://finance.yahoo.com/quote/BSUDY","BSUDY")</f>
        <v/>
      </c>
      <c r="B7433" t="inlineStr">
        <is>
          <t>Bradsaude S.A./ADR</t>
        </is>
      </c>
      <c r="C7433" t="inlineStr">
        <is>
          <t>OTC</t>
        </is>
      </c>
      <c r="D7433" t="n">
        <v>2144745</v>
      </c>
      <c r="E7433" t="inlineStr">
        <is>
          <t>SEC</t>
        </is>
      </c>
    </row>
    <row r="7434">
      <c r="A7434" s="5">
        <f>HYPERLINK("https://finance.yahoo.com/quote/CTNKY","CTNKY")</f>
        <v/>
      </c>
      <c r="B7434" t="inlineStr">
        <is>
          <t>Capital Tankers Corp./ADR</t>
        </is>
      </c>
      <c r="C7434" t="inlineStr">
        <is>
          <t>OTC</t>
        </is>
      </c>
      <c r="D7434" t="n">
        <v>2144751</v>
      </c>
      <c r="E7434" t="inlineStr">
        <is>
          <t>SEC</t>
        </is>
      </c>
    </row>
    <row r="7435">
      <c r="A7435" s="5">
        <f>HYPERLINK("https://finance.yahoo.com/quote/MTBOY","MTBOY")</f>
        <v/>
      </c>
      <c r="B7435" t="inlineStr">
        <is>
          <t>Metis TechBio Co Ltd/ADR</t>
        </is>
      </c>
      <c r="C7435" t="inlineStr">
        <is>
          <t>OTC</t>
        </is>
      </c>
      <c r="D7435" t="n">
        <v>2144761</v>
      </c>
      <c r="E7435" t="inlineStr">
        <is>
          <t>SEC</t>
        </is>
      </c>
    </row>
    <row r="7436">
      <c r="A7436" s="5">
        <f>HYPERLINK("https://finance.yahoo.com/quote/CTCGY","CTCGY")</f>
        <v/>
      </c>
      <c r="B7436" t="inlineStr">
        <is>
          <t>Chaozhou Three-Circle (Group) Co., Ltd./ADR</t>
        </is>
      </c>
      <c r="C7436" t="inlineStr">
        <is>
          <t>OTC</t>
        </is>
      </c>
      <c r="D7436" t="n">
        <v>2145367</v>
      </c>
      <c r="E7436" t="inlineStr">
        <is>
          <t>SEC</t>
        </is>
      </c>
    </row>
    <row r="7437">
      <c r="A7437" s="5">
        <f>HYPERLINK("https://finance.yahoo.com/quote/GDTTY","GDTTY")</f>
        <v/>
      </c>
      <c r="B7437" t="inlineStr">
        <is>
          <t>Guangdong Dtech Technology Co., Ltd./ADR</t>
        </is>
      </c>
      <c r="C7437" t="inlineStr">
        <is>
          <t>OTC</t>
        </is>
      </c>
      <c r="D7437" t="n">
        <v>2145378</v>
      </c>
      <c r="E7437" t="inlineStr">
        <is>
          <t>SEC</t>
        </is>
      </c>
    </row>
    <row r="7438">
      <c r="A7438" s="5">
        <f>HYPERLINK("https://finance.yahoo.com/quote/PHCAF","PHCAF")</f>
        <v/>
      </c>
      <c r="B7438" t="inlineStr">
        <is>
          <t>Phoenix Metals Corp.</t>
        </is>
      </c>
      <c r="C7438" t="inlineStr">
        <is>
          <t>OTC</t>
        </is>
      </c>
      <c r="D7438" t="n">
        <v>2145424</v>
      </c>
      <c r="E7438" t="inlineStr">
        <is>
          <t>SEC</t>
        </is>
      </c>
    </row>
    <row r="7439">
      <c r="A7439" s="5">
        <f>HYPERLINK("https://finance.yahoo.com/quote/LCAC","LCAC")</f>
        <v/>
      </c>
      <c r="B7439" t="inlineStr">
        <is>
          <t>Lower Cross Acquisitions Corp</t>
        </is>
      </c>
      <c r="C7439" t="inlineStr"/>
      <c r="D7439" t="n">
        <v>2147457</v>
      </c>
      <c r="E7439" t="inlineStr">
        <is>
          <t>SEC</t>
        </is>
      </c>
    </row>
    <row r="7440">
      <c r="A7440" s="5">
        <f>HYPERLINK("https://finance.yahoo.com/quote/SCIP","SCIP")</f>
        <v/>
      </c>
      <c r="B7440" t="inlineStr">
        <is>
          <t>Snowdrift Parent Corp</t>
        </is>
      </c>
      <c r="C7440" t="inlineStr"/>
      <c r="D7440" t="n">
        <v>2147497</v>
      </c>
      <c r="E7440" t="inlineStr">
        <is>
          <t>SEC</t>
        </is>
      </c>
    </row>
    <row r="7441">
      <c r="A7441" s="5">
        <f>HYPERLINK("https://finance.yahoo.com/quote/HLNK","HLNK")</f>
        <v/>
      </c>
      <c r="B7441" t="inlineStr">
        <is>
          <t>HUALINK TECH INC</t>
        </is>
      </c>
      <c r="C7441" t="inlineStr"/>
      <c r="D7441" t="n">
        <v>2147557</v>
      </c>
      <c r="E7441" t="inlineStr">
        <is>
          <t>SEC</t>
        </is>
      </c>
    </row>
    <row r="7442">
      <c r="A7442" s="5">
        <f>HYPERLINK("https://finance.yahoo.com/quote/MGLBY","MGLBY")</f>
        <v/>
      </c>
      <c r="B7442" t="inlineStr">
        <is>
          <t>MOMENTA GLOBAL LTD/ADR</t>
        </is>
      </c>
      <c r="C7442" t="inlineStr">
        <is>
          <t>OTC</t>
        </is>
      </c>
      <c r="D7442" t="n">
        <v>2148075</v>
      </c>
      <c r="E7442" t="inlineStr">
        <is>
          <t>SEC</t>
        </is>
      </c>
    </row>
    <row r="7443">
      <c r="A7443" s="5">
        <f>HYPERLINK("https://finance.yahoo.com/quote/NIAA","NIAA")</f>
        <v/>
      </c>
      <c r="B7443" t="inlineStr">
        <is>
          <t>New Iceland Arctic Acquisition Corp.</t>
        </is>
      </c>
      <c r="C7443" t="inlineStr"/>
      <c r="D7443" t="n">
        <v>2148245</v>
      </c>
      <c r="E7443" t="inlineStr">
        <is>
          <t>SEC</t>
        </is>
      </c>
    </row>
    <row r="7444">
      <c r="A7444" s="5">
        <f>HYPERLINK("https://finance.yahoo.com/quote/PSTEY","PSTEY")</f>
        <v/>
      </c>
      <c r="B7444" t="inlineStr">
        <is>
          <t>Poste Italiane S.p.A./ADR</t>
        </is>
      </c>
      <c r="C7444" t="inlineStr">
        <is>
          <t>OTC</t>
        </is>
      </c>
      <c r="D7444" t="n">
        <v>2149111</v>
      </c>
      <c r="E7444" t="inlineStr">
        <is>
          <t>SEC</t>
        </is>
      </c>
    </row>
    <row r="7445">
      <c r="A7445" s="5">
        <f>HYPERLINK("https://finance.yahoo.com/quote/PGA","PGA")</f>
        <v/>
      </c>
      <c r="B7445" t="inlineStr">
        <is>
          <t>POP GLOBAL ACQUISITION Ltd</t>
        </is>
      </c>
      <c r="C7445" t="inlineStr"/>
      <c r="D7445" t="n">
        <v>2150455</v>
      </c>
      <c r="E7445" t="inlineStr">
        <is>
          <t>SEC</t>
        </is>
      </c>
    </row>
    <row r="7446">
      <c r="A7446" s="5">
        <f>HYPERLINK("https://finance.yahoo.com/quote/ZHJIY","ZHJIY")</f>
        <v/>
      </c>
      <c r="B7446" t="inlineStr">
        <is>
          <t>Zhongji Innolight Co., Ltd./ADR</t>
        </is>
      </c>
      <c r="C7446" t="inlineStr">
        <is>
          <t>OTC</t>
        </is>
      </c>
      <c r="D7446" t="n">
        <v>2150915</v>
      </c>
      <c r="E7446" t="inlineStr">
        <is>
          <t>SEC</t>
        </is>
      </c>
    </row>
    <row r="7447">
      <c r="A7447" s="5">
        <f>HYPERLINK("https://finance.yahoo.com/quote/TCAA","TCAA")</f>
        <v/>
      </c>
      <c r="B7447" t="inlineStr">
        <is>
          <t>TANG CAPITAL ACQUISITION CORP.</t>
        </is>
      </c>
      <c r="C7447" t="inlineStr"/>
      <c r="D7447" t="n">
        <v>2151808</v>
      </c>
      <c r="E7447" t="inlineStr">
        <is>
          <t>SEC</t>
        </is>
      </c>
    </row>
    <row r="7448">
      <c r="A7448" s="5">
        <f>HYPERLINK("https://finance.yahoo.com/quote/SHGHY","SHGHY")</f>
        <v/>
      </c>
      <c r="B7448" t="inlineStr">
        <is>
          <t>SHEIN Global Holdings Limited/ADR</t>
        </is>
      </c>
      <c r="C7448" t="inlineStr">
        <is>
          <t>OTC</t>
        </is>
      </c>
      <c r="D7448" t="n">
        <v>2152230</v>
      </c>
      <c r="E7448" t="inlineStr">
        <is>
          <t>SEC</t>
        </is>
      </c>
    </row>
    <row r="7449">
      <c r="A7449" s="5">
        <f>HYPERLINK("https://finance.yahoo.com/quote/HFG","HFG")</f>
        <v/>
      </c>
      <c r="B7449" t="inlineStr">
        <is>
          <t>Hometown Financial Group, Inc./MD</t>
        </is>
      </c>
      <c r="C7449" t="inlineStr"/>
      <c r="D7449" t="n">
        <v>2152644</v>
      </c>
      <c r="E7449" t="inlineStr">
        <is>
          <t>SEC</t>
        </is>
      </c>
    </row>
    <row r="7450">
      <c r="A7450" s="5">
        <f>HYPERLINK("https://finance.yahoo.com/quote/CHXIY","CHXIY")</f>
        <v/>
      </c>
      <c r="B7450" t="inlineStr">
        <is>
          <t>Chuangxin Industries Holdings Limited/ADR</t>
        </is>
      </c>
      <c r="C7450" t="inlineStr">
        <is>
          <t>OTC</t>
        </is>
      </c>
      <c r="D7450" t="n">
        <v>2152784</v>
      </c>
      <c r="E7450" t="inlineStr">
        <is>
          <t>SEC</t>
        </is>
      </c>
    </row>
    <row r="7451">
      <c r="A7451" s="5">
        <f>HYPERLINK("https://finance.yahoo.com/quote/UNCJY","UNCJY")</f>
        <v/>
      </c>
      <c r="B7451" t="inlineStr">
        <is>
          <t>Unicaja Banco S.A/ADR</t>
        </is>
      </c>
      <c r="C7451" t="inlineStr">
        <is>
          <t>OTC</t>
        </is>
      </c>
      <c r="D7451" t="n">
        <v>2153327</v>
      </c>
      <c r="E7451" t="inlineStr">
        <is>
          <t>SEC</t>
        </is>
      </c>
    </row>
    <row r="7452">
      <c r="A7452" s="5">
        <f>HYPERLINK("https://finance.yahoo.com/quote/NTVRY","NTVRY")</f>
        <v/>
      </c>
      <c r="B7452" t="inlineStr">
        <is>
          <t>Nativo Resources plc /ADR</t>
        </is>
      </c>
      <c r="C7452" t="inlineStr">
        <is>
          <t>OTC</t>
        </is>
      </c>
      <c r="D7452" t="n">
        <v>2153349</v>
      </c>
      <c r="E7452" t="inlineStr">
        <is>
          <t>SEC</t>
        </is>
      </c>
    </row>
    <row r="7453">
      <c r="A7453" s="5">
        <f>HYPERLINK("https://finance.yahoo.com/quote/CSEA","CSEA")</f>
        <v/>
      </c>
      <c r="B7453" t="inlineStr">
        <is>
          <t>Calm Seas Acquisition Corp.</t>
        </is>
      </c>
      <c r="C7453" t="inlineStr"/>
      <c r="D7453" t="n">
        <v>2154056</v>
      </c>
      <c r="E7453" t="inlineStr">
        <is>
          <t>SEC</t>
        </is>
      </c>
    </row>
    <row r="7454">
      <c r="A7454" s="5">
        <f>HYPERLINK("https://finance.yahoo.com/quote/PGBCY","PGBCY")</f>
        <v/>
      </c>
      <c r="B7454" t="inlineStr">
        <is>
          <t>PegBio Co., Ltd/ADR</t>
        </is>
      </c>
      <c r="C7454" t="inlineStr">
        <is>
          <t>OTC</t>
        </is>
      </c>
      <c r="D7454" t="n">
        <v>2154113</v>
      </c>
      <c r="E7454" t="inlineStr">
        <is>
          <t>SEC</t>
        </is>
      </c>
    </row>
    <row r="7455">
      <c r="A7455" s="5">
        <f>HYPERLINK("https://finance.yahoo.com/quote/SZWOY","SZWOY")</f>
        <v/>
      </c>
      <c r="B7455" t="inlineStr">
        <is>
          <t>Shenzhen Woer Heat-Shrinkable Material Co., Ltd/ADR</t>
        </is>
      </c>
      <c r="C7455" t="inlineStr">
        <is>
          <t>OTC</t>
        </is>
      </c>
      <c r="D7455" t="n">
        <v>2154117</v>
      </c>
      <c r="E7455" t="inlineStr">
        <is>
          <t>SEC</t>
        </is>
      </c>
    </row>
    <row r="7456">
      <c r="A7456" s="5">
        <f>HYPERLINK("https://finance.yahoo.com/quote/GMNHY","GMNHY")</f>
        <v/>
      </c>
      <c r="B7456" t="inlineStr">
        <is>
          <t>Guming Holdings Ltd/ADR</t>
        </is>
      </c>
      <c r="C7456" t="inlineStr">
        <is>
          <t>OTC</t>
        </is>
      </c>
      <c r="D7456" t="n">
        <v>2154118</v>
      </c>
      <c r="E7456" t="inlineStr">
        <is>
          <t>SEC</t>
        </is>
      </c>
    </row>
    <row r="7457">
      <c r="A7457" s="5">
        <f>HYPERLINK("https://finance.yahoo.com/quote/CNGMY","CNGMY")</f>
        <v/>
      </c>
      <c r="B7457" t="inlineStr">
        <is>
          <t>CNGR Advanced Material Co., Ltd/ADR</t>
        </is>
      </c>
      <c r="C7457" t="inlineStr">
        <is>
          <t>OTC</t>
        </is>
      </c>
      <c r="D7457" t="n">
        <v>2154119</v>
      </c>
      <c r="E7457" t="inlineStr">
        <is>
          <t>SEC</t>
        </is>
      </c>
    </row>
    <row r="7458">
      <c r="A7458" s="5">
        <f>HYPERLINK("https://finance.yahoo.com/quote/UNIC","UNIC")</f>
        <v/>
      </c>
      <c r="B7458" t="inlineStr">
        <is>
          <t>Unlimited Unicorn Opportunities Fund I</t>
        </is>
      </c>
      <c r="C7458" t="inlineStr"/>
      <c r="D7458" t="n">
        <v>2155226</v>
      </c>
      <c r="E7458" t="inlineStr">
        <is>
          <t>SEC</t>
        </is>
      </c>
    </row>
    <row r="7459">
      <c r="A7459" s="5">
        <f>HYPERLINK("https://finance.yahoo.com/quote/JSTYY","JSTYY")</f>
        <v/>
      </c>
      <c r="B7459" t="inlineStr">
        <is>
          <t>JOST Werke SE/ADR</t>
        </is>
      </c>
      <c r="C7459" t="inlineStr">
        <is>
          <t>OTC</t>
        </is>
      </c>
      <c r="D7459" t="n">
        <v>2155258</v>
      </c>
      <c r="E7459" t="inlineStr">
        <is>
          <t>SEC</t>
        </is>
      </c>
    </row>
    <row r="7460">
      <c r="A7460" s="5">
        <f>HYPERLINK("https://finance.yahoo.com/quote/OSAC","OSAC")</f>
        <v/>
      </c>
      <c r="B7460" t="inlineStr">
        <is>
          <t>Orange Street Acquisition Corp</t>
        </is>
      </c>
      <c r="C7460" t="inlineStr"/>
      <c r="D7460" t="n">
        <v>2155556</v>
      </c>
      <c r="E7460" t="inlineStr">
        <is>
          <t>SEC</t>
        </is>
      </c>
    </row>
    <row r="7461">
      <c r="A7461" s="5">
        <f>HYPERLINK("https://finance.yahoo.com/quote/DJINY","DJINY")</f>
        <v/>
      </c>
      <c r="B7461" t="inlineStr">
        <is>
          <t>Dajin Heavy Industry Co., Ltd/ADR</t>
        </is>
      </c>
      <c r="C7461" t="inlineStr">
        <is>
          <t>OTC</t>
        </is>
      </c>
      <c r="D7461" t="n">
        <v>2155706</v>
      </c>
      <c r="E7461" t="inlineStr">
        <is>
          <t>SEC</t>
        </is>
      </c>
    </row>
    <row r="7462">
      <c r="A7462" s="5">
        <f>HYPERLINK("https://finance.yahoo.com/quote/SGMIY","SGMIY")</f>
        <v/>
      </c>
      <c r="B7462" t="inlineStr">
        <is>
          <t>SG Micro Corp/ADR</t>
        </is>
      </c>
      <c r="C7462" t="inlineStr">
        <is>
          <t>OTC</t>
        </is>
      </c>
      <c r="D7462" t="n">
        <v>2155709</v>
      </c>
      <c r="E7462" t="inlineStr">
        <is>
          <t>SEC</t>
        </is>
      </c>
    </row>
    <row r="7463">
      <c r="A7463" s="5">
        <f>HYPERLINK("https://finance.yahoo.com/quote/CFMEY","CFMEY")</f>
        <v/>
      </c>
      <c r="B7463" t="inlineStr">
        <is>
          <t>Circuit Fabology Microelectronics Equipment Co., Ltd/ADR</t>
        </is>
      </c>
      <c r="C7463" t="inlineStr">
        <is>
          <t>OTC</t>
        </is>
      </c>
      <c r="D7463" t="n">
        <v>2155992</v>
      </c>
      <c r="E7463" t="inlineStr">
        <is>
          <t>SEC</t>
        </is>
      </c>
    </row>
    <row r="7464">
      <c r="A7464" s="5">
        <f>HYPERLINK("https://finance.yahoo.com/quote/BPAI","BPAI")</f>
        <v/>
      </c>
      <c r="B7464" t="inlineStr">
        <is>
          <t>Brookmont Pre-IPO AI Interval Fund</t>
        </is>
      </c>
      <c r="C7464" t="inlineStr"/>
      <c r="D7464" t="n">
        <v>2156259</v>
      </c>
      <c r="E7464" t="inlineStr">
        <is>
          <t>SEC</t>
        </is>
      </c>
    </row>
    <row r="7465">
      <c r="A7465" s="5">
        <f>HYPERLINK("https://finance.yahoo.com/quote/SLXMY","SLXMY")</f>
        <v/>
      </c>
      <c r="B7465" t="inlineStr">
        <is>
          <t>SILEX MICROSYSTEMS AB/ADR</t>
        </is>
      </c>
      <c r="C7465" t="inlineStr">
        <is>
          <t>OTC</t>
        </is>
      </c>
      <c r="D7465" t="n">
        <v>2156636</v>
      </c>
      <c r="E7465" t="inlineStr">
        <is>
          <t>SEC</t>
        </is>
      </c>
    </row>
    <row r="7466">
      <c r="A7466" s="5">
        <f>HYPERLINK("https://finance.yahoo.com/quote/ADESY","ADESY")</f>
        <v/>
      </c>
      <c r="B7466" t="inlineStr">
        <is>
          <t>Andean Silver Ltd</t>
        </is>
      </c>
      <c r="C7466" t="inlineStr">
        <is>
          <t>OTC</t>
        </is>
      </c>
      <c r="D7466" t="n">
        <v>2156728</v>
      </c>
      <c r="E7466" t="inlineStr">
        <is>
          <t>SEC</t>
        </is>
      </c>
    </row>
    <row r="7467">
      <c r="A7467" s="5">
        <f>HYPERLINK("https://finance.yahoo.com/quote/SSMIY","SSMIY")</f>
        <v/>
      </c>
      <c r="B7467" t="inlineStr">
        <is>
          <t>SIVERS SEMICONDUCTORS AB/ADR</t>
        </is>
      </c>
      <c r="C7467" t="inlineStr">
        <is>
          <t>OTC</t>
        </is>
      </c>
      <c r="D7467" t="n">
        <v>2157475</v>
      </c>
      <c r="E7467" t="inlineStr">
        <is>
          <t>SEC</t>
        </is>
      </c>
    </row>
    <row r="7468">
      <c r="A7468" s="5">
        <f>HYPERLINK("https://finance.yahoo.com/quote/NDPRY","NDPRY")</f>
        <v/>
      </c>
      <c r="B7468" t="inlineStr">
        <is>
          <t>Harena Rare Earths Plc</t>
        </is>
      </c>
      <c r="C7468" t="inlineStr">
        <is>
          <t>OTC</t>
        </is>
      </c>
      <c r="D7468" t="n">
        <v>2158201</v>
      </c>
      <c r="E7468" t="inlineStr">
        <is>
          <t>SEC</t>
        </is>
      </c>
    </row>
    <row r="7469">
      <c r="A7469" s="5">
        <f>HYPERLINK("https://finance.yahoo.com/quote/WINK","WINK")</f>
        <v/>
      </c>
      <c r="B7469" t="inlineStr">
        <is>
          <t>Winklevoss Zcash ETF</t>
        </is>
      </c>
      <c r="C7469" t="inlineStr"/>
      <c r="D7469" t="n">
        <v>2158471</v>
      </c>
      <c r="E7469" t="inlineStr">
        <is>
          <t>SEC</t>
        </is>
      </c>
    </row>
    <row r="7470">
      <c r="A7470" s="5">
        <f>HYPERLINK("https://finance.yahoo.com/quote/APTT","APTT")</f>
        <v/>
      </c>
      <c r="B7470" t="inlineStr">
        <is>
          <t>Apex Treasury Corp II</t>
        </is>
      </c>
      <c r="C7470" t="inlineStr"/>
      <c r="D7470" t="n">
        <v>2159678</v>
      </c>
      <c r="E7470" t="inlineStr">
        <is>
          <t>SEC</t>
        </is>
      </c>
    </row>
    <row r="7471">
      <c r="A7471" s="5">
        <f>HYPERLINK("https://finance.yahoo.com/quote/MTVIY","MTVIY")</f>
        <v/>
      </c>
      <c r="B7471" t="inlineStr">
        <is>
          <t>Motiva Infraestrutura de Mobilidade S.A./ADR</t>
        </is>
      </c>
      <c r="C7471" t="inlineStr">
        <is>
          <t>OTC</t>
        </is>
      </c>
      <c r="D7471" t="n">
        <v>2160519</v>
      </c>
      <c r="E7471" t="inlineStr">
        <is>
          <t>SEC</t>
        </is>
      </c>
    </row>
    <row r="7472">
      <c r="A7472" s="5">
        <f>HYPERLINK("https://finance.yahoo.com/quote/GOOG","GOOG")</f>
        <v/>
      </c>
      <c r="B7472" t="inlineStr">
        <is>
          <t>Alphabet Inc.</t>
        </is>
      </c>
      <c r="C7472" t="inlineStr">
        <is>
          <t>Nasdaq</t>
        </is>
      </c>
      <c r="D7472" t="n">
        <v>1652044</v>
      </c>
      <c r="E7472" t="inlineStr">
        <is>
          <t>SEC</t>
        </is>
      </c>
    </row>
    <row r="7473">
      <c r="A7473" s="5">
        <f>HYPERLINK("https://finance.yahoo.com/quote/USB-PA","USB-PA")</f>
        <v/>
      </c>
      <c r="B7473" t="inlineStr">
        <is>
          <t>US BANCORP DE</t>
        </is>
      </c>
      <c r="C7473" t="inlineStr">
        <is>
          <t>NYSE</t>
        </is>
      </c>
      <c r="D7473" t="n">
        <v>36104</v>
      </c>
      <c r="E7473" t="inlineStr">
        <is>
          <t>SEC</t>
        </is>
      </c>
    </row>
    <row r="7474">
      <c r="A7474" s="5">
        <f>HYPERLINK("https://finance.yahoo.com/quote/BRK-A","BRK-A")</f>
        <v/>
      </c>
      <c r="B7474" t="inlineStr">
        <is>
          <t>BERKSHIRE HATHAWAY INC</t>
        </is>
      </c>
      <c r="C7474" t="inlineStr">
        <is>
          <t>NYSE</t>
        </is>
      </c>
      <c r="D7474" t="n">
        <v>1067983</v>
      </c>
      <c r="E7474" t="inlineStr">
        <is>
          <t>SEC</t>
        </is>
      </c>
    </row>
    <row r="7475">
      <c r="A7475" s="5">
        <f>HYPERLINK("https://finance.yahoo.com/quote/ASMLF","ASMLF")</f>
        <v/>
      </c>
      <c r="B7475" t="inlineStr">
        <is>
          <t>ASML HOLDING NV</t>
        </is>
      </c>
      <c r="C7475" t="inlineStr">
        <is>
          <t>OTC</t>
        </is>
      </c>
      <c r="D7475" t="n">
        <v>937966</v>
      </c>
      <c r="E7475" t="inlineStr">
        <is>
          <t>SEC</t>
        </is>
      </c>
    </row>
    <row r="7476">
      <c r="A7476" s="5">
        <f>HYPERLINK("https://finance.yahoo.com/quote/TSMWF","TSMWF")</f>
        <v/>
      </c>
      <c r="B7476" t="inlineStr">
        <is>
          <t>TAIWAN SEMICONDUCTOR MANUFACTURING CO LTD</t>
        </is>
      </c>
      <c r="C7476" t="inlineStr">
        <is>
          <t>OTC</t>
        </is>
      </c>
      <c r="D7476" t="n">
        <v>1046179</v>
      </c>
      <c r="E7476" t="inlineStr">
        <is>
          <t>SEC</t>
        </is>
      </c>
    </row>
    <row r="7477">
      <c r="A7477" s="5">
        <f>HYPERLINK("https://finance.yahoo.com/quote/BABAF","BABAF")</f>
        <v/>
      </c>
      <c r="B7477" t="inlineStr">
        <is>
          <t>Alibaba Group Holding Ltd</t>
        </is>
      </c>
      <c r="C7477" t="inlineStr">
        <is>
          <t>OTC</t>
        </is>
      </c>
      <c r="D7477" t="n">
        <v>1577552</v>
      </c>
      <c r="E7477" t="inlineStr">
        <is>
          <t>SEC</t>
        </is>
      </c>
    </row>
    <row r="7478">
      <c r="A7478" s="5">
        <f>HYPERLINK("https://finance.yahoo.com/quote/JPM-PC","JPM-PC")</f>
        <v/>
      </c>
      <c r="B7478" t="inlineStr">
        <is>
          <t>JPMORGAN CHASE &amp; CO</t>
        </is>
      </c>
      <c r="C7478" t="inlineStr">
        <is>
          <t>NYSE</t>
        </is>
      </c>
      <c r="D7478" t="n">
        <v>19617</v>
      </c>
      <c r="E7478" t="inlineStr">
        <is>
          <t>SEC</t>
        </is>
      </c>
    </row>
    <row r="7479">
      <c r="A7479" s="5">
        <f>HYPERLINK("https://finance.yahoo.com/quote/PCCYF","PCCYF")</f>
        <v/>
      </c>
      <c r="B7479" t="inlineStr">
        <is>
          <t>PETROCHINA CO LTD</t>
        </is>
      </c>
      <c r="C7479" t="inlineStr">
        <is>
          <t>OTC</t>
        </is>
      </c>
      <c r="D7479" t="n">
        <v>1108329</v>
      </c>
      <c r="E7479" t="inlineStr">
        <is>
          <t>SEC</t>
        </is>
      </c>
    </row>
    <row r="7480">
      <c r="A7480" s="5">
        <f>HYPERLINK("https://finance.yahoo.com/quote/RYDAF","RYDAF")</f>
        <v/>
      </c>
      <c r="B7480" t="inlineStr">
        <is>
          <t>Shell plc</t>
        </is>
      </c>
      <c r="C7480" t="inlineStr">
        <is>
          <t>OTC</t>
        </is>
      </c>
      <c r="D7480" t="n">
        <v>1306965</v>
      </c>
      <c r="E7480" t="inlineStr">
        <is>
          <t>SEC</t>
        </is>
      </c>
    </row>
    <row r="7481">
      <c r="A7481" s="5">
        <f>HYPERLINK("https://finance.yahoo.com/quote/BML-PG","BML-PG")</f>
        <v/>
      </c>
      <c r="B7481" t="inlineStr">
        <is>
          <t>BANK OF AMERICA CORP /DE/</t>
        </is>
      </c>
      <c r="C7481" t="inlineStr">
        <is>
          <t>NYSE</t>
        </is>
      </c>
      <c r="D7481" t="n">
        <v>70858</v>
      </c>
      <c r="E7481" t="inlineStr">
        <is>
          <t>SEC</t>
        </is>
      </c>
    </row>
    <row r="7482">
      <c r="A7482" s="5">
        <f>HYPERLINK("https://finance.yahoo.com/quote/SAPGF","SAPGF")</f>
        <v/>
      </c>
      <c r="B7482" t="inlineStr">
        <is>
          <t>SAP SE</t>
        </is>
      </c>
      <c r="C7482" t="inlineStr">
        <is>
          <t>OTC</t>
        </is>
      </c>
      <c r="D7482" t="n">
        <v>1000184</v>
      </c>
      <c r="E7482" t="inlineStr">
        <is>
          <t>SEC</t>
        </is>
      </c>
    </row>
    <row r="7483">
      <c r="A7483" s="5">
        <f>HYPERLINK("https://finance.yahoo.com/quote/NVSEF","NVSEF")</f>
        <v/>
      </c>
      <c r="B7483" t="inlineStr">
        <is>
          <t>NOVARTIS AG</t>
        </is>
      </c>
      <c r="C7483" t="inlineStr">
        <is>
          <t>OTC</t>
        </is>
      </c>
      <c r="D7483" t="n">
        <v>1114448</v>
      </c>
      <c r="E7483" t="inlineStr">
        <is>
          <t>SEC</t>
        </is>
      </c>
    </row>
    <row r="7484">
      <c r="A7484" s="5">
        <f>HYPERLINK("https://finance.yahoo.com/quote/BML-PL","BML-PL")</f>
        <v/>
      </c>
      <c r="B7484" t="inlineStr">
        <is>
          <t>BANK OF AMERICA CORP /DE/</t>
        </is>
      </c>
      <c r="C7484" t="inlineStr">
        <is>
          <t>NYSE</t>
        </is>
      </c>
      <c r="D7484" t="n">
        <v>70858</v>
      </c>
      <c r="E7484" t="inlineStr">
        <is>
          <t>SEC</t>
        </is>
      </c>
    </row>
    <row r="7485">
      <c r="A7485" s="5">
        <f>HYPERLINK("https://finance.yahoo.com/quote/BAC-PB","BAC-PB")</f>
        <v/>
      </c>
      <c r="B7485" t="inlineStr">
        <is>
          <t>BANK OF AMERICA CORP /DE/</t>
        </is>
      </c>
      <c r="C7485" t="inlineStr">
        <is>
          <t>NYSE</t>
        </is>
      </c>
      <c r="D7485" t="n">
        <v>70858</v>
      </c>
      <c r="E7485" t="inlineStr">
        <is>
          <t>SEC</t>
        </is>
      </c>
    </row>
    <row r="7486">
      <c r="A7486" s="5">
        <f>HYPERLINK("https://finance.yahoo.com/quote/TOYOF","TOYOF")</f>
        <v/>
      </c>
      <c r="B7486" t="inlineStr">
        <is>
          <t>TOYOTA MOTOR CORP/</t>
        </is>
      </c>
      <c r="C7486" t="inlineStr">
        <is>
          <t>OTC</t>
        </is>
      </c>
      <c r="D7486" t="n">
        <v>1094517</v>
      </c>
      <c r="E7486" t="inlineStr">
        <is>
          <t>SEC</t>
        </is>
      </c>
    </row>
    <row r="7487">
      <c r="A7487" s="5">
        <f>HYPERLINK("https://finance.yahoo.com/quote/CILJF","CILJF")</f>
        <v/>
      </c>
      <c r="B7487" t="inlineStr">
        <is>
          <t>CHINA LIFE INSURANCE CO LTD</t>
        </is>
      </c>
      <c r="C7487" t="inlineStr">
        <is>
          <t>OTC</t>
        </is>
      </c>
      <c r="D7487" t="n">
        <v>1268896</v>
      </c>
      <c r="E7487" t="inlineStr">
        <is>
          <t>SEC</t>
        </is>
      </c>
    </row>
    <row r="7488">
      <c r="A7488" s="5">
        <f>HYPERLINK("https://finance.yahoo.com/quote/BAC-PK","BAC-PK")</f>
        <v/>
      </c>
      <c r="B7488" t="inlineStr">
        <is>
          <t>BANK OF AMERICA CORP /DE/</t>
        </is>
      </c>
      <c r="C7488" t="inlineStr">
        <is>
          <t>NYSE</t>
        </is>
      </c>
      <c r="D7488" t="n">
        <v>70858</v>
      </c>
      <c r="E7488" t="inlineStr">
        <is>
          <t>SEC</t>
        </is>
      </c>
    </row>
    <row r="7489">
      <c r="A7489" s="5">
        <f>HYPERLINK("https://finance.yahoo.com/quote/MBFJF","MBFJF")</f>
        <v/>
      </c>
      <c r="B7489" t="inlineStr">
        <is>
          <t>MITSUBISHI UFJ FINANCIAL GROUP INC</t>
        </is>
      </c>
      <c r="C7489" t="inlineStr">
        <is>
          <t>OTC</t>
        </is>
      </c>
      <c r="D7489" t="n">
        <v>67088</v>
      </c>
      <c r="E7489" t="inlineStr">
        <is>
          <t>SEC</t>
        </is>
      </c>
    </row>
    <row r="7490">
      <c r="A7490" s="5">
        <f>HYPERLINK("https://finance.yahoo.com/quote/CTATF","CTATF")</f>
        <v/>
      </c>
      <c r="B7490" t="inlineStr">
        <is>
          <t>Contemporary Amperex Technology Co., Limited/ADR</t>
        </is>
      </c>
      <c r="C7490" t="inlineStr">
        <is>
          <t>OTC</t>
        </is>
      </c>
      <c r="D7490" t="n">
        <v>2070829</v>
      </c>
      <c r="E7490" t="inlineStr">
        <is>
          <t>SEC</t>
        </is>
      </c>
    </row>
    <row r="7491">
      <c r="A7491" s="5">
        <f>HYPERLINK("https://finance.yahoo.com/quote/BHPLF","BHPLF")</f>
        <v/>
      </c>
      <c r="B7491" t="inlineStr">
        <is>
          <t>BHP Group Ltd</t>
        </is>
      </c>
      <c r="C7491" t="inlineStr">
        <is>
          <t>OTC</t>
        </is>
      </c>
      <c r="D7491" t="n">
        <v>811809</v>
      </c>
      <c r="E7491" t="inlineStr">
        <is>
          <t>SEC</t>
        </is>
      </c>
    </row>
    <row r="7492">
      <c r="A7492" s="5">
        <f>HYPERLINK("https://finance.yahoo.com/quote/HBCYF","HBCYF")</f>
        <v/>
      </c>
      <c r="B7492" t="inlineStr">
        <is>
          <t>HSBC HOLDINGS PLC</t>
        </is>
      </c>
      <c r="C7492" t="inlineStr">
        <is>
          <t>OTC</t>
        </is>
      </c>
      <c r="D7492" t="n">
        <v>1089113</v>
      </c>
      <c r="E7492" t="inlineStr">
        <is>
          <t>SEC</t>
        </is>
      </c>
    </row>
    <row r="7493">
      <c r="A7493" s="5">
        <f>HYPERLINK("https://finance.yahoo.com/quote/WFC-PY","WFC-PY")</f>
        <v/>
      </c>
      <c r="B7493" t="inlineStr">
        <is>
          <t>WELLS FARGO &amp; COMPANY/MN</t>
        </is>
      </c>
      <c r="C7493" t="inlineStr">
        <is>
          <t>NYSE</t>
        </is>
      </c>
      <c r="D7493" t="n">
        <v>72971</v>
      </c>
      <c r="E7493" t="inlineStr">
        <is>
          <t>SEC</t>
        </is>
      </c>
    </row>
    <row r="7494">
      <c r="A7494" s="5">
        <f>HYPERLINK("https://finance.yahoo.com/quote/BCDRF","BCDRF")</f>
        <v/>
      </c>
      <c r="B7494" t="inlineStr">
        <is>
          <t>Banco Santander, S.A.</t>
        </is>
      </c>
      <c r="C7494" t="inlineStr">
        <is>
          <t>OTC</t>
        </is>
      </c>
      <c r="D7494" t="n">
        <v>891478</v>
      </c>
      <c r="E7494" t="inlineStr">
        <is>
          <t>SEC</t>
        </is>
      </c>
    </row>
    <row r="7495">
      <c r="A7495" s="5">
        <f>HYPERLINK("https://finance.yahoo.com/quote/WFC-PL","WFC-PL")</f>
        <v/>
      </c>
      <c r="B7495" t="inlineStr">
        <is>
          <t>WELLS FARGO &amp; COMPANY/MN</t>
        </is>
      </c>
      <c r="C7495" t="inlineStr">
        <is>
          <t>NYSE</t>
        </is>
      </c>
      <c r="D7495" t="n">
        <v>72971</v>
      </c>
      <c r="E7495" t="inlineStr">
        <is>
          <t>SEC</t>
        </is>
      </c>
    </row>
    <row r="7496">
      <c r="A7496" s="5">
        <f>HYPERLINK("https://finance.yahoo.com/quote/NONOF","NONOF")</f>
        <v/>
      </c>
      <c r="B7496" t="inlineStr">
        <is>
          <t>NOVO NORDISK A S</t>
        </is>
      </c>
      <c r="C7496" t="inlineStr">
        <is>
          <t>OTC</t>
        </is>
      </c>
      <c r="D7496" t="n">
        <v>353278</v>
      </c>
      <c r="E7496" t="inlineStr">
        <is>
          <t>SEC</t>
        </is>
      </c>
    </row>
    <row r="7497">
      <c r="A7497" s="5">
        <f>HYPERLINK("https://finance.yahoo.com/quote/SNEJF","SNEJF")</f>
        <v/>
      </c>
      <c r="B7497" t="inlineStr">
        <is>
          <t>Sony Group Corp</t>
        </is>
      </c>
      <c r="C7497" t="inlineStr">
        <is>
          <t>OTC</t>
        </is>
      </c>
      <c r="D7497" t="n">
        <v>313838</v>
      </c>
      <c r="E7497" t="inlineStr">
        <is>
          <t>SEC</t>
        </is>
      </c>
    </row>
    <row r="7498">
      <c r="A7498" s="5">
        <f>HYPERLINK("https://finance.yahoo.com/quote/ABLZF","ABLZF")</f>
        <v/>
      </c>
      <c r="B7498" t="inlineStr">
        <is>
          <t>ABB LTD</t>
        </is>
      </c>
      <c r="C7498" t="inlineStr">
        <is>
          <t>OTC</t>
        </is>
      </c>
      <c r="D7498" t="n">
        <v>1091587</v>
      </c>
      <c r="E7498" t="inlineStr">
        <is>
          <t>SEC</t>
        </is>
      </c>
    </row>
    <row r="7499">
      <c r="A7499" s="5">
        <f>HYPERLINK("https://finance.yahoo.com/quote/ABBNY","ABBNY")</f>
        <v/>
      </c>
      <c r="B7499" t="inlineStr">
        <is>
          <t>ABB LTD</t>
        </is>
      </c>
      <c r="C7499" t="inlineStr">
        <is>
          <t>OTC</t>
        </is>
      </c>
      <c r="D7499" t="n">
        <v>1091587</v>
      </c>
      <c r="E7499" t="inlineStr">
        <is>
          <t>SEC</t>
        </is>
      </c>
    </row>
    <row r="7500">
      <c r="A7500" s="5">
        <f>HYPERLINK("https://finance.yahoo.com/quote/TBB","TBB")</f>
        <v/>
      </c>
      <c r="B7500" t="inlineStr">
        <is>
          <t>AT&amp;T INC.</t>
        </is>
      </c>
      <c r="C7500" t="inlineStr">
        <is>
          <t>NYSE</t>
        </is>
      </c>
      <c r="D7500" t="n">
        <v>732717</v>
      </c>
      <c r="E7500" t="inlineStr">
        <is>
          <t>SEC</t>
        </is>
      </c>
    </row>
    <row r="7501">
      <c r="A7501" s="5">
        <f>HYPERLINK("https://finance.yahoo.com/quote/SNYNF","SNYNF")</f>
        <v/>
      </c>
      <c r="B7501" t="inlineStr">
        <is>
          <t>Sanofi</t>
        </is>
      </c>
      <c r="C7501" t="inlineStr">
        <is>
          <t>OTC</t>
        </is>
      </c>
      <c r="D7501" t="n">
        <v>1121404</v>
      </c>
      <c r="E7501" t="inlineStr">
        <is>
          <t>SEC</t>
        </is>
      </c>
    </row>
    <row r="7502">
      <c r="A7502" s="5">
        <f>HYPERLINK("https://finance.yahoo.com/quote/UNLYF","UNLYF")</f>
        <v/>
      </c>
      <c r="B7502" t="inlineStr">
        <is>
          <t>UNILEVER PLC</t>
        </is>
      </c>
      <c r="C7502" t="inlineStr">
        <is>
          <t>OTC</t>
        </is>
      </c>
      <c r="D7502" t="n">
        <v>217410</v>
      </c>
      <c r="E7502" t="inlineStr">
        <is>
          <t>SEC</t>
        </is>
      </c>
    </row>
    <row r="7503">
      <c r="A7503" s="5">
        <f>HYPERLINK("https://finance.yahoo.com/quote/BUDFF","BUDFF")</f>
        <v/>
      </c>
      <c r="B7503" t="inlineStr">
        <is>
          <t>Anheuser-Busch InBev SA/NV</t>
        </is>
      </c>
      <c r="C7503" t="inlineStr">
        <is>
          <t>OTC</t>
        </is>
      </c>
      <c r="D7503" t="n">
        <v>1668717</v>
      </c>
      <c r="E7503" t="inlineStr">
        <is>
          <t>SEC</t>
        </is>
      </c>
    </row>
    <row r="7504">
      <c r="A7504" s="5">
        <f>HYPERLINK("https://finance.yahoo.com/quote/WFC-PC","WFC-PC")</f>
        <v/>
      </c>
      <c r="B7504" t="inlineStr">
        <is>
          <t>WELLS FARGO &amp; COMPANY/MN</t>
        </is>
      </c>
      <c r="C7504" t="inlineStr">
        <is>
          <t>NYSE</t>
        </is>
      </c>
      <c r="D7504" t="n">
        <v>72971</v>
      </c>
      <c r="E7504" t="inlineStr">
        <is>
          <t>SEC</t>
        </is>
      </c>
    </row>
    <row r="7505">
      <c r="A7505" s="5">
        <f>HYPERLINK("https://finance.yahoo.com/quote/DTEGF","DTEGF")</f>
        <v/>
      </c>
      <c r="B7505" t="inlineStr">
        <is>
          <t>DEUTSCHE TELEKOM AG</t>
        </is>
      </c>
      <c r="C7505" t="inlineStr">
        <is>
          <t>OTC</t>
        </is>
      </c>
      <c r="D7505" t="n">
        <v>946770</v>
      </c>
      <c r="E7505" t="inlineStr">
        <is>
          <t>SEC</t>
        </is>
      </c>
    </row>
    <row r="7506">
      <c r="A7506" s="5">
        <f>HYPERLINK("https://finance.yahoo.com/quote/GLAXF","GLAXF")</f>
        <v/>
      </c>
      <c r="B7506" t="inlineStr">
        <is>
          <t>GSK plc</t>
        </is>
      </c>
      <c r="C7506" t="inlineStr">
        <is>
          <t>OTC</t>
        </is>
      </c>
      <c r="D7506" t="n">
        <v>1131399</v>
      </c>
      <c r="E7506" t="inlineStr">
        <is>
          <t>SEC</t>
        </is>
      </c>
    </row>
    <row r="7507">
      <c r="A7507" s="5">
        <f>HYPERLINK("https://finance.yahoo.com/quote/BTAFF","BTAFF")</f>
        <v/>
      </c>
      <c r="B7507" t="inlineStr">
        <is>
          <t>British American Tobacco p.l.c.</t>
        </is>
      </c>
      <c r="C7507" t="inlineStr">
        <is>
          <t>OTC</t>
        </is>
      </c>
      <c r="D7507" t="n">
        <v>1303523</v>
      </c>
      <c r="E7507" t="inlineStr">
        <is>
          <t>SEC</t>
        </is>
      </c>
    </row>
    <row r="7508">
      <c r="A7508" s="5">
        <f>HYPERLINK("https://finance.yahoo.com/quote/BPAQF","BPAQF")</f>
        <v/>
      </c>
      <c r="B7508" t="inlineStr">
        <is>
          <t>BP PLC</t>
        </is>
      </c>
      <c r="C7508" t="inlineStr">
        <is>
          <t>OTC</t>
        </is>
      </c>
      <c r="D7508" t="n">
        <v>313807</v>
      </c>
      <c r="E7508" t="inlineStr">
        <is>
          <t>SEC</t>
        </is>
      </c>
    </row>
    <row r="7509">
      <c r="A7509" s="5">
        <f>HYPERLINK("https://finance.yahoo.com/quote/RTPPF","RTPPF")</f>
        <v/>
      </c>
      <c r="B7509" t="inlineStr">
        <is>
          <t>RIO TINTO PLC</t>
        </is>
      </c>
      <c r="C7509" t="inlineStr">
        <is>
          <t>OTC</t>
        </is>
      </c>
      <c r="D7509" t="n">
        <v>863064</v>
      </c>
      <c r="E7509" t="inlineStr">
        <is>
          <t>SEC</t>
        </is>
      </c>
    </row>
    <row r="7510">
      <c r="A7510" s="5">
        <f>HYPERLINK("https://finance.yahoo.com/quote/SMFNF","SMFNF")</f>
        <v/>
      </c>
      <c r="B7510" t="inlineStr">
        <is>
          <t>SUMITOMO MITSUI FINANCIAL GROUP, INC.</t>
        </is>
      </c>
      <c r="C7510" t="inlineStr">
        <is>
          <t>OTC</t>
        </is>
      </c>
      <c r="D7510" t="n">
        <v>1022837</v>
      </c>
      <c r="E7510" t="inlineStr">
        <is>
          <t>SEC</t>
        </is>
      </c>
    </row>
    <row r="7511">
      <c r="A7511" s="5">
        <f>HYPERLINK("https://finance.yahoo.com/quote/IDEXF","IDEXF")</f>
        <v/>
      </c>
      <c r="B7511" t="inlineStr">
        <is>
          <t>Industria de Diseno Textil Inditex SA / ADR</t>
        </is>
      </c>
      <c r="C7511" t="inlineStr">
        <is>
          <t>OTC</t>
        </is>
      </c>
      <c r="D7511" t="n">
        <v>1438656</v>
      </c>
      <c r="E7511" t="inlineStr">
        <is>
          <t>SEC</t>
        </is>
      </c>
    </row>
    <row r="7512">
      <c r="A7512" s="5">
        <f>HYPERLINK("https://finance.yahoo.com/quote/BYDDF","BYDDF")</f>
        <v/>
      </c>
      <c r="B7512" t="inlineStr">
        <is>
          <t>BYD CO LTD</t>
        </is>
      </c>
      <c r="C7512" t="inlineStr">
        <is>
          <t>OTC</t>
        </is>
      </c>
      <c r="D7512" t="n">
        <v>1445162</v>
      </c>
      <c r="E7512" t="inlineStr">
        <is>
          <t>SEC</t>
        </is>
      </c>
    </row>
    <row r="7513">
      <c r="A7513" s="5">
        <f>HYPERLINK("https://finance.yahoo.com/quote/NCRRP","NCRRP")</f>
        <v/>
      </c>
      <c r="B7513" t="inlineStr">
        <is>
          <t>NCR Voyix Corp</t>
        </is>
      </c>
      <c r="C7513" t="inlineStr">
        <is>
          <t>OTC</t>
        </is>
      </c>
      <c r="D7513" t="n">
        <v>70866</v>
      </c>
      <c r="E7513" t="inlineStr">
        <is>
          <t>SEC</t>
        </is>
      </c>
    </row>
    <row r="7514">
      <c r="A7514" s="5">
        <f>HYPERLINK("https://finance.yahoo.com/quote/CMXHF","CMXHF")</f>
        <v/>
      </c>
      <c r="B7514" t="inlineStr">
        <is>
          <t>CSL LTD</t>
        </is>
      </c>
      <c r="C7514" t="inlineStr">
        <is>
          <t>OTC</t>
        </is>
      </c>
      <c r="D7514" t="n">
        <v>1274152</v>
      </c>
      <c r="E7514" t="inlineStr">
        <is>
          <t>SEC</t>
        </is>
      </c>
    </row>
    <row r="7515">
      <c r="A7515" s="5">
        <f>HYPERLINK("https://finance.yahoo.com/quote/NTTYY","NTTYY")</f>
        <v/>
      </c>
      <c r="B7515" t="inlineStr">
        <is>
          <t>NIPPON TELEGRAPH &amp; TELEPHONE CORP</t>
        </is>
      </c>
      <c r="C7515" t="inlineStr">
        <is>
          <t>OTC</t>
        </is>
      </c>
      <c r="D7515" t="n">
        <v>769594</v>
      </c>
      <c r="E7515" t="inlineStr">
        <is>
          <t>SEC</t>
        </is>
      </c>
    </row>
    <row r="7516">
      <c r="A7516" s="5">
        <f>HYPERLINK("https://finance.yahoo.com/quote/SNPMF","SNPMF")</f>
        <v/>
      </c>
      <c r="B7516" t="inlineStr">
        <is>
          <t>CHINA PETROLEUM &amp; CHEMICAL CORP</t>
        </is>
      </c>
      <c r="C7516" t="inlineStr">
        <is>
          <t>OTC</t>
        </is>
      </c>
      <c r="D7516" t="n">
        <v>1123658</v>
      </c>
      <c r="E7516" t="inlineStr">
        <is>
          <t>SEC</t>
        </is>
      </c>
    </row>
    <row r="7517">
      <c r="A7517" s="5">
        <f>HYPERLINK("https://finance.yahoo.com/quote/MBGAF","MBGAF")</f>
        <v/>
      </c>
      <c r="B7517" t="inlineStr">
        <is>
          <t>DAIMLER AG</t>
        </is>
      </c>
      <c r="C7517" t="inlineStr">
        <is>
          <t>OTC</t>
        </is>
      </c>
      <c r="D7517" t="n">
        <v>1067318</v>
      </c>
      <c r="E7517" t="inlineStr">
        <is>
          <t>SEC</t>
        </is>
      </c>
    </row>
    <row r="7518">
      <c r="A7518" s="5">
        <f>HYPERLINK("https://finance.yahoo.com/quote/NETTF","NETTF")</f>
        <v/>
      </c>
      <c r="B7518" t="inlineStr">
        <is>
          <t>NetEase, Inc.</t>
        </is>
      </c>
      <c r="C7518" t="inlineStr">
        <is>
          <t>OTC</t>
        </is>
      </c>
      <c r="D7518" t="n">
        <v>1110646</v>
      </c>
      <c r="E7518" t="inlineStr">
        <is>
          <t>SEC</t>
        </is>
      </c>
    </row>
    <row r="7519">
      <c r="A7519" s="5">
        <f>HYPERLINK("https://finance.yahoo.com/quote/USB-PH","USB-PH")</f>
        <v/>
      </c>
      <c r="B7519" t="inlineStr">
        <is>
          <t>US BANCORP DE</t>
        </is>
      </c>
      <c r="C7519" t="inlineStr">
        <is>
          <t>NYSE</t>
        </is>
      </c>
      <c r="D7519" t="n">
        <v>36104</v>
      </c>
      <c r="E7519" t="inlineStr">
        <is>
          <t>SEC</t>
        </is>
      </c>
    </row>
    <row r="7520">
      <c r="A7520" s="5">
        <f>HYPERLINK("https://finance.yahoo.com/quote/EBBNF","EBBNF")</f>
        <v/>
      </c>
      <c r="B7520" t="inlineStr">
        <is>
          <t>ENBRIDGE INC</t>
        </is>
      </c>
      <c r="C7520" t="inlineStr">
        <is>
          <t>OTC</t>
        </is>
      </c>
      <c r="D7520" t="n">
        <v>895728</v>
      </c>
      <c r="E7520" t="inlineStr">
        <is>
          <t>SEC</t>
        </is>
      </c>
    </row>
    <row r="7521">
      <c r="A7521" s="5">
        <f>HYPERLINK("https://finance.yahoo.com/quote/CTA-PB","CTA-PB")</f>
        <v/>
      </c>
      <c r="B7521" t="inlineStr">
        <is>
          <t>EIDP, Inc.</t>
        </is>
      </c>
      <c r="C7521" t="inlineStr">
        <is>
          <t>NYSE</t>
        </is>
      </c>
      <c r="D7521" t="n">
        <v>30554</v>
      </c>
      <c r="E7521" t="inlineStr">
        <is>
          <t>SEC</t>
        </is>
      </c>
    </row>
    <row r="7522">
      <c r="A7522" s="5">
        <f>HYPERLINK("https://finance.yahoo.com/quote/USB-PP","USB-PP")</f>
        <v/>
      </c>
      <c r="B7522" t="inlineStr">
        <is>
          <t>US BANCORP DE</t>
        </is>
      </c>
      <c r="C7522" t="inlineStr">
        <is>
          <t>NYSE</t>
        </is>
      </c>
      <c r="D7522" t="n">
        <v>36104</v>
      </c>
      <c r="E7522" t="inlineStr">
        <is>
          <t>SEC</t>
        </is>
      </c>
    </row>
    <row r="7523">
      <c r="A7523" s="5">
        <f>HYPERLINK("https://finance.yahoo.com/quote/BAESF","BAESF")</f>
        <v/>
      </c>
      <c r="B7523" t="inlineStr">
        <is>
          <t>BAE SYSTEMS PLC /FI/</t>
        </is>
      </c>
      <c r="C7523" t="inlineStr">
        <is>
          <t>OTC</t>
        </is>
      </c>
      <c r="D7523" t="n">
        <v>895564</v>
      </c>
      <c r="E7523" t="inlineStr">
        <is>
          <t>SEC</t>
        </is>
      </c>
    </row>
    <row r="7524">
      <c r="A7524" s="5">
        <f>HYPERLINK("https://finance.yahoo.com/quote/AMXOF","AMXOF")</f>
        <v/>
      </c>
      <c r="B7524" t="inlineStr">
        <is>
          <t>AMERICA MOVIL SAB DE CV/</t>
        </is>
      </c>
      <c r="C7524" t="inlineStr">
        <is>
          <t>OTC</t>
        </is>
      </c>
      <c r="D7524" t="n">
        <v>1129137</v>
      </c>
      <c r="E7524" t="inlineStr">
        <is>
          <t>SEC</t>
        </is>
      </c>
    </row>
    <row r="7525">
      <c r="A7525" s="5">
        <f>HYPERLINK("https://finance.yahoo.com/quote/GLCNF","GLCNF")</f>
        <v/>
      </c>
      <c r="B7525" t="inlineStr">
        <is>
          <t>Glencore plc/ADR</t>
        </is>
      </c>
      <c r="C7525" t="inlineStr">
        <is>
          <t>OTC</t>
        </is>
      </c>
      <c r="D7525" t="n">
        <v>1524684</v>
      </c>
      <c r="E7525" t="inlineStr">
        <is>
          <t>SEC</t>
        </is>
      </c>
    </row>
    <row r="7526">
      <c r="A7526" s="5">
        <f>HYPERLINK("https://finance.yahoo.com/quote/MS-PK","MS-PK")</f>
        <v/>
      </c>
      <c r="B7526" t="inlineStr">
        <is>
          <t>MORGAN STANLEY</t>
        </is>
      </c>
      <c r="C7526" t="inlineStr">
        <is>
          <t>NYSE</t>
        </is>
      </c>
      <c r="D7526" t="n">
        <v>895421</v>
      </c>
      <c r="E7526" t="inlineStr">
        <is>
          <t>SEC</t>
        </is>
      </c>
    </row>
    <row r="7527">
      <c r="A7527" s="5">
        <f>HYPERLINK("https://finance.yahoo.com/quote/PBR-A","PBR-A")</f>
        <v/>
      </c>
      <c r="B7527" t="inlineStr">
        <is>
          <t>PETROBRAS - PETROLEO BRASILEIRO SA</t>
        </is>
      </c>
      <c r="C7527" t="inlineStr">
        <is>
          <t>NYSE</t>
        </is>
      </c>
      <c r="D7527" t="n">
        <v>1119639</v>
      </c>
      <c r="E7527" t="inlineStr">
        <is>
          <t>SEC</t>
        </is>
      </c>
    </row>
    <row r="7528">
      <c r="A7528" s="5">
        <f>HYPERLINK("https://finance.yahoo.com/quote/KDDIF","KDDIF")</f>
        <v/>
      </c>
      <c r="B7528" t="inlineStr">
        <is>
          <t>KDDI CORP</t>
        </is>
      </c>
      <c r="C7528" t="inlineStr">
        <is>
          <t>OTC</t>
        </is>
      </c>
      <c r="D7528" t="n">
        <v>1106215</v>
      </c>
      <c r="E7528" t="inlineStr">
        <is>
          <t>SEC</t>
        </is>
      </c>
    </row>
    <row r="7529">
      <c r="A7529" s="5">
        <f>HYPERLINK("https://finance.yahoo.com/quote/STOHF","STOHF")</f>
        <v/>
      </c>
      <c r="B7529" t="inlineStr">
        <is>
          <t>EQUINOR ASA</t>
        </is>
      </c>
      <c r="C7529" t="inlineStr">
        <is>
          <t>OTC</t>
        </is>
      </c>
      <c r="D7529" t="n">
        <v>1140625</v>
      </c>
      <c r="E7529" t="inlineStr">
        <is>
          <t>SEC</t>
        </is>
      </c>
    </row>
    <row r="7530">
      <c r="A7530" s="5">
        <f>HYPERLINK("https://finance.yahoo.com/quote/TRP","TRP")</f>
        <v/>
      </c>
      <c r="B7530" t="inlineStr">
        <is>
          <t>TC ENERGY CORP</t>
        </is>
      </c>
      <c r="C7530" t="inlineStr">
        <is>
          <t>NYSE</t>
        </is>
      </c>
      <c r="D7530" t="n">
        <v>1232384</v>
      </c>
      <c r="E7530" t="inlineStr">
        <is>
          <t>SEC</t>
        </is>
      </c>
    </row>
    <row r="7531">
      <c r="A7531" s="5">
        <f>HYPERLINK("https://finance.yahoo.com/quote/MS-PE","MS-PE")</f>
        <v/>
      </c>
      <c r="B7531" t="inlineStr">
        <is>
          <t>MORGAN STANLEY</t>
        </is>
      </c>
      <c r="C7531" t="inlineStr">
        <is>
          <t>NYSE</t>
        </is>
      </c>
      <c r="D7531" t="n">
        <v>895421</v>
      </c>
      <c r="E7531" t="inlineStr">
        <is>
          <t>SEC</t>
        </is>
      </c>
    </row>
    <row r="7532">
      <c r="A7532" s="5">
        <f>HYPERLINK("https://finance.yahoo.com/quote/RLXXF","RLXXF")</f>
        <v/>
      </c>
      <c r="B7532" t="inlineStr">
        <is>
          <t>RELX PLC</t>
        </is>
      </c>
      <c r="C7532" t="inlineStr">
        <is>
          <t>OTC</t>
        </is>
      </c>
      <c r="D7532" t="n">
        <v>929869</v>
      </c>
      <c r="E7532" t="inlineStr">
        <is>
          <t>SEC</t>
        </is>
      </c>
    </row>
    <row r="7533">
      <c r="A7533" s="5">
        <f>HYPERLINK("https://finance.yahoo.com/quote/SFTBF","SFTBF")</f>
        <v/>
      </c>
      <c r="B7533" t="inlineStr">
        <is>
          <t>SOFTBANK GROUP CORP.</t>
        </is>
      </c>
      <c r="C7533" t="inlineStr">
        <is>
          <t>OTC</t>
        </is>
      </c>
      <c r="D7533" t="n">
        <v>1065521</v>
      </c>
      <c r="E7533" t="inlineStr">
        <is>
          <t>SEC</t>
        </is>
      </c>
    </row>
    <row r="7534">
      <c r="A7534" s="5">
        <f>HYPERLINK("https://finance.yahoo.com/quote/BAIDF","BAIDF")</f>
        <v/>
      </c>
      <c r="B7534" t="inlineStr">
        <is>
          <t>Baidu, Inc.</t>
        </is>
      </c>
      <c r="C7534" t="inlineStr">
        <is>
          <t>OTC</t>
        </is>
      </c>
      <c r="D7534" t="n">
        <v>1329099</v>
      </c>
      <c r="E7534" t="inlineStr">
        <is>
          <t>SEC</t>
        </is>
      </c>
    </row>
    <row r="7535">
      <c r="A7535" s="5">
        <f>HYPERLINK("https://finance.yahoo.com/quote/RBGPF","RBGPF")</f>
        <v/>
      </c>
      <c r="B7535" t="inlineStr">
        <is>
          <t>RECKITT BENCKISER GROUP PLC</t>
        </is>
      </c>
      <c r="C7535" t="inlineStr">
        <is>
          <t>OTC</t>
        </is>
      </c>
      <c r="D7535" t="n">
        <v>1420798</v>
      </c>
      <c r="E7535" t="inlineStr">
        <is>
          <t>SEC</t>
        </is>
      </c>
    </row>
    <row r="7536">
      <c r="A7536" s="5">
        <f>HYPERLINK("https://finance.yahoo.com/quote/DGEAF","DGEAF")</f>
        <v/>
      </c>
      <c r="B7536" t="inlineStr">
        <is>
          <t>DIAGEO PLC</t>
        </is>
      </c>
      <c r="C7536" t="inlineStr">
        <is>
          <t>OTC</t>
        </is>
      </c>
      <c r="D7536" t="n">
        <v>835403</v>
      </c>
      <c r="E7536" t="inlineStr">
        <is>
          <t>SEC</t>
        </is>
      </c>
    </row>
    <row r="7537">
      <c r="A7537" s="5">
        <f>HYPERLINK("https://finance.yahoo.com/quote/HKXCF","HKXCF")</f>
        <v/>
      </c>
      <c r="B7537" t="inlineStr">
        <is>
          <t>Hong Kong Exchanges &amp; Clearing Ltd</t>
        </is>
      </c>
      <c r="C7537" t="inlineStr">
        <is>
          <t>OTC</t>
        </is>
      </c>
      <c r="D7537" t="n">
        <v>1445476</v>
      </c>
      <c r="E7537" t="inlineStr">
        <is>
          <t>SEC</t>
        </is>
      </c>
    </row>
    <row r="7538">
      <c r="A7538" s="5">
        <f>HYPERLINK("https://finance.yahoo.com/quote/EIPAF","EIPAF")</f>
        <v/>
      </c>
      <c r="B7538" t="inlineStr">
        <is>
          <t>ENI SPA</t>
        </is>
      </c>
      <c r="C7538" t="inlineStr">
        <is>
          <t>OTC</t>
        </is>
      </c>
      <c r="D7538" t="n">
        <v>1002242</v>
      </c>
      <c r="E7538" t="inlineStr">
        <is>
          <t>SEC</t>
        </is>
      </c>
    </row>
    <row r="7539">
      <c r="A7539" s="5">
        <f>HYPERLINK("https://finance.yahoo.com/quote/CCZ","CCZ")</f>
        <v/>
      </c>
      <c r="B7539" t="inlineStr">
        <is>
          <t>COMCAST CORP</t>
        </is>
      </c>
      <c r="C7539" t="inlineStr">
        <is>
          <t>NYSE</t>
        </is>
      </c>
      <c r="D7539" t="n">
        <v>1166691</v>
      </c>
      <c r="E7539" t="inlineStr">
        <is>
          <t>SEC</t>
        </is>
      </c>
    </row>
    <row r="7540">
      <c r="A7540" s="5">
        <f>HYPERLINK("https://finance.yahoo.com/quote/SFBQF","SFBQF")</f>
        <v/>
      </c>
      <c r="B7540" t="inlineStr">
        <is>
          <t>SOFTBANK GROUP CORP.</t>
        </is>
      </c>
      <c r="C7540" t="inlineStr">
        <is>
          <t>OTC</t>
        </is>
      </c>
      <c r="D7540" t="n">
        <v>1065521</v>
      </c>
      <c r="E7540" t="inlineStr">
        <is>
          <t>SEC</t>
        </is>
      </c>
    </row>
    <row r="7541">
      <c r="A7541" s="5">
        <f>HYPERLINK("https://finance.yahoo.com/quote/WEBNF","WEBNF")</f>
        <v/>
      </c>
      <c r="B7541" t="inlineStr">
        <is>
          <t>WESTPAC BANKING CORP</t>
        </is>
      </c>
      <c r="C7541" t="inlineStr">
        <is>
          <t>OTC</t>
        </is>
      </c>
      <c r="D7541" t="n">
        <v>719245</v>
      </c>
      <c r="E7541" t="inlineStr">
        <is>
          <t>SEC</t>
        </is>
      </c>
    </row>
    <row r="7542">
      <c r="A7542" s="5">
        <f>HYPERLINK("https://finance.yahoo.com/quote/IFNNF","IFNNF")</f>
        <v/>
      </c>
      <c r="B7542" t="inlineStr">
        <is>
          <t>INFINEON TECHNOLOGIES AG</t>
        </is>
      </c>
      <c r="C7542" t="inlineStr">
        <is>
          <t>OTC</t>
        </is>
      </c>
      <c r="D7542" t="n">
        <v>1107457</v>
      </c>
      <c r="E7542" t="inlineStr">
        <is>
          <t>SEC</t>
        </is>
      </c>
    </row>
    <row r="7543">
      <c r="A7543" s="5">
        <f>HYPERLINK("https://finance.yahoo.com/quote/MZHOF","MZHOF")</f>
        <v/>
      </c>
      <c r="B7543" t="inlineStr">
        <is>
          <t>MIZUHO FINANCIAL GROUP INC</t>
        </is>
      </c>
      <c r="C7543" t="inlineStr">
        <is>
          <t>OTC</t>
        </is>
      </c>
      <c r="D7543" t="n">
        <v>1335730</v>
      </c>
      <c r="E7543" t="inlineStr">
        <is>
          <t>SEC</t>
        </is>
      </c>
    </row>
    <row r="7544">
      <c r="A7544" s="5">
        <f>HYPERLINK("https://finance.yahoo.com/quote/HTHIF","HTHIF")</f>
        <v/>
      </c>
      <c r="B7544" t="inlineStr">
        <is>
          <t>HITACHI LTD</t>
        </is>
      </c>
      <c r="C7544" t="inlineStr">
        <is>
          <t>OTC</t>
        </is>
      </c>
      <c r="D7544" t="n">
        <v>47710</v>
      </c>
      <c r="E7544" t="inlineStr">
        <is>
          <t>SEC</t>
        </is>
      </c>
    </row>
    <row r="7545">
      <c r="A7545" s="5">
        <f>HYPERLINK("https://finance.yahoo.com/quote/NGGTF","NGGTF")</f>
        <v/>
      </c>
      <c r="B7545" t="inlineStr">
        <is>
          <t>NATIONAL GRID PLC</t>
        </is>
      </c>
      <c r="C7545" t="inlineStr">
        <is>
          <t>OTC</t>
        </is>
      </c>
      <c r="D7545" t="n">
        <v>1004315</v>
      </c>
      <c r="E7545" t="inlineStr">
        <is>
          <t>SEC</t>
        </is>
      </c>
    </row>
    <row r="7546">
      <c r="A7546" s="5">
        <f>HYPERLINK("https://finance.yahoo.com/quote/TKPHF","TKPHF")</f>
        <v/>
      </c>
      <c r="B7546" t="inlineStr">
        <is>
          <t>TAKEDA PHARMACEUTICAL CO LTD</t>
        </is>
      </c>
      <c r="C7546" t="inlineStr">
        <is>
          <t>OTC</t>
        </is>
      </c>
      <c r="D7546" t="n">
        <v>1395064</v>
      </c>
      <c r="E7546" t="inlineStr">
        <is>
          <t>SEC</t>
        </is>
      </c>
    </row>
    <row r="7547">
      <c r="A7547" s="5">
        <f>HYPERLINK("https://finance.yahoo.com/quote/DKILF","DKILF")</f>
        <v/>
      </c>
      <c r="B7547" t="inlineStr">
        <is>
          <t>Daikin Industries Ltd</t>
        </is>
      </c>
      <c r="C7547" t="inlineStr">
        <is>
          <t>OTC</t>
        </is>
      </c>
      <c r="D7547" t="n">
        <v>1446519</v>
      </c>
      <c r="E7547" t="inlineStr">
        <is>
          <t>SEC</t>
        </is>
      </c>
    </row>
    <row r="7548">
      <c r="A7548" s="5">
        <f>HYPERLINK("https://finance.yahoo.com/quote/BECEF","BECEF")</f>
        <v/>
      </c>
      <c r="B7548" t="inlineStr">
        <is>
          <t>BCE INC</t>
        </is>
      </c>
      <c r="C7548" t="inlineStr">
        <is>
          <t>OTC</t>
        </is>
      </c>
      <c r="D7548" t="n">
        <v>718940</v>
      </c>
      <c r="E7548" t="inlineStr">
        <is>
          <t>SEC</t>
        </is>
      </c>
    </row>
    <row r="7549">
      <c r="A7549" s="5">
        <f>HYPERLINK("https://finance.yahoo.com/quote/SPG-PJ","SPG-PJ")</f>
        <v/>
      </c>
      <c r="B7549" t="inlineStr">
        <is>
          <t>SIMON PROPERTY GROUP INC.</t>
        </is>
      </c>
      <c r="C7549" t="inlineStr">
        <is>
          <t>NYSE</t>
        </is>
      </c>
      <c r="D7549" t="n">
        <v>1063761</v>
      </c>
      <c r="E7549" t="inlineStr">
        <is>
          <t>SEC</t>
        </is>
      </c>
    </row>
    <row r="7550">
      <c r="A7550" s="5">
        <f>HYPERLINK("https://finance.yahoo.com/quote/BSQKZ","BSQKZ")</f>
        <v/>
      </c>
      <c r="B7550" t="inlineStr">
        <is>
          <t>Block, Inc.</t>
        </is>
      </c>
      <c r="C7550" t="inlineStr">
        <is>
          <t>OTC</t>
        </is>
      </c>
      <c r="D7550" t="n">
        <v>1512673</v>
      </c>
      <c r="E7550" t="inlineStr">
        <is>
          <t>SEC</t>
        </is>
      </c>
    </row>
    <row r="7551">
      <c r="A7551" s="5">
        <f>HYPERLINK("https://finance.yahoo.com/quote/CTA-PA","CTA-PA")</f>
        <v/>
      </c>
      <c r="B7551" t="inlineStr">
        <is>
          <t>EIDP, Inc.</t>
        </is>
      </c>
      <c r="C7551" t="inlineStr">
        <is>
          <t>NYSE</t>
        </is>
      </c>
      <c r="D7551" t="n">
        <v>30554</v>
      </c>
      <c r="E7551" t="inlineStr">
        <is>
          <t>SEC</t>
        </is>
      </c>
    </row>
    <row r="7552">
      <c r="A7552" s="5">
        <f>HYPERLINK("https://finance.yahoo.com/quote/TNCAF","TNCAF")</f>
        <v/>
      </c>
      <c r="B7552" t="inlineStr">
        <is>
          <t>TC ENERGY CORP</t>
        </is>
      </c>
      <c r="C7552" t="inlineStr">
        <is>
          <t>OTC</t>
        </is>
      </c>
      <c r="D7552" t="n">
        <v>1232384</v>
      </c>
      <c r="E7552" t="inlineStr">
        <is>
          <t>SEC</t>
        </is>
      </c>
    </row>
    <row r="7553">
      <c r="A7553" s="5">
        <f>HYPERLINK("https://finance.yahoo.com/quote/INGVF","INGVF")</f>
        <v/>
      </c>
      <c r="B7553" t="inlineStr">
        <is>
          <t>ING GROEP NV</t>
        </is>
      </c>
      <c r="C7553" t="inlineStr">
        <is>
          <t>OTC</t>
        </is>
      </c>
      <c r="D7553" t="n">
        <v>1039765</v>
      </c>
      <c r="E7553" t="inlineStr">
        <is>
          <t>SEC</t>
        </is>
      </c>
    </row>
    <row r="7554">
      <c r="A7554" s="5">
        <f>HYPERLINK("https://finance.yahoo.com/quote/NOKBF","NOKBF")</f>
        <v/>
      </c>
      <c r="B7554" t="inlineStr">
        <is>
          <t>NOKIA CORP</t>
        </is>
      </c>
      <c r="C7554" t="inlineStr">
        <is>
          <t>OTC</t>
        </is>
      </c>
      <c r="D7554" t="n">
        <v>924613</v>
      </c>
      <c r="E7554" t="inlineStr">
        <is>
          <t>SEC</t>
        </is>
      </c>
    </row>
    <row r="7555">
      <c r="A7555" s="5">
        <f>HYPERLINK("https://finance.yahoo.com/quote/MET-PA","MET-PA")</f>
        <v/>
      </c>
      <c r="B7555" t="inlineStr">
        <is>
          <t>METLIFE INC</t>
        </is>
      </c>
      <c r="C7555" t="inlineStr">
        <is>
          <t>NYSE</t>
        </is>
      </c>
      <c r="D7555" t="n">
        <v>1099219</v>
      </c>
      <c r="E7555" t="inlineStr">
        <is>
          <t>SEC</t>
        </is>
      </c>
    </row>
    <row r="7556">
      <c r="A7556" s="5">
        <f>HYPERLINK("https://finance.yahoo.com/quote/TRPCF","TRPCF")</f>
        <v/>
      </c>
      <c r="B7556" t="inlineStr">
        <is>
          <t>Trip.com Group Ltd</t>
        </is>
      </c>
      <c r="C7556" t="inlineStr">
        <is>
          <t>OTC</t>
        </is>
      </c>
      <c r="D7556" t="n">
        <v>1269238</v>
      </c>
      <c r="E7556" t="inlineStr">
        <is>
          <t>SEC</t>
        </is>
      </c>
    </row>
    <row r="7557">
      <c r="A7557" s="5">
        <f>HYPERLINK("https://finance.yahoo.com/quote/ITOCF","ITOCF")</f>
        <v/>
      </c>
      <c r="B7557" t="inlineStr">
        <is>
          <t>ITOCHU CORP</t>
        </is>
      </c>
      <c r="C7557" t="inlineStr">
        <is>
          <t>OTC</t>
        </is>
      </c>
      <c r="D7557" t="n">
        <v>355363</v>
      </c>
      <c r="E7557" t="inlineStr">
        <is>
          <t>SEC</t>
        </is>
      </c>
    </row>
    <row r="7558">
      <c r="A7558" s="5">
        <f>HYPERLINK("https://finance.yahoo.com/quote/MET-PE","MET-PE")</f>
        <v/>
      </c>
      <c r="B7558" t="inlineStr">
        <is>
          <t>METLIFE INC</t>
        </is>
      </c>
      <c r="C7558" t="inlineStr">
        <is>
          <t>NYSE</t>
        </is>
      </c>
      <c r="D7558" t="n">
        <v>1099219</v>
      </c>
      <c r="E7558" t="inlineStr">
        <is>
          <t>SEC</t>
        </is>
      </c>
    </row>
    <row r="7559">
      <c r="A7559" s="5">
        <f>HYPERLINK("https://finance.yahoo.com/quote/LLDTF","LLDTF")</f>
        <v/>
      </c>
      <c r="B7559" t="inlineStr">
        <is>
          <t>Lloyds Banking Group plc</t>
        </is>
      </c>
      <c r="C7559" t="inlineStr">
        <is>
          <t>OTC</t>
        </is>
      </c>
      <c r="D7559" t="n">
        <v>1160106</v>
      </c>
      <c r="E7559" t="inlineStr">
        <is>
          <t>SEC</t>
        </is>
      </c>
    </row>
    <row r="7560">
      <c r="A7560" s="5">
        <f>HYPERLINK("https://finance.yahoo.com/quote/BBVXF","BBVXF")</f>
        <v/>
      </c>
      <c r="B7560" t="inlineStr">
        <is>
          <t>BANCO BILBAO VIZCAYA ARGENTARIA, S.A.</t>
        </is>
      </c>
      <c r="C7560" t="inlineStr">
        <is>
          <t>OTC</t>
        </is>
      </c>
      <c r="D7560" t="n">
        <v>842180</v>
      </c>
      <c r="E7560" t="inlineStr">
        <is>
          <t>SEC</t>
        </is>
      </c>
    </row>
    <row r="7561">
      <c r="A7561" s="5">
        <f>HYPERLINK("https://finance.yahoo.com/quote/HLNCF","HLNCF")</f>
        <v/>
      </c>
      <c r="B7561" t="inlineStr">
        <is>
          <t>Haleon plc</t>
        </is>
      </c>
      <c r="C7561" t="inlineStr">
        <is>
          <t>OTC</t>
        </is>
      </c>
      <c r="D7561" t="n">
        <v>1900304</v>
      </c>
      <c r="E7561" t="inlineStr">
        <is>
          <t>SEC</t>
        </is>
      </c>
    </row>
    <row r="7562">
      <c r="A7562" s="5">
        <f>HYPERLINK("https://finance.yahoo.com/quote/KXIAY","KXIAY")</f>
        <v/>
      </c>
      <c r="B7562" t="inlineStr">
        <is>
          <t>Kioxia Holdings Corporation/ADR</t>
        </is>
      </c>
      <c r="C7562" t="inlineStr">
        <is>
          <t>OTC</t>
        </is>
      </c>
      <c r="D7562" t="n">
        <v>2053383</v>
      </c>
      <c r="E7562" t="inlineStr">
        <is>
          <t>SEC</t>
        </is>
      </c>
    </row>
    <row r="7563">
      <c r="A7563" s="5">
        <f>HYPERLINK("https://finance.yahoo.com/quote/TCANF","TCANF")</f>
        <v/>
      </c>
      <c r="B7563" t="inlineStr">
        <is>
          <t>TC ENERGY CORP</t>
        </is>
      </c>
      <c r="C7563" t="inlineStr">
        <is>
          <t>OTC</t>
        </is>
      </c>
      <c r="D7563" t="n">
        <v>1232384</v>
      </c>
      <c r="E7563" t="inlineStr">
        <is>
          <t>SEC</t>
        </is>
      </c>
    </row>
    <row r="7564">
      <c r="A7564" s="5">
        <f>HYPERLINK("https://finance.yahoo.com/quote/PSA-PH","PSA-PH")</f>
        <v/>
      </c>
      <c r="B7564" t="inlineStr">
        <is>
          <t>Public Storage</t>
        </is>
      </c>
      <c r="C7564" t="inlineStr">
        <is>
          <t>NYSE</t>
        </is>
      </c>
      <c r="D7564" t="n">
        <v>1393311</v>
      </c>
      <c r="E7564" t="inlineStr">
        <is>
          <t>SEC</t>
        </is>
      </c>
    </row>
    <row r="7565">
      <c r="A7565" s="5">
        <f>HYPERLINK("https://finance.yahoo.com/quote/BMDPF","BMDPF")</f>
        <v/>
      </c>
      <c r="B7565" t="inlineStr">
        <is>
          <t>BANCA MONTE DEI PASCHI DI SIENA SPA</t>
        </is>
      </c>
      <c r="C7565" t="inlineStr">
        <is>
          <t>OTC</t>
        </is>
      </c>
      <c r="D7565" t="n">
        <v>1002788</v>
      </c>
      <c r="E7565" t="inlineStr">
        <is>
          <t>SEC</t>
        </is>
      </c>
    </row>
    <row r="7566">
      <c r="A7566" s="5">
        <f>HYPERLINK("https://finance.yahoo.com/quote/JDCMF","JDCMF")</f>
        <v/>
      </c>
      <c r="B7566" t="inlineStr">
        <is>
          <t>JD.com, Inc.</t>
        </is>
      </c>
      <c r="C7566" t="inlineStr">
        <is>
          <t>OTC</t>
        </is>
      </c>
      <c r="D7566" t="n">
        <v>1549802</v>
      </c>
      <c r="E7566" t="inlineStr">
        <is>
          <t>SEC</t>
        </is>
      </c>
    </row>
    <row r="7567">
      <c r="A7567" s="5">
        <f>HYPERLINK("https://finance.yahoo.com/quote/HNDAF","HNDAF")</f>
        <v/>
      </c>
      <c r="B7567" t="inlineStr">
        <is>
          <t>HONDA MOTOR CO LTD</t>
        </is>
      </c>
      <c r="C7567" t="inlineStr">
        <is>
          <t>OTC</t>
        </is>
      </c>
      <c r="D7567" t="n">
        <v>715153</v>
      </c>
      <c r="E7567" t="inlineStr">
        <is>
          <t>SEC</t>
        </is>
      </c>
    </row>
    <row r="7568">
      <c r="A7568" s="5">
        <f>HYPERLINK("https://finance.yahoo.com/quote/TKOMF","TKOMF")</f>
        <v/>
      </c>
      <c r="B7568" t="inlineStr">
        <is>
          <t>TOKIO MARINE HOLDINGS, INC.</t>
        </is>
      </c>
      <c r="C7568" t="inlineStr">
        <is>
          <t>OTC</t>
        </is>
      </c>
      <c r="D7568" t="n">
        <v>1169486</v>
      </c>
      <c r="E7568" t="inlineStr">
        <is>
          <t>SEC</t>
        </is>
      </c>
    </row>
    <row r="7569">
      <c r="A7569" s="5">
        <f>HYPERLINK("https://finance.yahoo.com/quote/SVNDF","SVNDF")</f>
        <v/>
      </c>
      <c r="B7569" t="inlineStr">
        <is>
          <t>SEVEN &amp; I HOLDINGS CO LTD</t>
        </is>
      </c>
      <c r="C7569" t="inlineStr">
        <is>
          <t>OTC</t>
        </is>
      </c>
      <c r="D7569" t="n">
        <v>1359519</v>
      </c>
      <c r="E7569" t="inlineStr">
        <is>
          <t>SEC</t>
        </is>
      </c>
    </row>
    <row r="7570">
      <c r="A7570" s="5">
        <f>HYPERLINK("https://finance.yahoo.com/quote/BAMGF","BAMGF")</f>
        <v/>
      </c>
      <c r="B7570" t="inlineStr">
        <is>
          <t>BROOKFIELD Corp /ON/</t>
        </is>
      </c>
      <c r="C7570" t="inlineStr">
        <is>
          <t>OTC</t>
        </is>
      </c>
      <c r="D7570" t="n">
        <v>1001085</v>
      </c>
      <c r="E7570" t="inlineStr">
        <is>
          <t>SEC</t>
        </is>
      </c>
    </row>
    <row r="7571">
      <c r="A7571" s="5">
        <f>HYPERLINK("https://finance.yahoo.com/quote/PSA-PU","PSA-PU")</f>
        <v/>
      </c>
      <c r="B7571" t="inlineStr">
        <is>
          <t>Public Storage</t>
        </is>
      </c>
      <c r="C7571" t="inlineStr">
        <is>
          <t>NYSE</t>
        </is>
      </c>
      <c r="D7571" t="n">
        <v>1393311</v>
      </c>
      <c r="E7571" t="inlineStr">
        <is>
          <t>SEC</t>
        </is>
      </c>
    </row>
    <row r="7572">
      <c r="A7572" s="5">
        <f>HYPERLINK("https://finance.yahoo.com/quote/MRAAF","MRAAF")</f>
        <v/>
      </c>
      <c r="B7572" t="inlineStr">
        <is>
          <t>Murata Manufacturing Co., Ltd./ADR</t>
        </is>
      </c>
      <c r="C7572" t="inlineStr">
        <is>
          <t>OTC</t>
        </is>
      </c>
      <c r="D7572" t="n">
        <v>1450468</v>
      </c>
      <c r="E7572" t="inlineStr">
        <is>
          <t>SEC</t>
        </is>
      </c>
    </row>
    <row r="7573">
      <c r="A7573" s="5">
        <f>HYPERLINK("https://finance.yahoo.com/quote/PINXF","PINXF")</f>
        <v/>
      </c>
      <c r="B7573" t="inlineStr">
        <is>
          <t>People's Insurance Co (Group) of China Limited/ADR</t>
        </is>
      </c>
      <c r="C7573" t="inlineStr">
        <is>
          <t>OTC</t>
        </is>
      </c>
      <c r="D7573" t="n">
        <v>1569964</v>
      </c>
      <c r="E7573" t="inlineStr">
        <is>
          <t>SEC</t>
        </is>
      </c>
    </row>
    <row r="7574">
      <c r="A7574" s="5">
        <f>HYPERLINK("https://finance.yahoo.com/quote/TCKRF","TCKRF")</f>
        <v/>
      </c>
      <c r="B7574" t="inlineStr">
        <is>
          <t>TECK RESOURCES LTD</t>
        </is>
      </c>
      <c r="C7574" t="inlineStr">
        <is>
          <t>OTC</t>
        </is>
      </c>
      <c r="D7574" t="n">
        <v>886986</v>
      </c>
      <c r="E7574" t="inlineStr">
        <is>
          <t>SEC</t>
        </is>
      </c>
    </row>
    <row r="7575">
      <c r="A7575" s="5">
        <f>HYPERLINK("https://finance.yahoo.com/quote/CRARF","CRARF")</f>
        <v/>
      </c>
      <c r="B7575" t="inlineStr">
        <is>
          <t>CREDIT AGRICOLE S A</t>
        </is>
      </c>
      <c r="C7575" t="inlineStr">
        <is>
          <t>OTC</t>
        </is>
      </c>
      <c r="D7575" t="n">
        <v>1279967</v>
      </c>
      <c r="E7575" t="inlineStr">
        <is>
          <t>SEC</t>
        </is>
      </c>
    </row>
    <row r="7576">
      <c r="A7576" s="5">
        <f>HYPERLINK("https://finance.yahoo.com/quote/ENAKF","ENAKF")</f>
        <v/>
      </c>
      <c r="B7576" t="inlineStr">
        <is>
          <t>E.ON SE</t>
        </is>
      </c>
      <c r="C7576" t="inlineStr">
        <is>
          <t>OTC</t>
        </is>
      </c>
      <c r="D7576" t="n">
        <v>1136808</v>
      </c>
      <c r="E7576" t="inlineStr">
        <is>
          <t>SEC</t>
        </is>
      </c>
    </row>
    <row r="7577">
      <c r="A7577" s="5">
        <f>HYPERLINK("https://finance.yahoo.com/quote/RBSPF","RBSPF")</f>
        <v/>
      </c>
      <c r="B7577" t="inlineStr">
        <is>
          <t>NatWest Group plc</t>
        </is>
      </c>
      <c r="C7577" t="inlineStr">
        <is>
          <t>OTC</t>
        </is>
      </c>
      <c r="D7577" t="n">
        <v>844150</v>
      </c>
      <c r="E7577" t="inlineStr">
        <is>
          <t>SEC</t>
        </is>
      </c>
    </row>
    <row r="7578">
      <c r="A7578" s="5">
        <f>HYPERLINK("https://finance.yahoo.com/quote/ERIXF","ERIXF")</f>
        <v/>
      </c>
      <c r="B7578" t="inlineStr">
        <is>
          <t>ERICSSON LM TELEPHONE CO</t>
        </is>
      </c>
      <c r="C7578" t="inlineStr">
        <is>
          <t>OTC</t>
        </is>
      </c>
      <c r="D7578" t="n">
        <v>717826</v>
      </c>
      <c r="E7578" t="inlineStr">
        <is>
          <t>SEC</t>
        </is>
      </c>
    </row>
    <row r="7579">
      <c r="A7579" s="5">
        <f>HYPERLINK("https://finance.yahoo.com/quote/HHUSF","HHUSF")</f>
        <v/>
      </c>
      <c r="B7579" t="inlineStr">
        <is>
          <t>Hua Hong Semiconductor Limited/ADR</t>
        </is>
      </c>
      <c r="C7579" t="inlineStr">
        <is>
          <t>OTC</t>
        </is>
      </c>
      <c r="D7579" t="n">
        <v>1700662</v>
      </c>
      <c r="E7579" t="inlineStr">
        <is>
          <t>SEC</t>
        </is>
      </c>
    </row>
    <row r="7580">
      <c r="A7580" s="5">
        <f>HYPERLINK("https://finance.yahoo.com/quote/PUKPF","PUKPF")</f>
        <v/>
      </c>
      <c r="B7580" t="inlineStr">
        <is>
          <t>PRUDENTIAL PLC</t>
        </is>
      </c>
      <c r="C7580" t="inlineStr">
        <is>
          <t>OTC</t>
        </is>
      </c>
      <c r="D7580" t="n">
        <v>1116578</v>
      </c>
      <c r="E7580" t="inlineStr">
        <is>
          <t>SEC</t>
        </is>
      </c>
    </row>
    <row r="7581">
      <c r="A7581" s="5">
        <f>HYPERLINK("https://finance.yahoo.com/quote/WOPEF","WOPEF")</f>
        <v/>
      </c>
      <c r="B7581" t="inlineStr">
        <is>
          <t>WOODSIDE ENERGY GROUP LTD</t>
        </is>
      </c>
      <c r="C7581" t="inlineStr">
        <is>
          <t>OTC</t>
        </is>
      </c>
      <c r="D7581" t="n">
        <v>844551</v>
      </c>
      <c r="E7581" t="inlineStr">
        <is>
          <t>SEC</t>
        </is>
      </c>
    </row>
    <row r="7582">
      <c r="A7582" s="5">
        <f>HYPERLINK("https://finance.yahoo.com/quote/HEI-A","HEI-A")</f>
        <v/>
      </c>
      <c r="B7582" t="inlineStr">
        <is>
          <t>HEICO CORP</t>
        </is>
      </c>
      <c r="C7582" t="inlineStr">
        <is>
          <t>NYSE</t>
        </is>
      </c>
      <c r="D7582" t="n">
        <v>46619</v>
      </c>
      <c r="E7582" t="inlineStr">
        <is>
          <t>SEC</t>
        </is>
      </c>
    </row>
    <row r="7583">
      <c r="A7583" s="5">
        <f>HYPERLINK("https://finance.yahoo.com/quote/FNCTF","FNCTF")</f>
        <v/>
      </c>
      <c r="B7583" t="inlineStr">
        <is>
          <t>ORANGE</t>
        </is>
      </c>
      <c r="C7583" t="inlineStr">
        <is>
          <t>OTC</t>
        </is>
      </c>
      <c r="D7583" t="n">
        <v>1038143</v>
      </c>
      <c r="E7583" t="inlineStr">
        <is>
          <t>SEC</t>
        </is>
      </c>
    </row>
    <row r="7584">
      <c r="A7584" s="5">
        <f>HYPERLINK("https://finance.yahoo.com/quote/SATS","SATS")</f>
        <v/>
      </c>
      <c r="B7584" t="inlineStr">
        <is>
          <t>Strive, Inc.</t>
        </is>
      </c>
      <c r="C7584" t="inlineStr">
        <is>
          <t>Nasdaq</t>
        </is>
      </c>
      <c r="D7584" t="n">
        <v>1920406</v>
      </c>
      <c r="E7584" t="inlineStr">
        <is>
          <t>SEC</t>
        </is>
      </c>
    </row>
    <row r="7585">
      <c r="A7585" s="5">
        <f>HYPERLINK("https://finance.yahoo.com/quote/LEN-B","LEN-B")</f>
        <v/>
      </c>
      <c r="B7585" t="inlineStr">
        <is>
          <t>LENNAR CORP /NEW/</t>
        </is>
      </c>
      <c r="C7585" t="inlineStr">
        <is>
          <t>NYSE</t>
        </is>
      </c>
      <c r="D7585" t="n">
        <v>920760</v>
      </c>
      <c r="E7585" t="inlineStr">
        <is>
          <t>SEC</t>
        </is>
      </c>
    </row>
    <row r="7586">
      <c r="A7586" s="5">
        <f>HYPERLINK("https://finance.yahoo.com/quote/CIXPF","CIXPF")</f>
        <v/>
      </c>
      <c r="B7586" t="inlineStr">
        <is>
          <t>CaixaBank/ADR</t>
        </is>
      </c>
      <c r="C7586" t="inlineStr">
        <is>
          <t>OTC</t>
        </is>
      </c>
      <c r="D7586" t="n">
        <v>1535628</v>
      </c>
      <c r="E7586" t="inlineStr">
        <is>
          <t>SEC</t>
        </is>
      </c>
    </row>
    <row r="7587">
      <c r="A7587" s="5">
        <f>HYPERLINK("https://finance.yahoo.com/quote/BIP","BIP")</f>
        <v/>
      </c>
      <c r="B7587" t="inlineStr">
        <is>
          <t>Brookfield Infrastructure Partners L.P.</t>
        </is>
      </c>
      <c r="C7587" t="inlineStr">
        <is>
          <t>NYSE</t>
        </is>
      </c>
      <c r="D7587" t="n">
        <v>1406234</v>
      </c>
      <c r="E7587" t="inlineStr">
        <is>
          <t>SEC</t>
        </is>
      </c>
    </row>
    <row r="7588">
      <c r="A7588" s="5">
        <f>HYPERLINK("https://finance.yahoo.com/quote/BCLYF","BCLYF")</f>
        <v/>
      </c>
      <c r="B7588" t="inlineStr">
        <is>
          <t>BARCLAYS PLC</t>
        </is>
      </c>
      <c r="C7588" t="inlineStr">
        <is>
          <t>OTC</t>
        </is>
      </c>
      <c r="D7588" t="n">
        <v>312069</v>
      </c>
      <c r="E7588" t="inlineStr">
        <is>
          <t>SEC</t>
        </is>
      </c>
    </row>
    <row r="7589">
      <c r="A7589" s="5">
        <f>HYPERLINK("https://finance.yahoo.com/quote/RSMDF","RSMDF")</f>
        <v/>
      </c>
      <c r="B7589" t="inlineStr">
        <is>
          <t>RESMED INC</t>
        </is>
      </c>
      <c r="C7589" t="inlineStr">
        <is>
          <t>OTC</t>
        </is>
      </c>
      <c r="D7589" t="n">
        <v>943819</v>
      </c>
      <c r="E7589" t="inlineStr">
        <is>
          <t>SEC</t>
        </is>
      </c>
    </row>
    <row r="7590">
      <c r="A7590" s="5">
        <f>HYPERLINK("https://finance.yahoo.com/quote/CODGF","CODGF")</f>
        <v/>
      </c>
      <c r="B7590" t="inlineStr">
        <is>
          <t>COMPAGNIE DE SAINT GOBAIN</t>
        </is>
      </c>
      <c r="C7590" t="inlineStr">
        <is>
          <t>OTC</t>
        </is>
      </c>
      <c r="D7590" t="n">
        <v>1012037</v>
      </c>
      <c r="E7590" t="inlineStr">
        <is>
          <t>SEC</t>
        </is>
      </c>
    </row>
    <row r="7591">
      <c r="A7591" s="5">
        <f>HYPERLINK("https://finance.yahoo.com/quote/LAAOF","LAAOF")</f>
        <v/>
      </c>
      <c r="B7591" t="inlineStr">
        <is>
          <t>Li Auto Inc.</t>
        </is>
      </c>
      <c r="C7591" t="inlineStr">
        <is>
          <t>OTC</t>
        </is>
      </c>
      <c r="D7591" t="n">
        <v>1791706</v>
      </c>
      <c r="E7591" t="inlineStr">
        <is>
          <t>SEC</t>
        </is>
      </c>
    </row>
    <row r="7592">
      <c r="A7592" s="5">
        <f>HYPERLINK("https://finance.yahoo.com/quote/ALL-PH","ALL-PH")</f>
        <v/>
      </c>
      <c r="B7592" t="inlineStr">
        <is>
          <t>ALLSTATE CORP</t>
        </is>
      </c>
      <c r="C7592" t="inlineStr">
        <is>
          <t>NYSE</t>
        </is>
      </c>
      <c r="D7592" t="n">
        <v>899051</v>
      </c>
      <c r="E7592" t="inlineStr">
        <is>
          <t>SEC</t>
        </is>
      </c>
    </row>
    <row r="7593">
      <c r="A7593" s="5">
        <f>HYPERLINK("https://finance.yahoo.com/quote/VWSYF","VWSYF")</f>
        <v/>
      </c>
      <c r="B7593" t="inlineStr">
        <is>
          <t>VESTAS WIND SYSTEMS A/S</t>
        </is>
      </c>
      <c r="C7593" t="inlineStr">
        <is>
          <t>OTC</t>
        </is>
      </c>
      <c r="D7593" t="n">
        <v>1330306</v>
      </c>
      <c r="E7593" t="inlineStr">
        <is>
          <t>SEC</t>
        </is>
      </c>
    </row>
    <row r="7594">
      <c r="A7594" s="5">
        <f>HYPERLINK("https://finance.yahoo.com/quote/ORXCF","ORXCF")</f>
        <v/>
      </c>
      <c r="B7594" t="inlineStr">
        <is>
          <t>ORIX CORP</t>
        </is>
      </c>
      <c r="C7594" t="inlineStr">
        <is>
          <t>OTC</t>
        </is>
      </c>
      <c r="D7594" t="n">
        <v>1070304</v>
      </c>
      <c r="E7594" t="inlineStr">
        <is>
          <t>SEC</t>
        </is>
      </c>
    </row>
    <row r="7595">
      <c r="A7595" s="5">
        <f>HYPERLINK("https://finance.yahoo.com/quote/TEFOF","TEFOF")</f>
        <v/>
      </c>
      <c r="B7595" t="inlineStr">
        <is>
          <t>TELEFONICA S A</t>
        </is>
      </c>
      <c r="C7595" t="inlineStr">
        <is>
          <t>OTC</t>
        </is>
      </c>
      <c r="D7595" t="n">
        <v>814052</v>
      </c>
      <c r="E7595" t="inlineStr">
        <is>
          <t>SEC</t>
        </is>
      </c>
    </row>
    <row r="7596">
      <c r="A7596" s="5">
        <f>HYPERLINK("https://finance.yahoo.com/quote/CAJPY","CAJPY")</f>
        <v/>
      </c>
      <c r="B7596" t="inlineStr">
        <is>
          <t>CANON INC</t>
        </is>
      </c>
      <c r="C7596" t="inlineStr">
        <is>
          <t>OTC</t>
        </is>
      </c>
      <c r="D7596" t="n">
        <v>16988</v>
      </c>
      <c r="E7596" t="inlineStr">
        <is>
          <t>SEC</t>
        </is>
      </c>
    </row>
    <row r="7597">
      <c r="A7597" s="5">
        <f>HYPERLINK("https://finance.yahoo.com/quote/VODPF","VODPF")</f>
        <v/>
      </c>
      <c r="B7597" t="inlineStr">
        <is>
          <t>VODAFONE GROUP PUBLIC LTD CO</t>
        </is>
      </c>
      <c r="C7597" t="inlineStr">
        <is>
          <t>OTC</t>
        </is>
      </c>
      <c r="D7597" t="n">
        <v>839923</v>
      </c>
      <c r="E7597" t="inlineStr">
        <is>
          <t>SEC</t>
        </is>
      </c>
    </row>
    <row r="7598">
      <c r="A7598" s="5">
        <f>HYPERLINK("https://finance.yahoo.com/quote/BBDO","BBDO")</f>
        <v/>
      </c>
      <c r="B7598" t="inlineStr">
        <is>
          <t>BANK BRADESCO</t>
        </is>
      </c>
      <c r="C7598" t="inlineStr">
        <is>
          <t>NYSE</t>
        </is>
      </c>
      <c r="D7598" t="n">
        <v>1160330</v>
      </c>
      <c r="E7598" t="inlineStr">
        <is>
          <t>SEC</t>
        </is>
      </c>
    </row>
    <row r="7599">
      <c r="A7599" s="5">
        <f>HYPERLINK("https://finance.yahoo.com/quote/GNMSF","GNMSF")</f>
        <v/>
      </c>
      <c r="B7599" t="inlineStr">
        <is>
          <t>GENMAB A/S</t>
        </is>
      </c>
      <c r="C7599" t="inlineStr">
        <is>
          <t>OTC</t>
        </is>
      </c>
      <c r="D7599" t="n">
        <v>1434265</v>
      </c>
      <c r="E7599" t="inlineStr">
        <is>
          <t>SEC</t>
        </is>
      </c>
    </row>
    <row r="7600">
      <c r="A7600" s="5">
        <f>HYPERLINK("https://finance.yahoo.com/quote/FOX","FOX")</f>
        <v/>
      </c>
      <c r="B7600" t="inlineStr">
        <is>
          <t>Fox Corp</t>
        </is>
      </c>
      <c r="C7600" t="inlineStr">
        <is>
          <t>Nasdaq</t>
        </is>
      </c>
      <c r="D7600" t="n">
        <v>1754301</v>
      </c>
      <c r="E7600" t="inlineStr">
        <is>
          <t>SEC</t>
        </is>
      </c>
    </row>
    <row r="7601">
      <c r="A7601" s="5">
        <f>HYPERLINK("https://finance.yahoo.com/quote/ANNSF","ANNSF")</f>
        <v/>
      </c>
      <c r="B7601" t="inlineStr">
        <is>
          <t>Aena S.A./ADR</t>
        </is>
      </c>
      <c r="C7601" t="inlineStr">
        <is>
          <t>OTC</t>
        </is>
      </c>
      <c r="D7601" t="n">
        <v>1700171</v>
      </c>
      <c r="E7601" t="inlineStr">
        <is>
          <t>SEC</t>
        </is>
      </c>
    </row>
    <row r="7602">
      <c r="A7602" s="5">
        <f>HYPERLINK("https://finance.yahoo.com/quote/DLR-PK","DLR-PK")</f>
        <v/>
      </c>
      <c r="B7602" t="inlineStr">
        <is>
          <t>DIGITAL REALTY TRUST, INC.</t>
        </is>
      </c>
      <c r="C7602" t="inlineStr">
        <is>
          <t>NYSE</t>
        </is>
      </c>
      <c r="D7602" t="n">
        <v>1297996</v>
      </c>
      <c r="E7602" t="inlineStr">
        <is>
          <t>SEC</t>
        </is>
      </c>
    </row>
    <row r="7603">
      <c r="A7603" s="5">
        <f>HYPERLINK("https://finance.yahoo.com/quote/STMEF","STMEF")</f>
        <v/>
      </c>
      <c r="B7603" t="inlineStr">
        <is>
          <t>STMicroelectronics N.V.</t>
        </is>
      </c>
      <c r="C7603" t="inlineStr">
        <is>
          <t>OTC</t>
        </is>
      </c>
      <c r="D7603" t="n">
        <v>932787</v>
      </c>
      <c r="E7603" t="inlineStr">
        <is>
          <t>SEC</t>
        </is>
      </c>
    </row>
    <row r="7604">
      <c r="A7604" s="5">
        <f>HYPERLINK("https://finance.yahoo.com/quote/HKHHF","HKHHF")</f>
        <v/>
      </c>
      <c r="B7604" t="inlineStr">
        <is>
          <t>HEINEKEN HOLDING N V</t>
        </is>
      </c>
      <c r="C7604" t="inlineStr">
        <is>
          <t>OTC</t>
        </is>
      </c>
      <c r="D7604" t="n">
        <v>1142231</v>
      </c>
      <c r="E7604" t="inlineStr">
        <is>
          <t>SEC</t>
        </is>
      </c>
    </row>
    <row r="7605">
      <c r="A7605" s="5">
        <f>HYPERLINK("https://finance.yahoo.com/quote/HRNNF","HRNNF")</f>
        <v/>
      </c>
      <c r="B7605" t="inlineStr">
        <is>
          <t>Hydro One Ltd</t>
        </is>
      </c>
      <c r="C7605" t="inlineStr">
        <is>
          <t>OTC</t>
        </is>
      </c>
      <c r="D7605" t="n">
        <v>1712356</v>
      </c>
      <c r="E7605" t="inlineStr">
        <is>
          <t>SEC</t>
        </is>
      </c>
    </row>
    <row r="7606">
      <c r="A7606" s="5">
        <f>HYPERLINK("https://finance.yahoo.com/quote/AMSYF","AMSYF")</f>
        <v/>
      </c>
      <c r="B7606" t="inlineStr">
        <is>
          <t>ArcelorMittal</t>
        </is>
      </c>
      <c r="C7606" t="inlineStr">
        <is>
          <t>OTC</t>
        </is>
      </c>
      <c r="D7606" t="n">
        <v>1243429</v>
      </c>
      <c r="E7606" t="inlineStr">
        <is>
          <t>SEC</t>
        </is>
      </c>
    </row>
    <row r="7607">
      <c r="A7607" s="5">
        <f>HYPERLINK("https://finance.yahoo.com/quote/SAXPF","SAXPF")</f>
        <v/>
      </c>
      <c r="B7607" t="inlineStr">
        <is>
          <t>Sampo OYJ</t>
        </is>
      </c>
      <c r="C7607" t="inlineStr">
        <is>
          <t>OTC</t>
        </is>
      </c>
      <c r="D7607" t="n">
        <v>1436778</v>
      </c>
      <c r="E7607" t="inlineStr">
        <is>
          <t>SEC</t>
        </is>
      </c>
    </row>
    <row r="7608">
      <c r="A7608" s="5">
        <f>HYPERLINK("https://finance.yahoo.com/quote/RYAOF","RYAOF")</f>
        <v/>
      </c>
      <c r="B7608" t="inlineStr">
        <is>
          <t>RYANAIR HOLDINGS PLC</t>
        </is>
      </c>
      <c r="C7608" t="inlineStr">
        <is>
          <t>OTC</t>
        </is>
      </c>
      <c r="D7608" t="n">
        <v>1038683</v>
      </c>
      <c r="E7608" t="inlineStr">
        <is>
          <t>SEC</t>
        </is>
      </c>
    </row>
    <row r="7609">
      <c r="A7609" s="5">
        <f>HYPERLINK("https://finance.yahoo.com/quote/MKC-V","MKC-V")</f>
        <v/>
      </c>
      <c r="B7609" t="inlineStr">
        <is>
          <t>MCCORMICK &amp; CO INC</t>
        </is>
      </c>
      <c r="C7609" t="inlineStr">
        <is>
          <t>NYSE</t>
        </is>
      </c>
      <c r="D7609" t="n">
        <v>63754</v>
      </c>
      <c r="E7609" t="inlineStr">
        <is>
          <t>SEC</t>
        </is>
      </c>
    </row>
    <row r="7610">
      <c r="A7610" s="5">
        <f>HYPERLINK("https://finance.yahoo.com/quote/TNRSF","TNRSF")</f>
        <v/>
      </c>
      <c r="B7610" t="inlineStr">
        <is>
          <t>TENARIS SA</t>
        </is>
      </c>
      <c r="C7610" t="inlineStr">
        <is>
          <t>OTC</t>
        </is>
      </c>
      <c r="D7610" t="n">
        <v>1190723</v>
      </c>
      <c r="E7610" t="inlineStr">
        <is>
          <t>SEC</t>
        </is>
      </c>
    </row>
    <row r="7611">
      <c r="A7611" s="5">
        <f>HYPERLINK("https://finance.yahoo.com/quote/RSTRF","RSTRF")</f>
        <v/>
      </c>
      <c r="B7611" t="inlineStr">
        <is>
          <t>Restaurant Brands International Limited Partnership</t>
        </is>
      </c>
      <c r="C7611" t="inlineStr">
        <is>
          <t>OTC</t>
        </is>
      </c>
      <c r="D7611" t="n">
        <v>1618755</v>
      </c>
      <c r="E7611" t="inlineStr">
        <is>
          <t>SEC</t>
        </is>
      </c>
    </row>
    <row r="7612">
      <c r="A7612" s="5">
        <f>HYPERLINK("https://finance.yahoo.com/quote/MARUF","MARUF")</f>
        <v/>
      </c>
      <c r="B7612" t="inlineStr">
        <is>
          <t>MARUBENI CORP /FI</t>
        </is>
      </c>
      <c r="C7612" t="inlineStr">
        <is>
          <t>OTC</t>
        </is>
      </c>
      <c r="D7612" t="n">
        <v>801645</v>
      </c>
      <c r="E7612" t="inlineStr">
        <is>
          <t>SEC</t>
        </is>
      </c>
    </row>
    <row r="7613">
      <c r="A7613" s="5">
        <f>HYPERLINK("https://finance.yahoo.com/quote/SOJC","SOJC")</f>
        <v/>
      </c>
      <c r="B7613" t="inlineStr">
        <is>
          <t>SOUTHERN CO</t>
        </is>
      </c>
      <c r="C7613" t="inlineStr">
        <is>
          <t>NYSE</t>
        </is>
      </c>
      <c r="D7613" t="n">
        <v>92122</v>
      </c>
      <c r="E7613" t="inlineStr">
        <is>
          <t>SEC</t>
        </is>
      </c>
    </row>
    <row r="7614">
      <c r="A7614" s="5">
        <f>HYPERLINK("https://finance.yahoo.com/quote/CAJFF","CAJFF")</f>
        <v/>
      </c>
      <c r="B7614" t="inlineStr">
        <is>
          <t>CANON INC</t>
        </is>
      </c>
      <c r="C7614" t="inlineStr">
        <is>
          <t>OTC</t>
        </is>
      </c>
      <c r="D7614" t="n">
        <v>16988</v>
      </c>
      <c r="E7614" t="inlineStr">
        <is>
          <t>SEC</t>
        </is>
      </c>
    </row>
    <row r="7615">
      <c r="A7615" s="5">
        <f>HYPERLINK("https://finance.yahoo.com/quote/FWONK","FWONK")</f>
        <v/>
      </c>
      <c r="B7615" t="inlineStr">
        <is>
          <t>Liberty Media Corp</t>
        </is>
      </c>
      <c r="C7615" t="inlineStr">
        <is>
          <t>Nasdaq</t>
        </is>
      </c>
      <c r="D7615" t="n">
        <v>1560385</v>
      </c>
      <c r="E7615" t="inlineStr">
        <is>
          <t>SEC</t>
        </is>
      </c>
    </row>
    <row r="7616">
      <c r="A7616" s="5">
        <f>HYPERLINK("https://finance.yahoo.com/quote/HMRZF","HMRZF")</f>
        <v/>
      </c>
      <c r="B7616" t="inlineStr">
        <is>
          <t>H&amp;M HENNES &amp; MAURITZ AB</t>
        </is>
      </c>
      <c r="C7616" t="inlineStr">
        <is>
          <t>OTC</t>
        </is>
      </c>
      <c r="D7616" t="n">
        <v>1396282</v>
      </c>
      <c r="E7616" t="inlineStr">
        <is>
          <t>SEC</t>
        </is>
      </c>
    </row>
    <row r="7617">
      <c r="A7617" s="5">
        <f>HYPERLINK("https://finance.yahoo.com/quote/FCNCB","FCNCB")</f>
        <v/>
      </c>
      <c r="B7617" t="inlineStr">
        <is>
          <t>FIRST CITIZENS BANCSHARES INC /DE/</t>
        </is>
      </c>
      <c r="C7617" t="inlineStr">
        <is>
          <t>OTC</t>
        </is>
      </c>
      <c r="D7617" t="n">
        <v>798941</v>
      </c>
      <c r="E7617" t="inlineStr">
        <is>
          <t>SEC</t>
        </is>
      </c>
    </row>
    <row r="7618">
      <c r="A7618" s="5">
        <f>HYPERLINK("https://finance.yahoo.com/quote/COCSF","COCSF")</f>
        <v/>
      </c>
      <c r="B7618" t="inlineStr">
        <is>
          <t>COCA COLA FEMSA SAB DE CV</t>
        </is>
      </c>
      <c r="C7618" t="inlineStr">
        <is>
          <t>OTC</t>
        </is>
      </c>
      <c r="D7618" t="n">
        <v>910631</v>
      </c>
      <c r="E7618" t="inlineStr">
        <is>
          <t>SEC</t>
        </is>
      </c>
    </row>
    <row r="7619">
      <c r="A7619" s="5">
        <f>HYPERLINK("https://finance.yahoo.com/quote/ICHGF","ICHGF")</f>
        <v/>
      </c>
      <c r="B7619" t="inlineStr">
        <is>
          <t>INTERCONTINENTAL HOTELS GROUP PLC /NEW/</t>
        </is>
      </c>
      <c r="C7619" t="inlineStr">
        <is>
          <t>OTC</t>
        </is>
      </c>
      <c r="D7619" t="n">
        <v>858446</v>
      </c>
      <c r="E7619" t="inlineStr">
        <is>
          <t>SEC</t>
        </is>
      </c>
    </row>
    <row r="7620">
      <c r="A7620" s="5">
        <f>HYPERLINK("https://finance.yahoo.com/quote/TELNF","TELNF")</f>
        <v/>
      </c>
      <c r="B7620" t="inlineStr">
        <is>
          <t>TELENOR ASA</t>
        </is>
      </c>
      <c r="C7620" t="inlineStr">
        <is>
          <t>OTC</t>
        </is>
      </c>
      <c r="D7620" t="n">
        <v>1126113</v>
      </c>
      <c r="E7620" t="inlineStr">
        <is>
          <t>SEC</t>
        </is>
      </c>
    </row>
    <row r="7621">
      <c r="A7621" s="5">
        <f>HYPERLINK("https://finance.yahoo.com/quote/RCIAF","RCIAF")</f>
        <v/>
      </c>
      <c r="B7621" t="inlineStr">
        <is>
          <t>ROGERS COMMUNICATIONS INC</t>
        </is>
      </c>
      <c r="C7621" t="inlineStr">
        <is>
          <t>OTC</t>
        </is>
      </c>
      <c r="D7621" t="n">
        <v>733099</v>
      </c>
      <c r="E7621" t="inlineStr">
        <is>
          <t>SEC</t>
        </is>
      </c>
    </row>
    <row r="7622">
      <c r="A7622" s="5">
        <f>HYPERLINK("https://finance.yahoo.com/quote/XPNGF","XPNGF")</f>
        <v/>
      </c>
      <c r="B7622" t="inlineStr">
        <is>
          <t>XPENG INC.</t>
        </is>
      </c>
      <c r="C7622" t="inlineStr">
        <is>
          <t>OTC</t>
        </is>
      </c>
      <c r="D7622" t="n">
        <v>1810997</v>
      </c>
      <c r="E7622" t="inlineStr">
        <is>
          <t>SEC</t>
        </is>
      </c>
    </row>
    <row r="7623">
      <c r="A7623" s="5">
        <f>HYPERLINK("https://finance.yahoo.com/quote/Z","Z")</f>
        <v/>
      </c>
      <c r="B7623" t="inlineStr">
        <is>
          <t>ZILLOW GROUP, INC.</t>
        </is>
      </c>
      <c r="C7623" t="inlineStr">
        <is>
          <t>Nasdaq</t>
        </is>
      </c>
      <c r="D7623" t="n">
        <v>1617640</v>
      </c>
      <c r="E7623" t="inlineStr">
        <is>
          <t>SEC</t>
        </is>
      </c>
    </row>
    <row r="7624">
      <c r="A7624" s="5">
        <f>HYPERLINK("https://finance.yahoo.com/quote/STT-PG","STT-PG")</f>
        <v/>
      </c>
      <c r="B7624" t="inlineStr">
        <is>
          <t>STATE STREET CORP</t>
        </is>
      </c>
      <c r="C7624" t="inlineStr">
        <is>
          <t>NYSE</t>
        </is>
      </c>
      <c r="D7624" t="n">
        <v>93751</v>
      </c>
      <c r="E7624" t="inlineStr">
        <is>
          <t>SEC</t>
        </is>
      </c>
    </row>
    <row r="7625">
      <c r="A7625" s="5">
        <f>HYPERLINK("https://finance.yahoo.com/quote/KYOCF","KYOCF")</f>
        <v/>
      </c>
      <c r="B7625" t="inlineStr">
        <is>
          <t>KYOCERA CORP</t>
        </is>
      </c>
      <c r="C7625" t="inlineStr">
        <is>
          <t>OTC</t>
        </is>
      </c>
      <c r="D7625" t="n">
        <v>57083</v>
      </c>
      <c r="E7625" t="inlineStr">
        <is>
          <t>SEC</t>
        </is>
      </c>
    </row>
    <row r="7626">
      <c r="A7626" s="5">
        <f>HYPERLINK("https://finance.yahoo.com/quote/BKZHY","BKZHY")</f>
        <v/>
      </c>
      <c r="B7626" t="inlineStr">
        <is>
          <t>Santander Bank Polska SA/ADR</t>
        </is>
      </c>
      <c r="C7626" t="inlineStr">
        <is>
          <t>OTC</t>
        </is>
      </c>
      <c r="D7626" t="n">
        <v>1459334</v>
      </c>
      <c r="E7626" t="inlineStr">
        <is>
          <t>SEC</t>
        </is>
      </c>
    </row>
    <row r="7627">
      <c r="A7627" s="5">
        <f>HYPERLINK("https://finance.yahoo.com/quote/FWONB","FWONB")</f>
        <v/>
      </c>
      <c r="B7627" t="inlineStr">
        <is>
          <t>Liberty Media Corp</t>
        </is>
      </c>
      <c r="C7627" t="inlineStr">
        <is>
          <t>OTC</t>
        </is>
      </c>
      <c r="D7627" t="n">
        <v>1560385</v>
      </c>
      <c r="E7627" t="inlineStr">
        <is>
          <t>SEC</t>
        </is>
      </c>
    </row>
    <row r="7628">
      <c r="A7628" s="5">
        <f>HYPERLINK("https://finance.yahoo.com/quote/NWS","NWS")</f>
        <v/>
      </c>
      <c r="B7628" t="inlineStr">
        <is>
          <t>NEWS CORP</t>
        </is>
      </c>
      <c r="C7628" t="inlineStr">
        <is>
          <t>Nasdaq</t>
        </is>
      </c>
      <c r="D7628" t="n">
        <v>1564708</v>
      </c>
      <c r="E7628" t="inlineStr">
        <is>
          <t>SEC</t>
        </is>
      </c>
    </row>
    <row r="7629">
      <c r="A7629" s="5">
        <f>HYPERLINK("https://finance.yahoo.com/quote/MTNOF","MTNOF")</f>
        <v/>
      </c>
      <c r="B7629" t="inlineStr">
        <is>
          <t>MTN GROUP LTD/ADR</t>
        </is>
      </c>
      <c r="C7629" t="inlineStr">
        <is>
          <t>OTC</t>
        </is>
      </c>
      <c r="D7629" t="n">
        <v>1163420</v>
      </c>
      <c r="E7629" t="inlineStr">
        <is>
          <t>SEC</t>
        </is>
      </c>
    </row>
    <row r="7630">
      <c r="A7630" s="5">
        <f>HYPERLINK("https://finance.yahoo.com/quote/NRSCF","NRSCF")</f>
        <v/>
      </c>
      <c r="B7630" t="inlineStr">
        <is>
          <t>NOMURA HOLDINGS INC</t>
        </is>
      </c>
      <c r="C7630" t="inlineStr">
        <is>
          <t>OTC</t>
        </is>
      </c>
      <c r="D7630" t="n">
        <v>1163653</v>
      </c>
      <c r="E7630" t="inlineStr">
        <is>
          <t>SEC</t>
        </is>
      </c>
    </row>
    <row r="7631">
      <c r="A7631" s="5">
        <f>HYPERLINK("https://finance.yahoo.com/quote/JHIUF","JHIUF")</f>
        <v/>
      </c>
      <c r="B7631" t="inlineStr">
        <is>
          <t>James Hardie Industries plc</t>
        </is>
      </c>
      <c r="C7631" t="inlineStr">
        <is>
          <t>OTC</t>
        </is>
      </c>
      <c r="D7631" t="n">
        <v>1159152</v>
      </c>
      <c r="E7631" t="inlineStr">
        <is>
          <t>SEC</t>
        </is>
      </c>
    </row>
    <row r="7632">
      <c r="A7632" s="5">
        <f>HYPERLINK("https://finance.yahoo.com/quote/SPXSF","SPXSF")</f>
        <v/>
      </c>
      <c r="B7632" t="inlineStr">
        <is>
          <t>Spirax-Sarco Engineering PLC/ADR</t>
        </is>
      </c>
      <c r="C7632" t="inlineStr">
        <is>
          <t>OTC</t>
        </is>
      </c>
      <c r="D7632" t="n">
        <v>1518542</v>
      </c>
      <c r="E7632" t="inlineStr">
        <is>
          <t>SEC</t>
        </is>
      </c>
    </row>
    <row r="7633">
      <c r="A7633" s="5">
        <f>HYPERLINK("https://finance.yahoo.com/quote/RYLPF","RYLPF")</f>
        <v/>
      </c>
      <c r="B7633" t="inlineStr">
        <is>
          <t>KONINKLIJKE PHILIPS NV</t>
        </is>
      </c>
      <c r="C7633" t="inlineStr">
        <is>
          <t>OTC</t>
        </is>
      </c>
      <c r="D7633" t="n">
        <v>313216</v>
      </c>
      <c r="E7633" t="inlineStr">
        <is>
          <t>SEC</t>
        </is>
      </c>
    </row>
    <row r="7634">
      <c r="A7634" s="5">
        <f>HYPERLINK("https://finance.yahoo.com/quote/AMCCF","AMCCF")</f>
        <v/>
      </c>
      <c r="B7634" t="inlineStr">
        <is>
          <t>Amcor plc</t>
        </is>
      </c>
      <c r="C7634" t="inlineStr">
        <is>
          <t>OTC</t>
        </is>
      </c>
      <c r="D7634" t="n">
        <v>1748790</v>
      </c>
      <c r="E7634" t="inlineStr">
        <is>
          <t>SEC</t>
        </is>
      </c>
    </row>
    <row r="7635">
      <c r="A7635" s="5">
        <f>HYPERLINK("https://finance.yahoo.com/quote/SURDF","SURDF")</f>
        <v/>
      </c>
      <c r="B7635" t="inlineStr">
        <is>
          <t>Sumitomo Realty &amp; Development Co., Ltd./ADR</t>
        </is>
      </c>
      <c r="C7635" t="inlineStr">
        <is>
          <t>OTC</t>
        </is>
      </c>
      <c r="D7635" t="n">
        <v>1450159</v>
      </c>
      <c r="E7635" t="inlineStr">
        <is>
          <t>SEC</t>
        </is>
      </c>
    </row>
    <row r="7636">
      <c r="A7636" s="5">
        <f>HYPERLINK("https://finance.yahoo.com/quote/BIO-B","BIO-B")</f>
        <v/>
      </c>
      <c r="B7636" t="inlineStr">
        <is>
          <t>BIO-RAD LABORATORIES, INC.</t>
        </is>
      </c>
      <c r="C7636" t="inlineStr">
        <is>
          <t>NYSE</t>
        </is>
      </c>
      <c r="D7636" t="n">
        <v>12208</v>
      </c>
      <c r="E7636" t="inlineStr">
        <is>
          <t>SEC</t>
        </is>
      </c>
    </row>
    <row r="7637">
      <c r="A7637" s="5">
        <f>HYPERLINK("https://finance.yahoo.com/quote/EDRVY","EDRVY")</f>
        <v/>
      </c>
      <c r="B7637" t="inlineStr">
        <is>
          <t>EDP Renewables S.A./ADR</t>
        </is>
      </c>
      <c r="C7637" t="inlineStr">
        <is>
          <t>OTC</t>
        </is>
      </c>
      <c r="D7637" t="n">
        <v>1516534</v>
      </c>
      <c r="E7637" t="inlineStr">
        <is>
          <t>SEC</t>
        </is>
      </c>
    </row>
    <row r="7638">
      <c r="A7638" s="5">
        <f>HYPERLINK("https://finance.yahoo.com/quote/CHKIF","CHKIF")</f>
        <v/>
      </c>
      <c r="B7638" t="inlineStr">
        <is>
          <t>CHINA SOUTHERN AIRLINES CO LTD</t>
        </is>
      </c>
      <c r="C7638" t="inlineStr">
        <is>
          <t>OTC</t>
        </is>
      </c>
      <c r="D7638" t="n">
        <v>1041668</v>
      </c>
      <c r="E7638" t="inlineStr">
        <is>
          <t>SEC</t>
        </is>
      </c>
    </row>
    <row r="7639">
      <c r="A7639" s="5">
        <f>HYPERLINK("https://finance.yahoo.com/quote/ADTTF","ADTTF")</f>
        <v/>
      </c>
      <c r="B7639" t="inlineStr">
        <is>
          <t>ADVANTEST CORP</t>
        </is>
      </c>
      <c r="C7639" t="inlineStr">
        <is>
          <t>OTC</t>
        </is>
      </c>
      <c r="D7639" t="n">
        <v>1158838</v>
      </c>
      <c r="E7639" t="inlineStr">
        <is>
          <t>SEC</t>
        </is>
      </c>
    </row>
    <row r="7640">
      <c r="A7640" s="5">
        <f>HYPERLINK("https://finance.yahoo.com/quote/KEY-PK","KEY-PK")</f>
        <v/>
      </c>
      <c r="B7640" t="inlineStr">
        <is>
          <t>KEYCORP /NEW/</t>
        </is>
      </c>
      <c r="C7640" t="inlineStr">
        <is>
          <t>NYSE</t>
        </is>
      </c>
      <c r="D7640" t="n">
        <v>91576</v>
      </c>
      <c r="E7640" t="inlineStr">
        <is>
          <t>SEC</t>
        </is>
      </c>
    </row>
    <row r="7641">
      <c r="A7641" s="5">
        <f>HYPERLINK("https://finance.yahoo.com/quote/AIVAF","AIVAF")</f>
        <v/>
      </c>
      <c r="B7641" t="inlineStr">
        <is>
          <t>AVIVA PLC</t>
        </is>
      </c>
      <c r="C7641" t="inlineStr">
        <is>
          <t>OTC</t>
        </is>
      </c>
      <c r="D7641" t="n">
        <v>1140022</v>
      </c>
      <c r="E7641" t="inlineStr">
        <is>
          <t>SEC</t>
        </is>
      </c>
    </row>
    <row r="7642">
      <c r="A7642" s="5">
        <f>HYPERLINK("https://finance.yahoo.com/quote/FSNUF","FSNUF")</f>
        <v/>
      </c>
      <c r="B7642" t="inlineStr">
        <is>
          <t>Fresenius SE &amp; Co. KGaA</t>
        </is>
      </c>
      <c r="C7642" t="inlineStr">
        <is>
          <t>OTC</t>
        </is>
      </c>
      <c r="D7642" t="n">
        <v>904868</v>
      </c>
      <c r="E7642" t="inlineStr">
        <is>
          <t>SEC</t>
        </is>
      </c>
    </row>
    <row r="7643">
      <c r="A7643" s="5">
        <f>HYPERLINK("https://finance.yahoo.com/quote/BF-A","BF-A")</f>
        <v/>
      </c>
      <c r="B7643" t="inlineStr">
        <is>
          <t>BROWN FORMAN CORP</t>
        </is>
      </c>
      <c r="C7643" t="inlineStr">
        <is>
          <t>NYSE</t>
        </is>
      </c>
      <c r="D7643" t="n">
        <v>14693</v>
      </c>
      <c r="E7643" t="inlineStr">
        <is>
          <t>SEC</t>
        </is>
      </c>
    </row>
    <row r="7644">
      <c r="A7644" s="5">
        <f>HYPERLINK("https://finance.yahoo.com/quote/AKZOF","AKZOF")</f>
        <v/>
      </c>
      <c r="B7644" t="inlineStr">
        <is>
          <t>AKZO NOBEL NV</t>
        </is>
      </c>
      <c r="C7644" t="inlineStr">
        <is>
          <t>OTC</t>
        </is>
      </c>
      <c r="D7644" t="n">
        <v>3124</v>
      </c>
      <c r="E7644" t="inlineStr">
        <is>
          <t>SEC</t>
        </is>
      </c>
    </row>
    <row r="7645">
      <c r="A7645" s="5">
        <f>HYPERLINK("https://finance.yahoo.com/quote/FRFFF","FRFFF")</f>
        <v/>
      </c>
      <c r="B7645" t="inlineStr">
        <is>
          <t>FAIRFAX FINANCIAL HOLDINGS LTD/ CAN</t>
        </is>
      </c>
      <c r="C7645" t="inlineStr">
        <is>
          <t>OTC</t>
        </is>
      </c>
      <c r="D7645" t="n">
        <v>915191</v>
      </c>
      <c r="E7645" t="inlineStr">
        <is>
          <t>SEC</t>
        </is>
      </c>
    </row>
    <row r="7646">
      <c r="A7646" s="5">
        <f>HYPERLINK("https://finance.yahoo.com/quote/KEY-PI","KEY-PI")</f>
        <v/>
      </c>
      <c r="B7646" t="inlineStr">
        <is>
          <t>KEYCORP /NEW/</t>
        </is>
      </c>
      <c r="C7646" t="inlineStr">
        <is>
          <t>NYSE</t>
        </is>
      </c>
      <c r="D7646" t="n">
        <v>91576</v>
      </c>
      <c r="E7646" t="inlineStr">
        <is>
          <t>SEC</t>
        </is>
      </c>
    </row>
    <row r="7647">
      <c r="A7647" s="5">
        <f>HYPERLINK("https://finance.yahoo.com/quote/NIOIF","NIOIF")</f>
        <v/>
      </c>
      <c r="B7647" t="inlineStr">
        <is>
          <t>NIO Inc.</t>
        </is>
      </c>
      <c r="C7647" t="inlineStr">
        <is>
          <t>OTC</t>
        </is>
      </c>
      <c r="D7647" t="n">
        <v>1736541</v>
      </c>
      <c r="E7647" t="inlineStr">
        <is>
          <t>SEC</t>
        </is>
      </c>
    </row>
    <row r="7648">
      <c r="A7648" s="5">
        <f>HYPERLINK("https://finance.yahoo.com/quote/FNGD","FNGD")</f>
        <v/>
      </c>
      <c r="B7648" t="inlineStr">
        <is>
          <t>BANK OF MONTREAL /CAN/</t>
        </is>
      </c>
      <c r="C7648" t="inlineStr">
        <is>
          <t>NYSE</t>
        </is>
      </c>
      <c r="D7648" t="n">
        <v>927971</v>
      </c>
      <c r="E7648" t="inlineStr">
        <is>
          <t>SEC</t>
        </is>
      </c>
    </row>
    <row r="7649">
      <c r="A7649" s="5">
        <f>HYPERLINK("https://finance.yahoo.com/quote/GFIOF","GFIOF")</f>
        <v/>
      </c>
      <c r="B7649" t="inlineStr">
        <is>
          <t>GOLD FIELDS LTD</t>
        </is>
      </c>
      <c r="C7649" t="inlineStr">
        <is>
          <t>OTC</t>
        </is>
      </c>
      <c r="D7649" t="n">
        <v>1172724</v>
      </c>
      <c r="E7649" t="inlineStr">
        <is>
          <t>SEC</t>
        </is>
      </c>
    </row>
    <row r="7650">
      <c r="A7650" s="5">
        <f>HYPERLINK("https://finance.yahoo.com/quote/NCSYF","NCSYF")</f>
        <v/>
      </c>
      <c r="B7650" t="inlineStr">
        <is>
          <t>NICE Ltd.</t>
        </is>
      </c>
      <c r="C7650" t="inlineStr">
        <is>
          <t>OTC</t>
        </is>
      </c>
      <c r="D7650" t="n">
        <v>1003935</v>
      </c>
      <c r="E7650" t="inlineStr">
        <is>
          <t>SEC</t>
        </is>
      </c>
    </row>
    <row r="7651">
      <c r="A7651" s="5">
        <f>HYPERLINK("https://finance.yahoo.com/quote/RKLIF","RKLIF")</f>
        <v/>
      </c>
      <c r="B7651" t="inlineStr">
        <is>
          <t>RENTOKIL INITIAL PLC /FI</t>
        </is>
      </c>
      <c r="C7651" t="inlineStr">
        <is>
          <t>OTC</t>
        </is>
      </c>
      <c r="D7651" t="n">
        <v>930157</v>
      </c>
      <c r="E7651" t="inlineStr">
        <is>
          <t>SEC</t>
        </is>
      </c>
    </row>
    <row r="7652">
      <c r="A7652" s="5">
        <f>HYPERLINK("https://finance.yahoo.com/quote/SVYSF","SVYSF")</f>
        <v/>
      </c>
      <c r="B7652" t="inlineStr">
        <is>
          <t>SOLVAY S A /ADR/</t>
        </is>
      </c>
      <c r="C7652" t="inlineStr">
        <is>
          <t>OTC</t>
        </is>
      </c>
      <c r="D7652" t="n">
        <v>930826</v>
      </c>
      <c r="E7652" t="inlineStr">
        <is>
          <t>SEC</t>
        </is>
      </c>
    </row>
    <row r="7653">
      <c r="A7653" s="5">
        <f>HYPERLINK("https://finance.yahoo.com/quote/GELYF","GELYF")</f>
        <v/>
      </c>
      <c r="B7653" t="inlineStr">
        <is>
          <t>Geely Automobile Holdings Limited/ADR</t>
        </is>
      </c>
      <c r="C7653" t="inlineStr">
        <is>
          <t>OTC</t>
        </is>
      </c>
      <c r="D7653" t="n">
        <v>1474968</v>
      </c>
      <c r="E7653" t="inlineStr">
        <is>
          <t>SEC</t>
        </is>
      </c>
    </row>
    <row r="7654">
      <c r="A7654" s="5">
        <f>HYPERLINK("https://finance.yahoo.com/quote/NMPGY","NMPGY")</f>
        <v/>
      </c>
      <c r="B7654" t="inlineStr">
        <is>
          <t>Navios Maritime Holdings Inc.</t>
        </is>
      </c>
      <c r="C7654" t="inlineStr">
        <is>
          <t>OTC</t>
        </is>
      </c>
      <c r="D7654" t="n">
        <v>1333172</v>
      </c>
      <c r="E7654" t="inlineStr">
        <is>
          <t>SEC</t>
        </is>
      </c>
    </row>
    <row r="7655">
      <c r="A7655" s="5">
        <f>HYPERLINK("https://finance.yahoo.com/quote/WSO-B","WSO-B")</f>
        <v/>
      </c>
      <c r="B7655" t="inlineStr">
        <is>
          <t>WATSCO INC</t>
        </is>
      </c>
      <c r="C7655" t="inlineStr">
        <is>
          <t>NYSE</t>
        </is>
      </c>
      <c r="D7655" t="n">
        <v>105016</v>
      </c>
      <c r="E7655" t="inlineStr">
        <is>
          <t>SEC</t>
        </is>
      </c>
    </row>
    <row r="7656">
      <c r="A7656" s="5">
        <f>HYPERLINK("https://finance.yahoo.com/quote/FMCQF","FMCQF")</f>
        <v/>
      </c>
      <c r="B7656" t="inlineStr">
        <is>
          <t>Fresenius Medical Care AG</t>
        </is>
      </c>
      <c r="C7656" t="inlineStr">
        <is>
          <t>OTC</t>
        </is>
      </c>
      <c r="D7656" t="n">
        <v>1333141</v>
      </c>
      <c r="E7656" t="inlineStr">
        <is>
          <t>SEC</t>
        </is>
      </c>
    </row>
    <row r="7657">
      <c r="A7657" s="5">
        <f>HYPERLINK("https://finance.yahoo.com/quote/RF-PC","RF-PC")</f>
        <v/>
      </c>
      <c r="B7657" t="inlineStr">
        <is>
          <t>REGIONS FINANCIAL CORP</t>
        </is>
      </c>
      <c r="C7657" t="inlineStr">
        <is>
          <t>NYSE</t>
        </is>
      </c>
      <c r="D7657" t="n">
        <v>1281761</v>
      </c>
      <c r="E7657" t="inlineStr">
        <is>
          <t>SEC</t>
        </is>
      </c>
    </row>
    <row r="7658">
      <c r="A7658" s="5">
        <f>HYPERLINK("https://finance.yahoo.com/quote/SNNUF","SNNUF")</f>
        <v/>
      </c>
      <c r="B7658" t="inlineStr">
        <is>
          <t>SMITH &amp; NEPHEW PLC</t>
        </is>
      </c>
      <c r="C7658" t="inlineStr">
        <is>
          <t>OTC</t>
        </is>
      </c>
      <c r="D7658" t="n">
        <v>845982</v>
      </c>
      <c r="E7658" t="inlineStr">
        <is>
          <t>SEC</t>
        </is>
      </c>
    </row>
    <row r="7659">
      <c r="A7659" s="5">
        <f>HYPERLINK("https://finance.yahoo.com/quote/SHECF","SHECF")</f>
        <v/>
      </c>
      <c r="B7659" t="inlineStr">
        <is>
          <t>Shin-Etsu Chemical Co., Ltd.</t>
        </is>
      </c>
      <c r="C7659" t="inlineStr">
        <is>
          <t>OTC</t>
        </is>
      </c>
      <c r="D7659" t="n">
        <v>1442651</v>
      </c>
      <c r="E7659" t="inlineStr">
        <is>
          <t>SEC</t>
        </is>
      </c>
    </row>
    <row r="7660">
      <c r="A7660" s="5">
        <f>HYPERLINK("https://finance.yahoo.com/quote/ALMMF","ALMMF")</f>
        <v/>
      </c>
      <c r="B7660" t="inlineStr">
        <is>
          <t>ALUMINUM CORP OF CHINA LTD</t>
        </is>
      </c>
      <c r="C7660" t="inlineStr">
        <is>
          <t>OTC</t>
        </is>
      </c>
      <c r="D7660" t="n">
        <v>1161611</v>
      </c>
      <c r="E7660" t="inlineStr">
        <is>
          <t>SEC</t>
        </is>
      </c>
    </row>
    <row r="7661">
      <c r="A7661" s="5">
        <f>HYPERLINK("https://finance.yahoo.com/quote/ERRAF","ERRAF")</f>
        <v/>
      </c>
      <c r="B7661" t="inlineStr">
        <is>
          <t>EMERA INC</t>
        </is>
      </c>
      <c r="C7661" t="inlineStr">
        <is>
          <t>OTC</t>
        </is>
      </c>
      <c r="D7661" t="n">
        <v>1127248</v>
      </c>
      <c r="E7661" t="inlineStr">
        <is>
          <t>SEC</t>
        </is>
      </c>
    </row>
    <row r="7662">
      <c r="A7662" s="5">
        <f>HYPERLINK("https://finance.yahoo.com/quote/YMHAY","YMHAY")</f>
        <v/>
      </c>
      <c r="B7662" t="inlineStr">
        <is>
          <t>Yamaha Motor Co., Ltd.</t>
        </is>
      </c>
      <c r="C7662" t="inlineStr">
        <is>
          <t>OTC</t>
        </is>
      </c>
      <c r="D7662" t="n">
        <v>1447100</v>
      </c>
      <c r="E7662" t="inlineStr">
        <is>
          <t>SEC</t>
        </is>
      </c>
    </row>
    <row r="7663">
      <c r="A7663" s="5">
        <f>HYPERLINK("https://finance.yahoo.com/quote/PIRBF","PIRBF")</f>
        <v/>
      </c>
      <c r="B7663" t="inlineStr">
        <is>
          <t>Piraeus Bank S.A.</t>
        </is>
      </c>
      <c r="C7663" t="inlineStr">
        <is>
          <t>OTC</t>
        </is>
      </c>
      <c r="D7663" t="n">
        <v>1437441</v>
      </c>
      <c r="E7663" t="inlineStr">
        <is>
          <t>SEC</t>
        </is>
      </c>
    </row>
    <row r="7664">
      <c r="A7664" s="5">
        <f>HYPERLINK("https://finance.yahoo.com/quote/UHAL-B","UHAL-B")</f>
        <v/>
      </c>
      <c r="B7664" t="inlineStr">
        <is>
          <t>U-Haul Holding Co /NV/</t>
        </is>
      </c>
      <c r="C7664" t="inlineStr">
        <is>
          <t>NYSE</t>
        </is>
      </c>
      <c r="D7664" t="n">
        <v>4457</v>
      </c>
      <c r="E7664" t="inlineStr">
        <is>
          <t>SEC</t>
        </is>
      </c>
    </row>
    <row r="7665">
      <c r="A7665" s="5">
        <f>HYPERLINK("https://finance.yahoo.com/quote/SBYSF","SBYSF")</f>
        <v/>
      </c>
      <c r="B7665" t="inlineStr">
        <is>
          <t>Sibanye Stillwater Ltd</t>
        </is>
      </c>
      <c r="C7665" t="inlineStr">
        <is>
          <t>OTC</t>
        </is>
      </c>
      <c r="D7665" t="n">
        <v>1786909</v>
      </c>
      <c r="E7665" t="inlineStr">
        <is>
          <t>SEC</t>
        </is>
      </c>
    </row>
    <row r="7666">
      <c r="A7666" s="5">
        <f>HYPERLINK("https://finance.yahoo.com/quote/DQJCF","DQJCF")</f>
        <v/>
      </c>
      <c r="B7666" t="inlineStr">
        <is>
          <t>Don Quijote Holdings Co Ltd</t>
        </is>
      </c>
      <c r="C7666" t="inlineStr">
        <is>
          <t>OTC</t>
        </is>
      </c>
      <c r="D7666" t="n">
        <v>1446597</v>
      </c>
      <c r="E7666" t="inlineStr">
        <is>
          <t>SEC</t>
        </is>
      </c>
    </row>
    <row r="7667">
      <c r="A7667" s="5">
        <f>HYPERLINK("https://finance.yahoo.com/quote/PBNNF","PBNNF")</f>
        <v/>
      </c>
      <c r="B7667" t="inlineStr">
        <is>
          <t>PT Bank Negara Indonesia (Persero) Tbk/ADR</t>
        </is>
      </c>
      <c r="C7667" t="inlineStr">
        <is>
          <t>OTC</t>
        </is>
      </c>
      <c r="D7667" t="n">
        <v>1504122</v>
      </c>
      <c r="E7667" t="inlineStr">
        <is>
          <t>SEC</t>
        </is>
      </c>
    </row>
    <row r="7668">
      <c r="A7668" s="5">
        <f>HYPERLINK("https://finance.yahoo.com/quote/WPPGF","WPPGF")</f>
        <v/>
      </c>
      <c r="B7668" t="inlineStr">
        <is>
          <t>WPP plc</t>
        </is>
      </c>
      <c r="C7668" t="inlineStr">
        <is>
          <t>OTC</t>
        </is>
      </c>
      <c r="D7668" t="n">
        <v>806968</v>
      </c>
      <c r="E7668" t="inlineStr">
        <is>
          <t>SEC</t>
        </is>
      </c>
    </row>
    <row r="7669">
      <c r="A7669" s="5">
        <f>HYPERLINK("https://finance.yahoo.com/quote/PRYMF","PRYMF")</f>
        <v/>
      </c>
      <c r="B7669" t="inlineStr">
        <is>
          <t>Prysmian S.p.A.</t>
        </is>
      </c>
      <c r="C7669" t="inlineStr">
        <is>
          <t>OTC</t>
        </is>
      </c>
      <c r="D7669" t="n">
        <v>1437672</v>
      </c>
      <c r="E7669" t="inlineStr">
        <is>
          <t>SEC</t>
        </is>
      </c>
    </row>
    <row r="7670">
      <c r="A7670" s="5">
        <f>HYPERLINK("https://finance.yahoo.com/quote/BRZL","BRZL")</f>
        <v/>
      </c>
      <c r="B7670" t="inlineStr">
        <is>
          <t>BANK OF MONTREAL /CAN/</t>
        </is>
      </c>
      <c r="C7670" t="inlineStr">
        <is>
          <t>CBOE</t>
        </is>
      </c>
      <c r="D7670" t="n">
        <v>927971</v>
      </c>
      <c r="E7670" t="inlineStr">
        <is>
          <t>SEC</t>
        </is>
      </c>
    </row>
    <row r="7671">
      <c r="A7671" s="5">
        <f>HYPERLINK("https://finance.yahoo.com/quote/AOMFF","AOMFF")</f>
        <v/>
      </c>
      <c r="B7671" t="inlineStr">
        <is>
          <t>ALSTOM</t>
        </is>
      </c>
      <c r="C7671" t="inlineStr">
        <is>
          <t>OTC</t>
        </is>
      </c>
      <c r="D7671" t="n">
        <v>1062066</v>
      </c>
      <c r="E7671" t="inlineStr">
        <is>
          <t>SEC</t>
        </is>
      </c>
    </row>
    <row r="7672">
      <c r="A7672" s="5">
        <f>HYPERLINK("https://finance.yahoo.com/quote/GPAEF","GPAEF")</f>
        <v/>
      </c>
      <c r="B7672" t="inlineStr">
        <is>
          <t>Pacific Airport Group</t>
        </is>
      </c>
      <c r="C7672" t="inlineStr">
        <is>
          <t>OTC</t>
        </is>
      </c>
      <c r="D7672" t="n">
        <v>1347557</v>
      </c>
      <c r="E7672" t="inlineStr">
        <is>
          <t>SEC</t>
        </is>
      </c>
    </row>
    <row r="7673">
      <c r="A7673" s="5">
        <f>HYPERLINK("https://finance.yahoo.com/quote/MNBEF","MNBEF")</f>
        <v/>
      </c>
      <c r="B7673" t="inlineStr">
        <is>
          <t>MINEBEA MITSUMI Inc.</t>
        </is>
      </c>
      <c r="C7673" t="inlineStr">
        <is>
          <t>OTC</t>
        </is>
      </c>
      <c r="D7673" t="n">
        <v>1034983</v>
      </c>
      <c r="E7673" t="inlineStr">
        <is>
          <t>SEC</t>
        </is>
      </c>
    </row>
    <row r="7674">
      <c r="A7674" s="5">
        <f>HYPERLINK("https://finance.yahoo.com/quote/AEGOF","AEGOF")</f>
        <v/>
      </c>
      <c r="B7674" t="inlineStr">
        <is>
          <t>AEGON LTD.</t>
        </is>
      </c>
      <c r="C7674" t="inlineStr">
        <is>
          <t>OTC</t>
        </is>
      </c>
      <c r="D7674" t="n">
        <v>769218</v>
      </c>
      <c r="E7674" t="inlineStr">
        <is>
          <t>SEC</t>
        </is>
      </c>
    </row>
    <row r="7675">
      <c r="A7675" s="5">
        <f>HYPERLINK("https://finance.yahoo.com/quote/FREJO","FREJO")</f>
        <v/>
      </c>
      <c r="B7675" t="inlineStr">
        <is>
          <t>FEDERAL HOME LOAN MORTGAGE CORP</t>
        </is>
      </c>
      <c r="C7675" t="inlineStr">
        <is>
          <t>OTC</t>
        </is>
      </c>
      <c r="D7675" t="n">
        <v>1026214</v>
      </c>
      <c r="E7675" t="inlineStr">
        <is>
          <t>SEC</t>
        </is>
      </c>
    </row>
    <row r="7676">
      <c r="A7676" s="5">
        <f>HYPERLINK("https://finance.yahoo.com/quote/SMTOF","SMTOF")</f>
        <v/>
      </c>
      <c r="B7676" t="inlineStr">
        <is>
          <t>SUMITOMO ELECTRIC INDUSTRIES LTD/ADR/</t>
        </is>
      </c>
      <c r="C7676" t="inlineStr">
        <is>
          <t>OTC</t>
        </is>
      </c>
      <c r="D7676" t="n">
        <v>95227</v>
      </c>
      <c r="E7676" t="inlineStr">
        <is>
          <t>SEC</t>
        </is>
      </c>
    </row>
    <row r="7677">
      <c r="A7677" s="5">
        <f>HYPERLINK("https://finance.yahoo.com/quote/YAMHF","YAMHF")</f>
        <v/>
      </c>
      <c r="B7677" t="inlineStr">
        <is>
          <t>Yamaha Motor Co., Ltd.</t>
        </is>
      </c>
      <c r="C7677" t="inlineStr">
        <is>
          <t>OTC</t>
        </is>
      </c>
      <c r="D7677" t="n">
        <v>1447100</v>
      </c>
      <c r="E7677" t="inlineStr">
        <is>
          <t>SEC</t>
        </is>
      </c>
    </row>
    <row r="7678">
      <c r="A7678" s="5">
        <f>HYPERLINK("https://finance.yahoo.com/quote/CIG-C","CIG-C")</f>
        <v/>
      </c>
      <c r="B7678" t="inlineStr">
        <is>
          <t>ENERGY CO OF MINAS GERAIS</t>
        </is>
      </c>
      <c r="C7678" t="inlineStr">
        <is>
          <t>NYSE</t>
        </is>
      </c>
      <c r="D7678" t="n">
        <v>1157557</v>
      </c>
      <c r="E7678" t="inlineStr">
        <is>
          <t>SEC</t>
        </is>
      </c>
    </row>
    <row r="7679">
      <c r="A7679" s="5">
        <f>HYPERLINK("https://finance.yahoo.com/quote/GLIBB","GLIBB")</f>
        <v/>
      </c>
      <c r="B7679" t="inlineStr">
        <is>
          <t>Liberty Capital Corp/NV</t>
        </is>
      </c>
      <c r="C7679" t="inlineStr">
        <is>
          <t>OTC</t>
        </is>
      </c>
      <c r="D7679" t="n">
        <v>2057463</v>
      </c>
      <c r="E7679" t="inlineStr">
        <is>
          <t>SEC</t>
        </is>
      </c>
    </row>
    <row r="7680">
      <c r="A7680" s="5">
        <f>HYPERLINK("https://finance.yahoo.com/quote/ASRMF","ASRMF")</f>
        <v/>
      </c>
      <c r="B7680" t="inlineStr">
        <is>
          <t>SOUTHEAST AIRPORT GROUP</t>
        </is>
      </c>
      <c r="C7680" t="inlineStr">
        <is>
          <t>OTC</t>
        </is>
      </c>
      <c r="D7680" t="n">
        <v>1123452</v>
      </c>
      <c r="E7680" t="inlineStr">
        <is>
          <t>SEC</t>
        </is>
      </c>
    </row>
    <row r="7681">
      <c r="A7681" s="5">
        <f>HYPERLINK("https://finance.yahoo.com/quote/SBMFF","SBMFF")</f>
        <v/>
      </c>
      <c r="B7681" t="inlineStr">
        <is>
          <t>Sino Biopharmaceutical Limited/ADR</t>
        </is>
      </c>
      <c r="C7681" t="inlineStr">
        <is>
          <t>OTC</t>
        </is>
      </c>
      <c r="D7681" t="n">
        <v>1604982</v>
      </c>
      <c r="E7681" t="inlineStr">
        <is>
          <t>SEC</t>
        </is>
      </c>
    </row>
    <row r="7682">
      <c r="A7682" s="5">
        <f>HYPERLINK("https://finance.yahoo.com/quote/LBTYB","LBTYB")</f>
        <v/>
      </c>
      <c r="B7682" t="inlineStr">
        <is>
          <t>Liberty Global Ltd.</t>
        </is>
      </c>
      <c r="C7682" t="inlineStr">
        <is>
          <t>Nasdaq</t>
        </is>
      </c>
      <c r="D7682" t="n">
        <v>1570585</v>
      </c>
      <c r="E7682" t="inlineStr">
        <is>
          <t>SEC</t>
        </is>
      </c>
    </row>
    <row r="7683">
      <c r="A7683" s="5">
        <f>HYPERLINK("https://finance.yahoo.com/quote/UEPCN","UEPCN")</f>
        <v/>
      </c>
      <c r="B7683" t="inlineStr">
        <is>
          <t>UNION ELECTRIC CO</t>
        </is>
      </c>
      <c r="C7683" t="inlineStr">
        <is>
          <t>OTC</t>
        </is>
      </c>
      <c r="D7683" t="n">
        <v>100826</v>
      </c>
      <c r="E7683" t="inlineStr">
        <is>
          <t>SEC</t>
        </is>
      </c>
    </row>
    <row r="7684">
      <c r="A7684" s="5">
        <f>HYPERLINK("https://finance.yahoo.com/quote/CXMSF","CXMSF")</f>
        <v/>
      </c>
      <c r="B7684" t="inlineStr">
        <is>
          <t>CEMEX SAB DE CV</t>
        </is>
      </c>
      <c r="C7684" t="inlineStr">
        <is>
          <t>OTC</t>
        </is>
      </c>
      <c r="D7684" t="n">
        <v>1076378</v>
      </c>
      <c r="E7684" t="inlineStr">
        <is>
          <t>SEC</t>
        </is>
      </c>
    </row>
    <row r="7685">
      <c r="A7685" s="5">
        <f>HYPERLINK("https://finance.yahoo.com/quote/SAPIF","SAPIF")</f>
        <v/>
      </c>
      <c r="B7685" t="inlineStr">
        <is>
          <t>Saputo Inc./ADR</t>
        </is>
      </c>
      <c r="C7685" t="inlineStr">
        <is>
          <t>OTC</t>
        </is>
      </c>
      <c r="D7685" t="n">
        <v>2072563</v>
      </c>
      <c r="E7685" t="inlineStr">
        <is>
          <t>SEC</t>
        </is>
      </c>
    </row>
    <row r="7686">
      <c r="A7686" s="5">
        <f>HYPERLINK("https://finance.yahoo.com/quote/DINRF","DINRF")</f>
        <v/>
      </c>
      <c r="B7686" t="inlineStr">
        <is>
          <t>SCREEN Holdings Co., Ltd./ADR</t>
        </is>
      </c>
      <c r="C7686" t="inlineStr">
        <is>
          <t>OTC</t>
        </is>
      </c>
      <c r="D7686" t="n">
        <v>1544379</v>
      </c>
      <c r="E7686" t="inlineStr">
        <is>
          <t>SEC</t>
        </is>
      </c>
    </row>
    <row r="7687">
      <c r="A7687" s="5">
        <f>HYPERLINK("https://finance.yahoo.com/quote/PSORF","PSORF")</f>
        <v/>
      </c>
      <c r="B7687" t="inlineStr">
        <is>
          <t>PEARSON PLC</t>
        </is>
      </c>
      <c r="C7687" t="inlineStr">
        <is>
          <t>OTC</t>
        </is>
      </c>
      <c r="D7687" t="n">
        <v>938323</v>
      </c>
      <c r="E7687" t="inlineStr">
        <is>
          <t>SEC</t>
        </is>
      </c>
    </row>
    <row r="7688">
      <c r="A7688" s="5">
        <f>HYPERLINK("https://finance.yahoo.com/quote/UEPEO","UEPEO")</f>
        <v/>
      </c>
      <c r="B7688" t="inlineStr">
        <is>
          <t>UNION ELECTRIC CO</t>
        </is>
      </c>
      <c r="C7688" t="inlineStr">
        <is>
          <t>OTC</t>
        </is>
      </c>
      <c r="D7688" t="n">
        <v>100826</v>
      </c>
      <c r="E7688" t="inlineStr">
        <is>
          <t>SEC</t>
        </is>
      </c>
    </row>
    <row r="7689">
      <c r="A7689" s="5">
        <f>HYPERLINK("https://finance.yahoo.com/quote/UEPEP","UEPEP")</f>
        <v/>
      </c>
      <c r="B7689" t="inlineStr">
        <is>
          <t>UNION ELECTRIC CO</t>
        </is>
      </c>
      <c r="C7689" t="inlineStr">
        <is>
          <t>OTC</t>
        </is>
      </c>
      <c r="D7689" t="n">
        <v>100826</v>
      </c>
      <c r="E7689" t="inlineStr">
        <is>
          <t>SEC</t>
        </is>
      </c>
    </row>
    <row r="7690">
      <c r="A7690" s="5">
        <f>HYPERLINK("https://finance.yahoo.com/quote/PSNYW","PSNYW")</f>
        <v/>
      </c>
      <c r="B7690" t="inlineStr">
        <is>
          <t>Polestar Automotive Holding UK PLC</t>
        </is>
      </c>
      <c r="C7690" t="inlineStr">
        <is>
          <t>Nasdaq</t>
        </is>
      </c>
      <c r="D7690" t="n">
        <v>1884082</v>
      </c>
      <c r="E7690" t="inlineStr">
        <is>
          <t>SEC</t>
        </is>
      </c>
    </row>
    <row r="7691">
      <c r="A7691" s="5">
        <f>HYPERLINK("https://finance.yahoo.com/quote/SASOF","SASOF")</f>
        <v/>
      </c>
      <c r="B7691" t="inlineStr">
        <is>
          <t>SASOL LTD</t>
        </is>
      </c>
      <c r="C7691" t="inlineStr">
        <is>
          <t>OTC</t>
        </is>
      </c>
      <c r="D7691" t="n">
        <v>314590</v>
      </c>
      <c r="E7691" t="inlineStr">
        <is>
          <t>SEC</t>
        </is>
      </c>
    </row>
    <row r="7692">
      <c r="A7692" s="5">
        <f>HYPERLINK("https://finance.yahoo.com/quote/VNORP","VNORP")</f>
        <v/>
      </c>
      <c r="B7692" t="inlineStr">
        <is>
          <t>VORNADO REALTY TRUST</t>
        </is>
      </c>
      <c r="C7692" t="inlineStr">
        <is>
          <t>OTC</t>
        </is>
      </c>
      <c r="D7692" t="n">
        <v>899689</v>
      </c>
      <c r="E7692" t="inlineStr">
        <is>
          <t>SEC</t>
        </is>
      </c>
    </row>
    <row r="7693">
      <c r="A7693" s="5">
        <f>HYPERLINK("https://finance.yahoo.com/quote/NWOEF","NWOEF")</f>
        <v/>
      </c>
      <c r="B7693" t="inlineStr">
        <is>
          <t>New Oriental Education &amp; Technology Group Inc.</t>
        </is>
      </c>
      <c r="C7693" t="inlineStr">
        <is>
          <t>OTC</t>
        </is>
      </c>
      <c r="D7693" t="n">
        <v>1372920</v>
      </c>
      <c r="E7693" t="inlineStr">
        <is>
          <t>SEC</t>
        </is>
      </c>
    </row>
    <row r="7694">
      <c r="A7694" s="5">
        <f>HYPERLINK("https://finance.yahoo.com/quote/CLUS","CLUS")</f>
        <v/>
      </c>
      <c r="B7694" t="inlineStr">
        <is>
          <t>Cluster Group Holdings Ltd Co</t>
        </is>
      </c>
      <c r="C7694" t="inlineStr">
        <is>
          <t>OTC</t>
        </is>
      </c>
      <c r="D7694" t="n">
        <v>1346287</v>
      </c>
      <c r="E7694" t="inlineStr">
        <is>
          <t>SEC</t>
        </is>
      </c>
    </row>
    <row r="7695">
      <c r="A7695" s="5">
        <f>HYPERLINK("https://finance.yahoo.com/quote/VNO-PL","VNO-PL")</f>
        <v/>
      </c>
      <c r="B7695" t="inlineStr">
        <is>
          <t>VORNADO REALTY TRUST</t>
        </is>
      </c>
      <c r="C7695" t="inlineStr">
        <is>
          <t>NYSE</t>
        </is>
      </c>
      <c r="D7695" t="n">
        <v>899689</v>
      </c>
      <c r="E7695" t="inlineStr">
        <is>
          <t>SEC</t>
        </is>
      </c>
    </row>
    <row r="7696">
      <c r="A7696" s="5">
        <f>HYPERLINK("https://finance.yahoo.com/quote/UEPCP","UEPCP")</f>
        <v/>
      </c>
      <c r="B7696" t="inlineStr">
        <is>
          <t>UNION ELECTRIC CO</t>
        </is>
      </c>
      <c r="C7696" t="inlineStr">
        <is>
          <t>OTC</t>
        </is>
      </c>
      <c r="D7696" t="n">
        <v>100826</v>
      </c>
      <c r="E7696" t="inlineStr">
        <is>
          <t>SEC</t>
        </is>
      </c>
    </row>
    <row r="7697">
      <c r="A7697" s="5">
        <f>HYPERLINK("https://finance.yahoo.com/quote/VNO-PM","VNO-PM")</f>
        <v/>
      </c>
      <c r="B7697" t="inlineStr">
        <is>
          <t>VORNADO REALTY TRUST</t>
        </is>
      </c>
      <c r="C7697" t="inlineStr">
        <is>
          <t>NYSE</t>
        </is>
      </c>
      <c r="D7697" t="n">
        <v>899689</v>
      </c>
      <c r="E7697" t="inlineStr">
        <is>
          <t>SEC</t>
        </is>
      </c>
    </row>
    <row r="7698">
      <c r="A7698" s="5">
        <f>HYPERLINK("https://finance.yahoo.com/quote/UNBLF","UNBLF")</f>
        <v/>
      </c>
      <c r="B7698" t="inlineStr">
        <is>
          <t>Unibail-Rodamco SE/ADR</t>
        </is>
      </c>
      <c r="C7698" t="inlineStr">
        <is>
          <t>OTC</t>
        </is>
      </c>
      <c r="D7698" t="n">
        <v>1453932</v>
      </c>
      <c r="E7698" t="inlineStr">
        <is>
          <t>SEC</t>
        </is>
      </c>
    </row>
    <row r="7699">
      <c r="A7699" s="5">
        <f>HYPERLINK("https://finance.yahoo.com/quote/TAP-A","TAP-A")</f>
        <v/>
      </c>
      <c r="B7699" t="inlineStr">
        <is>
          <t>MOLSON COORS BEVERAGE CO</t>
        </is>
      </c>
      <c r="C7699" t="inlineStr">
        <is>
          <t>NYSE</t>
        </is>
      </c>
      <c r="D7699" t="n">
        <v>24545</v>
      </c>
      <c r="E7699" t="inlineStr">
        <is>
          <t>SEC</t>
        </is>
      </c>
    </row>
    <row r="7700">
      <c r="A7700" s="5">
        <f>HYPERLINK("https://finance.yahoo.com/quote/UEPEN","UEPEN")</f>
        <v/>
      </c>
      <c r="B7700" t="inlineStr">
        <is>
          <t>UNION ELECTRIC CO</t>
        </is>
      </c>
      <c r="C7700" t="inlineStr">
        <is>
          <t>OTC</t>
        </is>
      </c>
      <c r="D7700" t="n">
        <v>100826</v>
      </c>
      <c r="E7700" t="inlineStr">
        <is>
          <t>SEC</t>
        </is>
      </c>
    </row>
    <row r="7701">
      <c r="A7701" s="5">
        <f>HYPERLINK("https://finance.yahoo.com/quote/ACA","ACA")</f>
        <v/>
      </c>
      <c r="B7701" t="inlineStr">
        <is>
          <t>Arcosa, Inc.</t>
        </is>
      </c>
      <c r="C7701" t="inlineStr">
        <is>
          <t>NYSE</t>
        </is>
      </c>
      <c r="D7701" t="n">
        <v>1739445</v>
      </c>
      <c r="E7701" t="inlineStr">
        <is>
          <t>SEC</t>
        </is>
      </c>
    </row>
    <row r="7702">
      <c r="A7702" s="5">
        <f>HYPERLINK("https://finance.yahoo.com/quote/BLBLF","BLBLF")</f>
        <v/>
      </c>
      <c r="B7702" t="inlineStr">
        <is>
          <t>Bilibili Inc.</t>
        </is>
      </c>
      <c r="C7702" t="inlineStr">
        <is>
          <t>OTC</t>
        </is>
      </c>
      <c r="D7702" t="n">
        <v>1723690</v>
      </c>
      <c r="E7702" t="inlineStr">
        <is>
          <t>SEC</t>
        </is>
      </c>
    </row>
    <row r="7703">
      <c r="A7703" s="5">
        <f>HYPERLINK("https://finance.yahoo.com/quote/VOYA-PB","VOYA-PB")</f>
        <v/>
      </c>
      <c r="B7703" t="inlineStr">
        <is>
          <t>Voya Financial, Inc.</t>
        </is>
      </c>
      <c r="C7703" t="inlineStr">
        <is>
          <t>NYSE</t>
        </is>
      </c>
      <c r="D7703" t="n">
        <v>1535929</v>
      </c>
      <c r="E7703" t="inlineStr">
        <is>
          <t>SEC</t>
        </is>
      </c>
    </row>
    <row r="7704">
      <c r="A7704" s="5">
        <f>HYPERLINK("https://finance.yahoo.com/quote/XZJCF","XZJCF")</f>
        <v/>
      </c>
      <c r="B7704" t="inlineStr">
        <is>
          <t>Mitsui Kinzoku Co Ltd./ADR</t>
        </is>
      </c>
      <c r="C7704" t="inlineStr">
        <is>
          <t>OTC</t>
        </is>
      </c>
      <c r="D7704" t="n">
        <v>1562805</v>
      </c>
      <c r="E7704" t="inlineStr">
        <is>
          <t>SEC</t>
        </is>
      </c>
    </row>
    <row r="7705">
      <c r="A7705" s="5">
        <f>HYPERLINK("https://finance.yahoo.com/quote/GIFLF","GIFLF")</f>
        <v/>
      </c>
      <c r="B7705" t="inlineStr">
        <is>
          <t>Grifols SA</t>
        </is>
      </c>
      <c r="C7705" t="inlineStr">
        <is>
          <t>OTC</t>
        </is>
      </c>
      <c r="D7705" t="n">
        <v>1438569</v>
      </c>
      <c r="E7705" t="inlineStr">
        <is>
          <t>SEC</t>
        </is>
      </c>
    </row>
    <row r="7706">
      <c r="A7706" s="5">
        <f>HYPERLINK("https://finance.yahoo.com/quote/TYOYY","TYOYY")</f>
        <v/>
      </c>
      <c r="B7706" t="inlineStr">
        <is>
          <t>TAIYO YUDEN CO LTD /ADR/</t>
        </is>
      </c>
      <c r="C7706" t="inlineStr">
        <is>
          <t>OTC</t>
        </is>
      </c>
      <c r="D7706" t="n">
        <v>354516</v>
      </c>
      <c r="E7706" t="inlineStr">
        <is>
          <t>SEC</t>
        </is>
      </c>
    </row>
    <row r="7707">
      <c r="A7707" s="5">
        <f>HYPERLINK("https://finance.yahoo.com/quote/KOSCF","KOSCF")</f>
        <v/>
      </c>
      <c r="B7707" t="inlineStr">
        <is>
          <t>Kose Corporation/ADR</t>
        </is>
      </c>
      <c r="C7707" t="inlineStr">
        <is>
          <t>OTC</t>
        </is>
      </c>
      <c r="D7707" t="n">
        <v>1668501</v>
      </c>
      <c r="E7707" t="inlineStr">
        <is>
          <t>SEC</t>
        </is>
      </c>
    </row>
    <row r="7708">
      <c r="A7708" s="5">
        <f>HYPERLINK("https://finance.yahoo.com/quote/PADEF","PADEF")</f>
        <v/>
      </c>
      <c r="B7708" t="inlineStr">
        <is>
          <t>Adaro Energy PT/ADR/</t>
        </is>
      </c>
      <c r="C7708" t="inlineStr">
        <is>
          <t>OTC</t>
        </is>
      </c>
      <c r="D7708" t="n">
        <v>1489079</v>
      </c>
      <c r="E7708" t="inlineStr">
        <is>
          <t>SEC</t>
        </is>
      </c>
    </row>
    <row r="7709">
      <c r="A7709" s="5">
        <f>HYPERLINK("https://finance.yahoo.com/quote/GIFOF","GIFOF")</f>
        <v/>
      </c>
      <c r="B7709" t="inlineStr">
        <is>
          <t>Grifols SA</t>
        </is>
      </c>
      <c r="C7709" t="inlineStr">
        <is>
          <t>OTC</t>
        </is>
      </c>
      <c r="D7709" t="n">
        <v>1438569</v>
      </c>
      <c r="E7709" t="inlineStr">
        <is>
          <t>SEC</t>
        </is>
      </c>
    </row>
    <row r="7710">
      <c r="A7710" s="5">
        <f>HYPERLINK("https://finance.yahoo.com/quote/MSUXF","MSUXF")</f>
        <v/>
      </c>
      <c r="B7710" t="inlineStr">
        <is>
          <t>Misumi Group Inc./ADR</t>
        </is>
      </c>
      <c r="C7710" t="inlineStr">
        <is>
          <t>OTC</t>
        </is>
      </c>
      <c r="D7710" t="n">
        <v>1710864</v>
      </c>
      <c r="E7710" t="inlineStr">
        <is>
          <t>SEC</t>
        </is>
      </c>
    </row>
    <row r="7711">
      <c r="A7711" s="5">
        <f>HYPERLINK("https://finance.yahoo.com/quote/ATDRF","ATDRF")</f>
        <v/>
      </c>
      <c r="B7711" t="inlineStr">
        <is>
          <t>Auto Trader Group plc/ADR</t>
        </is>
      </c>
      <c r="C7711" t="inlineStr">
        <is>
          <t>OTC</t>
        </is>
      </c>
      <c r="D7711" t="n">
        <v>1647435</v>
      </c>
      <c r="E7711" t="inlineStr">
        <is>
          <t>SEC</t>
        </is>
      </c>
    </row>
    <row r="7712">
      <c r="A7712" s="5">
        <f>HYPERLINK("https://finance.yahoo.com/quote/JCYGY","JCYGY")</f>
        <v/>
      </c>
      <c r="B7712" t="inlineStr">
        <is>
          <t>Jardine Matheson Southeast Asia Limited/ADR</t>
        </is>
      </c>
      <c r="C7712" t="inlineStr">
        <is>
          <t>OTC</t>
        </is>
      </c>
      <c r="D7712" t="n">
        <v>1289688</v>
      </c>
      <c r="E7712" t="inlineStr">
        <is>
          <t>SEC</t>
        </is>
      </c>
    </row>
    <row r="7713">
      <c r="A7713" s="5">
        <f>HYPERLINK("https://finance.yahoo.com/quote/JCYCF","JCYCF")</f>
        <v/>
      </c>
      <c r="B7713" t="inlineStr">
        <is>
          <t>Jardine Matheson Southeast Asia Limited/ADR</t>
        </is>
      </c>
      <c r="C7713" t="inlineStr">
        <is>
          <t>OTC</t>
        </is>
      </c>
      <c r="D7713" t="n">
        <v>1289688</v>
      </c>
      <c r="E7713" t="inlineStr">
        <is>
          <t>SEC</t>
        </is>
      </c>
    </row>
    <row r="7714">
      <c r="A7714" s="5">
        <f>HYPERLINK("https://finance.yahoo.com/quote/OTGLY","OTGLY")</f>
        <v/>
      </c>
      <c r="B7714" t="inlineStr">
        <is>
          <t>CD Projekt S.A./ADR</t>
        </is>
      </c>
      <c r="C7714" t="inlineStr">
        <is>
          <t>OTC</t>
        </is>
      </c>
      <c r="D7714" t="n">
        <v>1788235</v>
      </c>
      <c r="E7714" t="inlineStr">
        <is>
          <t>SEC</t>
        </is>
      </c>
    </row>
    <row r="7715">
      <c r="A7715" s="5">
        <f>HYPERLINK("https://finance.yahoo.com/quote/DSECF","DSECF")</f>
        <v/>
      </c>
      <c r="B7715" t="inlineStr">
        <is>
          <t>Daiwa Securities Group Inc.</t>
        </is>
      </c>
      <c r="C7715" t="inlineStr">
        <is>
          <t>OTC</t>
        </is>
      </c>
      <c r="D7715" t="n">
        <v>1481045</v>
      </c>
      <c r="E7715" t="inlineStr">
        <is>
          <t>SEC</t>
        </is>
      </c>
    </row>
    <row r="7716">
      <c r="A7716" s="5">
        <f>HYPERLINK("https://finance.yahoo.com/quote/CMSA","CMSA")</f>
        <v/>
      </c>
      <c r="B7716" t="inlineStr">
        <is>
          <t>CMS ENERGY CORP</t>
        </is>
      </c>
      <c r="C7716" t="inlineStr">
        <is>
          <t>NYSE</t>
        </is>
      </c>
      <c r="D7716" t="n">
        <v>811156</v>
      </c>
      <c r="E7716" t="inlineStr">
        <is>
          <t>SEC</t>
        </is>
      </c>
    </row>
    <row r="7717">
      <c r="A7717" s="5">
        <f>HYPERLINK("https://finance.yahoo.com/quote/SLG-PI","SLG-PI")</f>
        <v/>
      </c>
      <c r="B7717" t="inlineStr">
        <is>
          <t>SL GREEN REALTY CORP</t>
        </is>
      </c>
      <c r="C7717" t="inlineStr">
        <is>
          <t>NYSE</t>
        </is>
      </c>
      <c r="D7717" t="n">
        <v>1040971</v>
      </c>
      <c r="E7717" t="inlineStr">
        <is>
          <t>SEC</t>
        </is>
      </c>
    </row>
    <row r="7718">
      <c r="A7718" s="5">
        <f>HYPERLINK("https://finance.yahoo.com/quote/RUSHB","RUSHB")</f>
        <v/>
      </c>
      <c r="B7718" t="inlineStr">
        <is>
          <t>RUSH ENTERPRISES INC \TX\</t>
        </is>
      </c>
      <c r="C7718" t="inlineStr">
        <is>
          <t>Nasdaq</t>
        </is>
      </c>
      <c r="D7718" t="n">
        <v>1012019</v>
      </c>
      <c r="E7718" t="inlineStr">
        <is>
          <t>SEC</t>
        </is>
      </c>
    </row>
    <row r="7719">
      <c r="A7719" s="5">
        <f>HYPERLINK("https://finance.yahoo.com/quote/FANUF","FANUF")</f>
        <v/>
      </c>
      <c r="B7719" t="inlineStr">
        <is>
          <t>Fanuc Ltd</t>
        </is>
      </c>
      <c r="C7719" t="inlineStr">
        <is>
          <t>OTC</t>
        </is>
      </c>
      <c r="D7719" t="n">
        <v>1446596</v>
      </c>
      <c r="E7719" t="inlineStr">
        <is>
          <t>SEC</t>
        </is>
      </c>
    </row>
    <row r="7720">
      <c r="A7720" s="5">
        <f>HYPERLINK("https://finance.yahoo.com/quote/BCUCF","BCUCF")</f>
        <v/>
      </c>
      <c r="B7720" t="inlineStr">
        <is>
          <t>Brunello Cucinelli S.p.A./ADR</t>
        </is>
      </c>
      <c r="C7720" t="inlineStr">
        <is>
          <t>OTC</t>
        </is>
      </c>
      <c r="D7720" t="n">
        <v>1581285</v>
      </c>
      <c r="E7720" t="inlineStr">
        <is>
          <t>SEC</t>
        </is>
      </c>
    </row>
    <row r="7721">
      <c r="A7721" s="5">
        <f>HYPERLINK("https://finance.yahoo.com/quote/BMRPF","BMRPF")</f>
        <v/>
      </c>
      <c r="B7721" t="inlineStr">
        <is>
          <t>B&amp;M European Value Retail S.A./ADR</t>
        </is>
      </c>
      <c r="C7721" t="inlineStr">
        <is>
          <t>OTC</t>
        </is>
      </c>
      <c r="D7721" t="n">
        <v>1671235</v>
      </c>
      <c r="E7721" t="inlineStr">
        <is>
          <t>SEC</t>
        </is>
      </c>
    </row>
    <row r="7722">
      <c r="A7722" s="5">
        <f>HYPERLINK("https://finance.yahoo.com/quote/LIFX","LIFX")</f>
        <v/>
      </c>
      <c r="B7722" t="inlineStr">
        <is>
          <t>Life360, Inc.</t>
        </is>
      </c>
      <c r="C7722" t="inlineStr">
        <is>
          <t>OTC</t>
        </is>
      </c>
      <c r="D7722" t="n">
        <v>1581760</v>
      </c>
      <c r="E7722" t="inlineStr">
        <is>
          <t>SEC</t>
        </is>
      </c>
    </row>
    <row r="7723">
      <c r="A7723" s="5">
        <f>HYPERLINK("https://finance.yahoo.com/quote/GIKLY","GIKLY")</f>
        <v/>
      </c>
      <c r="B7723" t="inlineStr">
        <is>
          <t>Grifols SA</t>
        </is>
      </c>
      <c r="C7723" t="inlineStr">
        <is>
          <t>OTC</t>
        </is>
      </c>
      <c r="D7723" t="n">
        <v>1438569</v>
      </c>
      <c r="E7723" t="inlineStr">
        <is>
          <t>SEC</t>
        </is>
      </c>
    </row>
    <row r="7724">
      <c r="A7724" s="5">
        <f>HYPERLINK("https://finance.yahoo.com/quote/HACBY","HACBY")</f>
        <v/>
      </c>
      <c r="B7724" t="inlineStr">
        <is>
          <t>HACHIJUNI BANK LTD</t>
        </is>
      </c>
      <c r="C7724" t="inlineStr">
        <is>
          <t>OTC</t>
        </is>
      </c>
      <c r="D7724" t="n">
        <v>793742</v>
      </c>
      <c r="E7724" t="inlineStr">
        <is>
          <t>SEC</t>
        </is>
      </c>
    </row>
    <row r="7725">
      <c r="A7725" s="5">
        <f>HYPERLINK("https://finance.yahoo.com/quote/KMRRF","KMRRF")</f>
        <v/>
      </c>
      <c r="B7725" t="inlineStr">
        <is>
          <t>Kongsberg Maritime ASA/ADR</t>
        </is>
      </c>
      <c r="C7725" t="inlineStr">
        <is>
          <t>OTC</t>
        </is>
      </c>
      <c r="D7725" t="n">
        <v>2133892</v>
      </c>
      <c r="E7725" t="inlineStr">
        <is>
          <t>SEC</t>
        </is>
      </c>
    </row>
    <row r="7726">
      <c r="A7726" s="5">
        <f>HYPERLINK("https://finance.yahoo.com/quote/SFGRF","SFGRF")</f>
        <v/>
      </c>
      <c r="B7726" t="inlineStr">
        <is>
          <t>Sony Financial Group Inc./ADR</t>
        </is>
      </c>
      <c r="C7726" t="inlineStr">
        <is>
          <t>OTC</t>
        </is>
      </c>
      <c r="D7726" t="n">
        <v>2084022</v>
      </c>
      <c r="E7726" t="inlineStr">
        <is>
          <t>SEC</t>
        </is>
      </c>
    </row>
    <row r="7727">
      <c r="A7727" s="5">
        <f>HYPERLINK("https://finance.yahoo.com/quote/UNMA","UNMA")</f>
        <v/>
      </c>
      <c r="B7727" t="inlineStr">
        <is>
          <t>Unum Group</t>
        </is>
      </c>
      <c r="C7727" t="inlineStr">
        <is>
          <t>NYSE</t>
        </is>
      </c>
      <c r="D7727" t="n">
        <v>5513</v>
      </c>
      <c r="E7727" t="inlineStr">
        <is>
          <t>SEC</t>
        </is>
      </c>
    </row>
    <row r="7728">
      <c r="A7728" s="5">
        <f>HYPERLINK("https://finance.yahoo.com/quote/SLFPF","SLFPF")</f>
        <v/>
      </c>
      <c r="B7728" t="inlineStr">
        <is>
          <t>STANDARD LIFE PLC</t>
        </is>
      </c>
      <c r="C7728" t="inlineStr">
        <is>
          <t>OTC</t>
        </is>
      </c>
      <c r="D7728" t="n">
        <v>1370418</v>
      </c>
      <c r="E7728" t="inlineStr">
        <is>
          <t>SEC</t>
        </is>
      </c>
    </row>
    <row r="7729">
      <c r="A7729" s="5">
        <f>HYPERLINK("https://finance.yahoo.com/quote/RTMVF","RTMVF")</f>
        <v/>
      </c>
      <c r="B7729" t="inlineStr">
        <is>
          <t>Rightmove PLC/ADR</t>
        </is>
      </c>
      <c r="C7729" t="inlineStr">
        <is>
          <t>OTC</t>
        </is>
      </c>
      <c r="D7729" t="n">
        <v>1516536</v>
      </c>
      <c r="E7729" t="inlineStr">
        <is>
          <t>SEC</t>
        </is>
      </c>
    </row>
    <row r="7730">
      <c r="A7730" s="5">
        <f>HYPERLINK("https://finance.yahoo.com/quote/BLFBY","BLFBY")</f>
        <v/>
      </c>
      <c r="B7730" t="inlineStr">
        <is>
          <t>Balfour Beatty plc/ADR</t>
        </is>
      </c>
      <c r="C7730" t="inlineStr">
        <is>
          <t>OTC</t>
        </is>
      </c>
      <c r="D7730" t="n">
        <v>1506721</v>
      </c>
      <c r="E7730" t="inlineStr">
        <is>
          <t>SEC</t>
        </is>
      </c>
    </row>
    <row r="7731">
      <c r="A7731" s="5">
        <f>HYPERLINK("https://finance.yahoo.com/quote/MITUF","MITUF")</f>
        <v/>
      </c>
      <c r="B7731" t="inlineStr">
        <is>
          <t>Mitsui Chemicals Inc</t>
        </is>
      </c>
      <c r="C7731" t="inlineStr">
        <is>
          <t>OTC</t>
        </is>
      </c>
      <c r="D7731" t="n">
        <v>1446420</v>
      </c>
      <c r="E7731" t="inlineStr">
        <is>
          <t>SEC</t>
        </is>
      </c>
    </row>
    <row r="7732">
      <c r="A7732" s="5">
        <f>HYPERLINK("https://finance.yahoo.com/quote/BPOPO","BPOPO")</f>
        <v/>
      </c>
      <c r="B7732" t="inlineStr">
        <is>
          <t>POPULAR, INC.</t>
        </is>
      </c>
      <c r="C7732" t="inlineStr">
        <is>
          <t>OTC</t>
        </is>
      </c>
      <c r="D7732" t="n">
        <v>763901</v>
      </c>
      <c r="E7732" t="inlineStr">
        <is>
          <t>SEC</t>
        </is>
      </c>
    </row>
    <row r="7733">
      <c r="A7733" s="5">
        <f>HYPERLINK("https://finance.yahoo.com/quote/HGMCF","HGMCF")</f>
        <v/>
      </c>
      <c r="B7733" t="inlineStr">
        <is>
          <t>HARMONY GOLD MINING CO LTD</t>
        </is>
      </c>
      <c r="C7733" t="inlineStr">
        <is>
          <t>OTC</t>
        </is>
      </c>
      <c r="D7733" t="n">
        <v>1023514</v>
      </c>
      <c r="E7733" t="inlineStr">
        <is>
          <t>SEC</t>
        </is>
      </c>
    </row>
    <row r="7734">
      <c r="A7734" s="5">
        <f>HYPERLINK("https://finance.yahoo.com/quote/SSRGF","SSRGF")</f>
        <v/>
      </c>
      <c r="B7734" t="inlineStr">
        <is>
          <t>SSR MINING INC.</t>
        </is>
      </c>
      <c r="C7734" t="inlineStr">
        <is>
          <t>OTC</t>
        </is>
      </c>
      <c r="D7734" t="n">
        <v>921638</v>
      </c>
      <c r="E7734" t="inlineStr">
        <is>
          <t>SEC</t>
        </is>
      </c>
    </row>
    <row r="7735">
      <c r="A7735" s="5">
        <f>HYPERLINK("https://finance.yahoo.com/quote/ZLDPF","ZLDPF")</f>
        <v/>
      </c>
      <c r="B7735" t="inlineStr">
        <is>
          <t>Zealand Pharma A/S/ADR</t>
        </is>
      </c>
      <c r="C7735" t="inlineStr">
        <is>
          <t>OTC</t>
        </is>
      </c>
      <c r="D7735" t="n">
        <v>2068427</v>
      </c>
      <c r="E7735" t="inlineStr">
        <is>
          <t>SEC</t>
        </is>
      </c>
    </row>
    <row r="7736">
      <c r="A7736" s="5">
        <f>HYPERLINK("https://finance.yahoo.com/quote/PHTCF","PHTCF")</f>
        <v/>
      </c>
      <c r="B7736" t="inlineStr">
        <is>
          <t>PLDT Inc.</t>
        </is>
      </c>
      <c r="C7736" t="inlineStr">
        <is>
          <t>OTC</t>
        </is>
      </c>
      <c r="D7736" t="n">
        <v>78150</v>
      </c>
      <c r="E7736" t="inlineStr">
        <is>
          <t>SEC</t>
        </is>
      </c>
    </row>
    <row r="7737">
      <c r="A7737" s="5">
        <f>HYPERLINK("https://finance.yahoo.com/quote/PCG-PE","PCG-PE")</f>
        <v/>
      </c>
      <c r="B7737" t="inlineStr">
        <is>
          <t>PG&amp;E Corp</t>
        </is>
      </c>
      <c r="C7737" t="inlineStr">
        <is>
          <t>NYSE</t>
        </is>
      </c>
      <c r="D7737" t="n">
        <v>1004980</v>
      </c>
      <c r="E7737" t="inlineStr">
        <is>
          <t>SEC</t>
        </is>
      </c>
    </row>
    <row r="7738">
      <c r="A7738" s="5">
        <f>HYPERLINK("https://finance.yahoo.com/quote/PPENF","PPENF")</f>
        <v/>
      </c>
      <c r="B7738" t="inlineStr">
        <is>
          <t>Pampa Energy Inc.</t>
        </is>
      </c>
      <c r="C7738" t="inlineStr">
        <is>
          <t>OTC</t>
        </is>
      </c>
      <c r="D7738" t="n">
        <v>1469395</v>
      </c>
      <c r="E7738" t="inlineStr">
        <is>
          <t>SEC</t>
        </is>
      </c>
    </row>
    <row r="7739">
      <c r="A7739" s="5">
        <f>HYPERLINK("https://finance.yahoo.com/quote/PCG-PD","PCG-PD")</f>
        <v/>
      </c>
      <c r="B7739" t="inlineStr">
        <is>
          <t>PG&amp;E Corp</t>
        </is>
      </c>
      <c r="C7739" t="inlineStr">
        <is>
          <t>NYSE</t>
        </is>
      </c>
      <c r="D7739" t="n">
        <v>1004980</v>
      </c>
      <c r="E7739" t="inlineStr">
        <is>
          <t>SEC</t>
        </is>
      </c>
    </row>
    <row r="7740">
      <c r="A7740" s="5">
        <f>HYPERLINK("https://finance.yahoo.com/quote/PCG-PC","PCG-PC")</f>
        <v/>
      </c>
      <c r="B7740" t="inlineStr">
        <is>
          <t>PG&amp;E Corp</t>
        </is>
      </c>
      <c r="C7740" t="inlineStr">
        <is>
          <t>NYSE</t>
        </is>
      </c>
      <c r="D7740" t="n">
        <v>1004980</v>
      </c>
      <c r="E7740" t="inlineStr">
        <is>
          <t>SEC</t>
        </is>
      </c>
    </row>
    <row r="7741">
      <c r="A7741" s="5">
        <f>HYPERLINK("https://finance.yahoo.com/quote/AKO-B","AKO-B")</f>
        <v/>
      </c>
      <c r="B7741" t="inlineStr">
        <is>
          <t>ANDINA BOTTLING CO INC</t>
        </is>
      </c>
      <c r="C7741" t="inlineStr">
        <is>
          <t>NYSE</t>
        </is>
      </c>
      <c r="D7741" t="n">
        <v>925261</v>
      </c>
      <c r="E7741" t="inlineStr">
        <is>
          <t>SEC</t>
        </is>
      </c>
    </row>
    <row r="7742">
      <c r="A7742" s="5">
        <f>HYPERLINK("https://finance.yahoo.com/quote/FNMFN","FNMFN")</f>
        <v/>
      </c>
      <c r="B7742" t="inlineStr">
        <is>
          <t>FEDERAL NATIONAL MORTGAGE ASSOCIATION FANNIE MAE</t>
        </is>
      </c>
      <c r="C7742" t="inlineStr">
        <is>
          <t>OTC</t>
        </is>
      </c>
      <c r="D7742" t="n">
        <v>310522</v>
      </c>
      <c r="E7742" t="inlineStr">
        <is>
          <t>SEC</t>
        </is>
      </c>
    </row>
    <row r="7743">
      <c r="A7743" s="5">
        <f>HYPERLINK("https://finance.yahoo.com/quote/PCG-PH","PCG-PH")</f>
        <v/>
      </c>
      <c r="B7743" t="inlineStr">
        <is>
          <t>PG&amp;E Corp</t>
        </is>
      </c>
      <c r="C7743" t="inlineStr">
        <is>
          <t>NYSE</t>
        </is>
      </c>
      <c r="D7743" t="n">
        <v>1004980</v>
      </c>
      <c r="E7743" t="inlineStr">
        <is>
          <t>SEC</t>
        </is>
      </c>
    </row>
    <row r="7744">
      <c r="A7744" s="5">
        <f>HYPERLINK("https://finance.yahoo.com/quote/GEF-B","GEF-B")</f>
        <v/>
      </c>
      <c r="B7744" t="inlineStr">
        <is>
          <t>GREIF, INC</t>
        </is>
      </c>
      <c r="C7744" t="inlineStr">
        <is>
          <t>NYSE</t>
        </is>
      </c>
      <c r="D7744" t="n">
        <v>43920</v>
      </c>
      <c r="E7744" t="inlineStr">
        <is>
          <t>SEC</t>
        </is>
      </c>
    </row>
    <row r="7745">
      <c r="A7745" s="5">
        <f>HYPERLINK("https://finance.yahoo.com/quote/PCG-PG","PCG-PG")</f>
        <v/>
      </c>
      <c r="B7745" t="inlineStr">
        <is>
          <t>PG&amp;E Corp</t>
        </is>
      </c>
      <c r="C7745" t="inlineStr">
        <is>
          <t>NYSE</t>
        </is>
      </c>
      <c r="D7745" t="n">
        <v>1004980</v>
      </c>
      <c r="E7745" t="inlineStr">
        <is>
          <t>SEC</t>
        </is>
      </c>
    </row>
    <row r="7746">
      <c r="A7746" s="5">
        <f>HYPERLINK("https://finance.yahoo.com/quote/GAERF","GAERF")</f>
        <v/>
      </c>
      <c r="B7746" t="inlineStr">
        <is>
          <t>Central North Airport Group</t>
        </is>
      </c>
      <c r="C7746" t="inlineStr">
        <is>
          <t>OTC</t>
        </is>
      </c>
      <c r="D7746" t="n">
        <v>1378239</v>
      </c>
      <c r="E7746" t="inlineStr">
        <is>
          <t>SEC</t>
        </is>
      </c>
    </row>
    <row r="7747">
      <c r="A7747" s="5">
        <f>HYPERLINK("https://finance.yahoo.com/quote/AXS-PE","AXS-PE")</f>
        <v/>
      </c>
      <c r="B7747" t="inlineStr">
        <is>
          <t>AXIS CAPITAL HOLDINGS LTD</t>
        </is>
      </c>
      <c r="C7747" t="inlineStr">
        <is>
          <t>NYSE</t>
        </is>
      </c>
      <c r="D7747" t="n">
        <v>1214816</v>
      </c>
      <c r="E7747" t="inlineStr">
        <is>
          <t>SEC</t>
        </is>
      </c>
    </row>
    <row r="7748">
      <c r="A7748" s="5">
        <f>HYPERLINK("https://finance.yahoo.com/quote/DTW","DTW")</f>
        <v/>
      </c>
      <c r="B7748" t="inlineStr">
        <is>
          <t>DTE ENERGY CO</t>
        </is>
      </c>
      <c r="C7748" t="inlineStr">
        <is>
          <t>NYSE</t>
        </is>
      </c>
      <c r="D7748" t="n">
        <v>936340</v>
      </c>
      <c r="E7748" t="inlineStr">
        <is>
          <t>SEC</t>
        </is>
      </c>
    </row>
    <row r="7749">
      <c r="A7749" s="5">
        <f>HYPERLINK("https://finance.yahoo.com/quote/SPTJF","SPTJF")</f>
        <v/>
      </c>
      <c r="B7749" t="inlineStr">
        <is>
          <t>SINOPEC SHANGHAI PETROCHEMICAL CO LTD</t>
        </is>
      </c>
      <c r="C7749" t="inlineStr">
        <is>
          <t>OTC</t>
        </is>
      </c>
      <c r="D7749" t="n">
        <v>908732</v>
      </c>
      <c r="E7749" t="inlineStr">
        <is>
          <t>SEC</t>
        </is>
      </c>
    </row>
    <row r="7750">
      <c r="A7750" s="5">
        <f>HYPERLINK("https://finance.yahoo.com/quote/PIFMF","PIFMF")</f>
        <v/>
      </c>
      <c r="B7750" t="inlineStr">
        <is>
          <t>Indofood Sukses Makmur, Tbk</t>
        </is>
      </c>
      <c r="C7750" t="inlineStr">
        <is>
          <t>OTC</t>
        </is>
      </c>
      <c r="D7750" t="n">
        <v>1445211</v>
      </c>
      <c r="E7750" t="inlineStr">
        <is>
          <t>SEC</t>
        </is>
      </c>
    </row>
    <row r="7751">
      <c r="A7751" s="5">
        <f>HYPERLINK("https://finance.yahoo.com/quote/PCG-PI","PCG-PI")</f>
        <v/>
      </c>
      <c r="B7751" t="inlineStr">
        <is>
          <t>PG&amp;E Corp</t>
        </is>
      </c>
      <c r="C7751" t="inlineStr">
        <is>
          <t>NYSE</t>
        </is>
      </c>
      <c r="D7751" t="n">
        <v>1004980</v>
      </c>
      <c r="E7751" t="inlineStr">
        <is>
          <t>SEC</t>
        </is>
      </c>
    </row>
    <row r="7752">
      <c r="A7752" s="5">
        <f>HYPERLINK("https://finance.yahoo.com/quote/DISPF","DISPF")</f>
        <v/>
      </c>
      <c r="B7752" t="inlineStr">
        <is>
          <t>Disco Corporation/ADR</t>
        </is>
      </c>
      <c r="C7752" t="inlineStr">
        <is>
          <t>OTC</t>
        </is>
      </c>
      <c r="D7752" t="n">
        <v>1671750</v>
      </c>
      <c r="E7752" t="inlineStr">
        <is>
          <t>SEC</t>
        </is>
      </c>
    </row>
    <row r="7753">
      <c r="A7753" s="5">
        <f>HYPERLINK("https://finance.yahoo.com/quote/TCMFF","TCMFF")</f>
        <v/>
      </c>
      <c r="B7753" t="inlineStr">
        <is>
          <t>TELECOM ARGENTINA SA</t>
        </is>
      </c>
      <c r="C7753" t="inlineStr">
        <is>
          <t>OTC</t>
        </is>
      </c>
      <c r="D7753" t="n">
        <v>932470</v>
      </c>
      <c r="E7753" t="inlineStr">
        <is>
          <t>SEC</t>
        </is>
      </c>
    </row>
    <row r="7754">
      <c r="A7754" s="5">
        <f>HYPERLINK("https://finance.yahoo.com/quote/SLMBP","SLMBP")</f>
        <v/>
      </c>
      <c r="B7754" t="inlineStr">
        <is>
          <t>SLM Corp</t>
        </is>
      </c>
      <c r="C7754" t="inlineStr">
        <is>
          <t>Nasdaq</t>
        </is>
      </c>
      <c r="D7754" t="n">
        <v>1032033</v>
      </c>
      <c r="E7754" t="inlineStr">
        <is>
          <t>SEC</t>
        </is>
      </c>
    </row>
    <row r="7755">
      <c r="A7755" s="5">
        <f>HYPERLINK("https://finance.yahoo.com/quote/DLAKF","DLAKF")</f>
        <v/>
      </c>
      <c r="B7755" t="inlineStr">
        <is>
          <t>DEUTSCHE LUFTHANSA A G /FI</t>
        </is>
      </c>
      <c r="C7755" t="inlineStr">
        <is>
          <t>OTC</t>
        </is>
      </c>
      <c r="D7755" t="n">
        <v>1049724</v>
      </c>
      <c r="E7755" t="inlineStr">
        <is>
          <t>SEC</t>
        </is>
      </c>
    </row>
    <row r="7756">
      <c r="A7756" s="5">
        <f>HYPERLINK("https://finance.yahoo.com/quote/SF-PB","SF-PB")</f>
        <v/>
      </c>
      <c r="B7756" t="inlineStr">
        <is>
          <t>STIFEL FINANCIAL CORP</t>
        </is>
      </c>
      <c r="C7756" t="inlineStr">
        <is>
          <t>NYSE</t>
        </is>
      </c>
      <c r="D7756" t="n">
        <v>720672</v>
      </c>
      <c r="E7756" t="inlineStr">
        <is>
          <t>SEC</t>
        </is>
      </c>
    </row>
    <row r="7757">
      <c r="A7757" s="5">
        <f>HYPERLINK("https://finance.yahoo.com/quote/DCCPY","DCCPY")</f>
        <v/>
      </c>
      <c r="B7757" t="inlineStr">
        <is>
          <t>DCC plc</t>
        </is>
      </c>
      <c r="C7757" t="inlineStr">
        <is>
          <t>OTC</t>
        </is>
      </c>
      <c r="D7757" t="n">
        <v>1437712</v>
      </c>
      <c r="E7757" t="inlineStr">
        <is>
          <t>SEC</t>
        </is>
      </c>
    </row>
    <row r="7758">
      <c r="A7758" s="5">
        <f>HYPERLINK("https://finance.yahoo.com/quote/AVLNF","AVLNF")</f>
        <v/>
      </c>
      <c r="B7758" t="inlineStr">
        <is>
          <t>Avalon Advanced Materials Inc.</t>
        </is>
      </c>
      <c r="C7758" t="inlineStr">
        <is>
          <t>OTC</t>
        </is>
      </c>
      <c r="D7758" t="n">
        <v>1362898</v>
      </c>
      <c r="E7758" t="inlineStr">
        <is>
          <t>SEC</t>
        </is>
      </c>
    </row>
    <row r="7759">
      <c r="A7759" s="5">
        <f>HYPERLINK("https://finance.yahoo.com/quote/ATKR","ATKR")</f>
        <v/>
      </c>
      <c r="B7759" t="inlineStr">
        <is>
          <t>Atkore Inc.</t>
        </is>
      </c>
      <c r="C7759" t="inlineStr">
        <is>
          <t>NYSE</t>
        </is>
      </c>
      <c r="D7759" t="n">
        <v>1666138</v>
      </c>
      <c r="E7759" t="inlineStr">
        <is>
          <t>SEC</t>
        </is>
      </c>
    </row>
    <row r="7760">
      <c r="A7760" s="5">
        <f>HYPERLINK("https://finance.yahoo.com/quote/TYTMF","TYTMF")</f>
        <v/>
      </c>
      <c r="B7760" t="inlineStr">
        <is>
          <t>Tokyo Tatemono Co Ltd</t>
        </is>
      </c>
      <c r="C7760" t="inlineStr">
        <is>
          <t>OTC</t>
        </is>
      </c>
      <c r="D7760" t="n">
        <v>1447101</v>
      </c>
      <c r="E7760" t="inlineStr">
        <is>
          <t>SEC</t>
        </is>
      </c>
    </row>
    <row r="7761">
      <c r="A7761" s="5">
        <f>HYPERLINK("https://finance.yahoo.com/quote/BATRK","BATRK")</f>
        <v/>
      </c>
      <c r="B7761" t="inlineStr">
        <is>
          <t>Atlanta Braves Holdings, Inc.</t>
        </is>
      </c>
      <c r="C7761" t="inlineStr">
        <is>
          <t>Nasdaq</t>
        </is>
      </c>
      <c r="D7761" t="n">
        <v>1958140</v>
      </c>
      <c r="E7761" t="inlineStr">
        <is>
          <t>SEC</t>
        </is>
      </c>
    </row>
    <row r="7762">
      <c r="A7762" s="5">
        <f>HYPERLINK("https://finance.yahoo.com/quote/MOG-B","MOG-B")</f>
        <v/>
      </c>
      <c r="B7762" t="inlineStr">
        <is>
          <t>MOOG INC.</t>
        </is>
      </c>
      <c r="C7762" t="inlineStr">
        <is>
          <t>NYSE</t>
        </is>
      </c>
      <c r="D7762" t="n">
        <v>67887</v>
      </c>
      <c r="E7762" t="inlineStr">
        <is>
          <t>SEC</t>
        </is>
      </c>
    </row>
    <row r="7763">
      <c r="A7763" s="5">
        <f>HYPERLINK("https://finance.yahoo.com/quote/VLYPP","VLYPP")</f>
        <v/>
      </c>
      <c r="B7763" t="inlineStr">
        <is>
          <t>VALLEY NATIONAL BANCORP</t>
        </is>
      </c>
      <c r="C7763" t="inlineStr">
        <is>
          <t>Nasdaq</t>
        </is>
      </c>
      <c r="D7763" t="n">
        <v>714310</v>
      </c>
      <c r="E7763" t="inlineStr">
        <is>
          <t>SEC</t>
        </is>
      </c>
    </row>
    <row r="7764">
      <c r="A7764" s="5">
        <f>HYPERLINK("https://finance.yahoo.com/quote/RYKKF","RYKKF")</f>
        <v/>
      </c>
      <c r="B7764" t="inlineStr">
        <is>
          <t>Ryohin Keikaku Co/ADR</t>
        </is>
      </c>
      <c r="C7764" t="inlineStr">
        <is>
          <t>OTC</t>
        </is>
      </c>
      <c r="D7764" t="n">
        <v>1592049</v>
      </c>
      <c r="E7764" t="inlineStr">
        <is>
          <t>SEC</t>
        </is>
      </c>
    </row>
    <row r="7765">
      <c r="A7765" s="5">
        <f>HYPERLINK("https://finance.yahoo.com/quote/WRB-PE","WRB-PE")</f>
        <v/>
      </c>
      <c r="B7765" t="inlineStr">
        <is>
          <t>BERKLEY W R CORP</t>
        </is>
      </c>
      <c r="C7765" t="inlineStr">
        <is>
          <t>NYSE</t>
        </is>
      </c>
      <c r="D7765" t="n">
        <v>11544</v>
      </c>
      <c r="E7765" t="inlineStr">
        <is>
          <t>SEC</t>
        </is>
      </c>
    </row>
    <row r="7766">
      <c r="A7766" s="5">
        <f>HYPERLINK("https://finance.yahoo.com/quote/SOHGY","SOHGY")</f>
        <v/>
      </c>
      <c r="B7766" t="inlineStr">
        <is>
          <t>ALSOK Co Ltd./ADR</t>
        </is>
      </c>
      <c r="C7766" t="inlineStr">
        <is>
          <t>OTC</t>
        </is>
      </c>
      <c r="D7766" t="n">
        <v>1536787</v>
      </c>
      <c r="E7766" t="inlineStr">
        <is>
          <t>SEC</t>
        </is>
      </c>
    </row>
    <row r="7767">
      <c r="A7767" s="5">
        <f>HYPERLINK("https://finance.yahoo.com/quote/BELFB","BELFB")</f>
        <v/>
      </c>
      <c r="B7767" t="inlineStr">
        <is>
          <t>BEL FUSE INC /NJ</t>
        </is>
      </c>
      <c r="C7767" t="inlineStr">
        <is>
          <t>Nasdaq</t>
        </is>
      </c>
      <c r="D7767" t="n">
        <v>729580</v>
      </c>
      <c r="E7767" t="inlineStr">
        <is>
          <t>SEC</t>
        </is>
      </c>
    </row>
    <row r="7768">
      <c r="A7768" s="5">
        <f>HYPERLINK("https://finance.yahoo.com/quote/VLYPO","VLYPO")</f>
        <v/>
      </c>
      <c r="B7768" t="inlineStr">
        <is>
          <t>VALLEY NATIONAL BANCORP</t>
        </is>
      </c>
      <c r="C7768" t="inlineStr">
        <is>
          <t>Nasdaq</t>
        </is>
      </c>
      <c r="D7768" t="n">
        <v>714310</v>
      </c>
      <c r="E7768" t="inlineStr">
        <is>
          <t>SEC</t>
        </is>
      </c>
    </row>
    <row r="7769">
      <c r="A7769" s="5">
        <f>HYPERLINK("https://finance.yahoo.com/quote/RLJ-PA","RLJ-PA")</f>
        <v/>
      </c>
      <c r="B7769" t="inlineStr">
        <is>
          <t>RLJ Lodging Trust</t>
        </is>
      </c>
      <c r="C7769" t="inlineStr">
        <is>
          <t>NYSE</t>
        </is>
      </c>
      <c r="D7769" t="n">
        <v>1511337</v>
      </c>
      <c r="E7769" t="inlineStr">
        <is>
          <t>SEC</t>
        </is>
      </c>
    </row>
    <row r="7770">
      <c r="A7770" s="5">
        <f>HYPERLINK("https://finance.yahoo.com/quote/PEB-PF","PEB-PF")</f>
        <v/>
      </c>
      <c r="B7770" t="inlineStr">
        <is>
          <t>Pebblebrook Hotel Trust</t>
        </is>
      </c>
      <c r="C7770" t="inlineStr">
        <is>
          <t>NYSE</t>
        </is>
      </c>
      <c r="D7770" t="n">
        <v>1474098</v>
      </c>
      <c r="E7770" t="inlineStr">
        <is>
          <t>SEC</t>
        </is>
      </c>
    </row>
    <row r="7771">
      <c r="A7771" s="5">
        <f>HYPERLINK("https://finance.yahoo.com/quote/PEB-PE","PEB-PE")</f>
        <v/>
      </c>
      <c r="B7771" t="inlineStr">
        <is>
          <t>Pebblebrook Hotel Trust</t>
        </is>
      </c>
      <c r="C7771" t="inlineStr">
        <is>
          <t>NYSE</t>
        </is>
      </c>
      <c r="D7771" t="n">
        <v>1474098</v>
      </c>
      <c r="E7771" t="inlineStr">
        <is>
          <t>SEC</t>
        </is>
      </c>
    </row>
    <row r="7772">
      <c r="A7772" s="5">
        <f>HYPERLINK("https://finance.yahoo.com/quote/CIM-PA","CIM-PA")</f>
        <v/>
      </c>
      <c r="B7772" t="inlineStr">
        <is>
          <t>CHIMERA INVESTMENT CORP</t>
        </is>
      </c>
      <c r="C7772" t="inlineStr">
        <is>
          <t>NYSE</t>
        </is>
      </c>
      <c r="D7772" t="n">
        <v>1409493</v>
      </c>
      <c r="E7772" t="inlineStr">
        <is>
          <t>SEC</t>
        </is>
      </c>
    </row>
    <row r="7773">
      <c r="A7773" s="5">
        <f>HYPERLINK("https://finance.yahoo.com/quote/LBTYK","LBTYK")</f>
        <v/>
      </c>
      <c r="B7773" t="inlineStr">
        <is>
          <t>Liberty Global Ltd.</t>
        </is>
      </c>
      <c r="C7773" t="inlineStr">
        <is>
          <t>Nasdaq</t>
        </is>
      </c>
      <c r="D7773" t="n">
        <v>1570585</v>
      </c>
      <c r="E7773" t="inlineStr">
        <is>
          <t>SEC</t>
        </is>
      </c>
    </row>
    <row r="7774">
      <c r="A7774" s="5">
        <f>HYPERLINK("https://finance.yahoo.com/quote/TY-P","TY-P")</f>
        <v/>
      </c>
      <c r="B7774" t="inlineStr">
        <is>
          <t>TRI-CONTINENTAL Corp</t>
        </is>
      </c>
      <c r="C7774" t="inlineStr">
        <is>
          <t>NYSE</t>
        </is>
      </c>
      <c r="D7774" t="n">
        <v>99614</v>
      </c>
      <c r="E7774" t="inlineStr">
        <is>
          <t>SEC</t>
        </is>
      </c>
    </row>
    <row r="7775">
      <c r="A7775" s="5">
        <f>HYPERLINK("https://finance.yahoo.com/quote/PTXAF","PTXAF")</f>
        <v/>
      </c>
      <c r="B7775" t="inlineStr">
        <is>
          <t>PT XLSMART Telecom Sejahtera Tbk/ADR</t>
        </is>
      </c>
      <c r="C7775" t="inlineStr">
        <is>
          <t>OTC</t>
        </is>
      </c>
      <c r="D7775" t="n">
        <v>1545057</v>
      </c>
      <c r="E7775" t="inlineStr">
        <is>
          <t>SEC</t>
        </is>
      </c>
    </row>
    <row r="7776">
      <c r="A7776" s="5">
        <f>HYPERLINK("https://finance.yahoo.com/quote/HMDCF","HMDCF")</f>
        <v/>
      </c>
      <c r="B7776" t="inlineStr">
        <is>
          <t>HUTCHMED (China) Ltd</t>
        </is>
      </c>
      <c r="C7776" t="inlineStr">
        <is>
          <t>OTC</t>
        </is>
      </c>
      <c r="D7776" t="n">
        <v>1648257</v>
      </c>
      <c r="E7776" t="inlineStr">
        <is>
          <t>SEC</t>
        </is>
      </c>
    </row>
    <row r="7777">
      <c r="A7777" s="5">
        <f>HYPERLINK("https://finance.yahoo.com/quote/FMCCG","FMCCG")</f>
        <v/>
      </c>
      <c r="B7777" t="inlineStr">
        <is>
          <t>FEDERAL HOME LOAN MORTGAGE CORP</t>
        </is>
      </c>
      <c r="C7777" t="inlineStr">
        <is>
          <t>OTC</t>
        </is>
      </c>
      <c r="D7777" t="n">
        <v>1026214</v>
      </c>
      <c r="E7777" t="inlineStr">
        <is>
          <t>SEC</t>
        </is>
      </c>
    </row>
    <row r="7778">
      <c r="A7778" s="5">
        <f>HYPERLINK("https://finance.yahoo.com/quote/FNMAM","FNMAM")</f>
        <v/>
      </c>
      <c r="B7778" t="inlineStr">
        <is>
          <t>FEDERAL NATIONAL MORTGAGE ASSOCIATION FANNIE MAE</t>
        </is>
      </c>
      <c r="C7778" t="inlineStr">
        <is>
          <t>OTC</t>
        </is>
      </c>
      <c r="D7778" t="n">
        <v>310522</v>
      </c>
      <c r="E7778" t="inlineStr">
        <is>
          <t>SEC</t>
        </is>
      </c>
    </row>
    <row r="7779">
      <c r="A7779" s="5">
        <f>HYPERLINK("https://finance.yahoo.com/quote/ATROB","ATROB")</f>
        <v/>
      </c>
      <c r="B7779" t="inlineStr">
        <is>
          <t>ASTRONICS CORP</t>
        </is>
      </c>
      <c r="C7779" t="inlineStr">
        <is>
          <t>OTC</t>
        </is>
      </c>
      <c r="D7779" t="n">
        <v>8063</v>
      </c>
      <c r="E7779" t="inlineStr">
        <is>
          <t>SEC</t>
        </is>
      </c>
    </row>
    <row r="7780">
      <c r="A7780" s="5">
        <f>HYPERLINK("https://finance.yahoo.com/quote/CENTA","CENTA")</f>
        <v/>
      </c>
      <c r="B7780" t="inlineStr">
        <is>
          <t>CENTRAL GARDEN &amp; PET CO</t>
        </is>
      </c>
      <c r="C7780" t="inlineStr">
        <is>
          <t>Nasdaq</t>
        </is>
      </c>
      <c r="D7780" t="n">
        <v>887733</v>
      </c>
      <c r="E7780" t="inlineStr">
        <is>
          <t>SEC</t>
        </is>
      </c>
    </row>
    <row r="7781">
      <c r="A7781" s="5">
        <f>HYPERLINK("https://finance.yahoo.com/quote/AILLI","AILLI")</f>
        <v/>
      </c>
      <c r="B7781" t="inlineStr">
        <is>
          <t>Ameren Illinois Co</t>
        </is>
      </c>
      <c r="C7781" t="inlineStr">
        <is>
          <t>OTC</t>
        </is>
      </c>
      <c r="D7781" t="n">
        <v>18654</v>
      </c>
      <c r="E7781" t="inlineStr">
        <is>
          <t>SEC</t>
        </is>
      </c>
    </row>
    <row r="7782">
      <c r="A7782" s="5">
        <f>HYPERLINK("https://finance.yahoo.com/quote/TRTN-PA","TRTN-PA")</f>
        <v/>
      </c>
      <c r="B7782" t="inlineStr">
        <is>
          <t>Triton International Ltd</t>
        </is>
      </c>
      <c r="C7782" t="inlineStr">
        <is>
          <t>NYSE</t>
        </is>
      </c>
      <c r="D7782" t="n">
        <v>1660734</v>
      </c>
      <c r="E7782" t="inlineStr">
        <is>
          <t>SEC</t>
        </is>
      </c>
    </row>
    <row r="7783">
      <c r="A7783" s="5">
        <f>HYPERLINK("https://finance.yahoo.com/quote/BATRB","BATRB")</f>
        <v/>
      </c>
      <c r="B7783" t="inlineStr">
        <is>
          <t>Atlanta Braves Holdings, Inc.</t>
        </is>
      </c>
      <c r="C7783" t="inlineStr">
        <is>
          <t>OTC</t>
        </is>
      </c>
      <c r="D7783" t="n">
        <v>1958140</v>
      </c>
      <c r="E7783" t="inlineStr">
        <is>
          <t>SEC</t>
        </is>
      </c>
    </row>
    <row r="7784">
      <c r="A7784" s="5">
        <f>HYPERLINK("https://finance.yahoo.com/quote/WELPP","WELPP")</f>
        <v/>
      </c>
      <c r="B7784" t="inlineStr">
        <is>
          <t>WISCONSIN ELECTRIC POWER CO</t>
        </is>
      </c>
      <c r="C7784" t="inlineStr">
        <is>
          <t>OTC</t>
        </is>
      </c>
      <c r="D7784" t="n">
        <v>107815</v>
      </c>
      <c r="E7784" t="inlineStr">
        <is>
          <t>SEC</t>
        </is>
      </c>
    </row>
    <row r="7785">
      <c r="A7785" s="5">
        <f>HYPERLINK("https://finance.yahoo.com/quote/AILLM","AILLM")</f>
        <v/>
      </c>
      <c r="B7785" t="inlineStr">
        <is>
          <t>Ameren Illinois Co</t>
        </is>
      </c>
      <c r="C7785" t="inlineStr">
        <is>
          <t>OTC</t>
        </is>
      </c>
      <c r="D7785" t="n">
        <v>18654</v>
      </c>
      <c r="E7785" t="inlineStr">
        <is>
          <t>SEC</t>
        </is>
      </c>
    </row>
    <row r="7786">
      <c r="A7786" s="5">
        <f>HYPERLINK("https://finance.yahoo.com/quote/AILLN","AILLN")</f>
        <v/>
      </c>
      <c r="B7786" t="inlineStr">
        <is>
          <t>Ameren Illinois Co</t>
        </is>
      </c>
      <c r="C7786" t="inlineStr">
        <is>
          <t>OTC</t>
        </is>
      </c>
      <c r="D7786" t="n">
        <v>18654</v>
      </c>
      <c r="E7786" t="inlineStr">
        <is>
          <t>SEC</t>
        </is>
      </c>
    </row>
    <row r="7787">
      <c r="A7787" s="5">
        <f>HYPERLINK("https://finance.yahoo.com/quote/CDGLF","CDGLF")</f>
        <v/>
      </c>
      <c r="B7787" t="inlineStr">
        <is>
          <t>ComfortDelGro Corp Ltd</t>
        </is>
      </c>
      <c r="C7787" t="inlineStr">
        <is>
          <t>OTC</t>
        </is>
      </c>
      <c r="D7787" t="n">
        <v>1448611</v>
      </c>
      <c r="E7787" t="inlineStr">
        <is>
          <t>SEC</t>
        </is>
      </c>
    </row>
    <row r="7788">
      <c r="A7788" s="5">
        <f>HYPERLINK("https://finance.yahoo.com/quote/FNMAN","FNMAN")</f>
        <v/>
      </c>
      <c r="B7788" t="inlineStr">
        <is>
          <t>FEDERAL NATIONAL MORTGAGE ASSOCIATION FANNIE MAE</t>
        </is>
      </c>
      <c r="C7788" t="inlineStr">
        <is>
          <t>OTC</t>
        </is>
      </c>
      <c r="D7788" t="n">
        <v>310522</v>
      </c>
      <c r="E7788" t="inlineStr">
        <is>
          <t>SEC</t>
        </is>
      </c>
    </row>
    <row r="7789">
      <c r="A7789" s="5">
        <f>HYPERLINK("https://finance.yahoo.com/quote/TROLB","TROLB")</f>
        <v/>
      </c>
      <c r="B7789" t="inlineStr">
        <is>
          <t>TOOTSIE ROLL INDUSTRIES INC</t>
        </is>
      </c>
      <c r="C7789" t="inlineStr">
        <is>
          <t>OTC</t>
        </is>
      </c>
      <c r="D7789" t="n">
        <v>98677</v>
      </c>
      <c r="E7789" t="inlineStr">
        <is>
          <t>SEC</t>
        </is>
      </c>
    </row>
    <row r="7790">
      <c r="A7790" s="5">
        <f>HYPERLINK("https://finance.yahoo.com/quote/AILIM","AILIM")</f>
        <v/>
      </c>
      <c r="B7790" t="inlineStr">
        <is>
          <t>Ameren Illinois Co</t>
        </is>
      </c>
      <c r="C7790" t="inlineStr">
        <is>
          <t>OTC</t>
        </is>
      </c>
      <c r="D7790" t="n">
        <v>18654</v>
      </c>
      <c r="E7790" t="inlineStr">
        <is>
          <t>SEC</t>
        </is>
      </c>
    </row>
    <row r="7791">
      <c r="A7791" s="5">
        <f>HYPERLINK("https://finance.yahoo.com/quote/FMCCJ","FMCCJ")</f>
        <v/>
      </c>
      <c r="B7791" t="inlineStr">
        <is>
          <t>FEDERAL HOME LOAN MORTGAGE CORP</t>
        </is>
      </c>
      <c r="C7791" t="inlineStr">
        <is>
          <t>OTC</t>
        </is>
      </c>
      <c r="D7791" t="n">
        <v>1026214</v>
      </c>
      <c r="E7791" t="inlineStr">
        <is>
          <t>SEC</t>
        </is>
      </c>
    </row>
    <row r="7792">
      <c r="A7792" s="5">
        <f>HYPERLINK("https://finance.yahoo.com/quote/FNMAI","FNMAI")</f>
        <v/>
      </c>
      <c r="B7792" t="inlineStr">
        <is>
          <t>FEDERAL NATIONAL MORTGAGE ASSOCIATION FANNIE MAE</t>
        </is>
      </c>
      <c r="C7792" t="inlineStr">
        <is>
          <t>OTC</t>
        </is>
      </c>
      <c r="D7792" t="n">
        <v>310522</v>
      </c>
      <c r="E7792" t="inlineStr">
        <is>
          <t>SEC</t>
        </is>
      </c>
    </row>
    <row r="7793">
      <c r="A7793" s="5">
        <f>HYPERLINK("https://finance.yahoo.com/quote/CODQL","CODQL")</f>
        <v/>
      </c>
      <c r="B7793" t="inlineStr">
        <is>
          <t>Coronado Global Resources Inc.</t>
        </is>
      </c>
      <c r="C7793" t="inlineStr">
        <is>
          <t>OTC</t>
        </is>
      </c>
      <c r="D7793" t="n">
        <v>1770561</v>
      </c>
      <c r="E7793" t="inlineStr">
        <is>
          <t>SEC</t>
        </is>
      </c>
    </row>
    <row r="7794">
      <c r="A7794" s="5">
        <f>HYPERLINK("https://finance.yahoo.com/quote/WBHC","WBHC")</f>
        <v/>
      </c>
      <c r="B7794" t="inlineStr">
        <is>
          <t>WILSON BANK HOLDING CO</t>
        </is>
      </c>
      <c r="C7794" t="inlineStr">
        <is>
          <t>OTC</t>
        </is>
      </c>
      <c r="D7794" t="n">
        <v>885275</v>
      </c>
      <c r="E7794" t="inlineStr">
        <is>
          <t>SEC</t>
        </is>
      </c>
    </row>
    <row r="7795">
      <c r="A7795" s="5">
        <f>HYPERLINK("https://finance.yahoo.com/quote/GLPGF","GLPGF")</f>
        <v/>
      </c>
      <c r="B7795" t="inlineStr">
        <is>
          <t>Lakefront Biotherapeutics NV</t>
        </is>
      </c>
      <c r="C7795" t="inlineStr">
        <is>
          <t>OTC</t>
        </is>
      </c>
      <c r="D7795" t="n">
        <v>1421876</v>
      </c>
      <c r="E7795" t="inlineStr">
        <is>
          <t>SEC</t>
        </is>
      </c>
    </row>
    <row r="7796">
      <c r="A7796" s="5">
        <f>HYPERLINK("https://finance.yahoo.com/quote/TBNGY","TBNGY")</f>
        <v/>
      </c>
      <c r="B7796" t="inlineStr">
        <is>
          <t>PT Bukit Asam Tbk/ADR</t>
        </is>
      </c>
      <c r="C7796" t="inlineStr">
        <is>
          <t>OTC</t>
        </is>
      </c>
      <c r="D7796" t="n">
        <v>1489088</v>
      </c>
      <c r="E7796" t="inlineStr">
        <is>
          <t>SEC</t>
        </is>
      </c>
    </row>
    <row r="7797">
      <c r="A7797" s="5">
        <f>HYPERLINK("https://finance.yahoo.com/quote/AILLO","AILLO")</f>
        <v/>
      </c>
      <c r="B7797" t="inlineStr">
        <is>
          <t>Ameren Illinois Co</t>
        </is>
      </c>
      <c r="C7797" t="inlineStr">
        <is>
          <t>OTC</t>
        </is>
      </c>
      <c r="D7797" t="n">
        <v>18654</v>
      </c>
      <c r="E7797" t="inlineStr">
        <is>
          <t>SEC</t>
        </is>
      </c>
    </row>
    <row r="7798">
      <c r="A7798" s="5">
        <f>HYPERLINK("https://finance.yahoo.com/quote/LXP-PC","LXP-PC")</f>
        <v/>
      </c>
      <c r="B7798" t="inlineStr">
        <is>
          <t>LXP Industrial Trust</t>
        </is>
      </c>
      <c r="C7798" t="inlineStr">
        <is>
          <t>NYSE</t>
        </is>
      </c>
      <c r="D7798" t="n">
        <v>910108</v>
      </c>
      <c r="E7798" t="inlineStr">
        <is>
          <t>SEC</t>
        </is>
      </c>
    </row>
    <row r="7799">
      <c r="A7799" s="5">
        <f>HYPERLINK("https://finance.yahoo.com/quote/FNMAT","FNMAT")</f>
        <v/>
      </c>
      <c r="B7799" t="inlineStr">
        <is>
          <t>FEDERAL NATIONAL MORTGAGE ASSOCIATION FANNIE MAE</t>
        </is>
      </c>
      <c r="C7799" t="inlineStr">
        <is>
          <t>OTC</t>
        </is>
      </c>
      <c r="D7799" t="n">
        <v>310522</v>
      </c>
      <c r="E7799" t="inlineStr">
        <is>
          <t>SEC</t>
        </is>
      </c>
    </row>
    <row r="7800">
      <c r="A7800" s="5">
        <f>HYPERLINK("https://finance.yahoo.com/quote/AILIN","AILIN")</f>
        <v/>
      </c>
      <c r="B7800" t="inlineStr">
        <is>
          <t>Ameren Illinois Co</t>
        </is>
      </c>
      <c r="C7800" t="inlineStr">
        <is>
          <t>OTC</t>
        </is>
      </c>
      <c r="D7800" t="n">
        <v>18654</v>
      </c>
      <c r="E7800" t="inlineStr">
        <is>
          <t>SEC</t>
        </is>
      </c>
    </row>
    <row r="7801">
      <c r="A7801" s="5">
        <f>HYPERLINK("https://finance.yahoo.com/quote/FNMAK","FNMAK")</f>
        <v/>
      </c>
      <c r="B7801" t="inlineStr">
        <is>
          <t>FEDERAL NATIONAL MORTGAGE ASSOCIATION FANNIE MAE</t>
        </is>
      </c>
      <c r="C7801" t="inlineStr">
        <is>
          <t>OTC</t>
        </is>
      </c>
      <c r="D7801" t="n">
        <v>310522</v>
      </c>
      <c r="E7801" t="inlineStr">
        <is>
          <t>SEC</t>
        </is>
      </c>
    </row>
    <row r="7802">
      <c r="A7802" s="5">
        <f>HYPERLINK("https://finance.yahoo.com/quote/IFCNF","IFCNF")</f>
        <v/>
      </c>
      <c r="B7802" t="inlineStr">
        <is>
          <t>Inficon Holding AG/ADR</t>
        </is>
      </c>
      <c r="C7802" t="inlineStr">
        <is>
          <t>OTC</t>
        </is>
      </c>
      <c r="D7802" t="n">
        <v>2035057</v>
      </c>
      <c r="E7802" t="inlineStr">
        <is>
          <t>SEC</t>
        </is>
      </c>
    </row>
    <row r="7803">
      <c r="A7803" s="5">
        <f>HYPERLINK("https://finance.yahoo.com/quote/MXUBY","MXUBY")</f>
        <v/>
      </c>
      <c r="B7803" t="inlineStr">
        <is>
          <t>Mixue Bingcheng Co Ltd/ADR</t>
        </is>
      </c>
      <c r="C7803" t="inlineStr">
        <is>
          <t>OTC</t>
        </is>
      </c>
      <c r="D7803" t="n">
        <v>2061911</v>
      </c>
      <c r="E7803" t="inlineStr">
        <is>
          <t>SEC</t>
        </is>
      </c>
    </row>
    <row r="7804">
      <c r="A7804" s="5">
        <f>HYPERLINK("https://finance.yahoo.com/quote/FNMAL","FNMAL")</f>
        <v/>
      </c>
      <c r="B7804" t="inlineStr">
        <is>
          <t>FEDERAL NATIONAL MORTGAGE ASSOCIATION FANNIE MAE</t>
        </is>
      </c>
      <c r="C7804" t="inlineStr">
        <is>
          <t>OTC</t>
        </is>
      </c>
      <c r="D7804" t="n">
        <v>310522</v>
      </c>
      <c r="E7804" t="inlineStr">
        <is>
          <t>SEC</t>
        </is>
      </c>
    </row>
    <row r="7805">
      <c r="A7805" s="5">
        <f>HYPERLINK("https://finance.yahoo.com/quote/UA","UA")</f>
        <v/>
      </c>
      <c r="B7805" t="inlineStr">
        <is>
          <t>Under Armour, Inc.</t>
        </is>
      </c>
      <c r="C7805" t="inlineStr">
        <is>
          <t>NYSE</t>
        </is>
      </c>
      <c r="D7805" t="n">
        <v>1336917</v>
      </c>
      <c r="E7805" t="inlineStr">
        <is>
          <t>SEC</t>
        </is>
      </c>
    </row>
    <row r="7806">
      <c r="A7806" s="5">
        <f>HYPERLINK("https://finance.yahoo.com/quote/FNMFM","FNMFM")</f>
        <v/>
      </c>
      <c r="B7806" t="inlineStr">
        <is>
          <t>FEDERAL NATIONAL MORTGAGE ASSOCIATION FANNIE MAE</t>
        </is>
      </c>
      <c r="C7806" t="inlineStr">
        <is>
          <t>OTC</t>
        </is>
      </c>
      <c r="D7806" t="n">
        <v>310522</v>
      </c>
      <c r="E7806" t="inlineStr">
        <is>
          <t>SEC</t>
        </is>
      </c>
    </row>
    <row r="7807">
      <c r="A7807" s="5">
        <f>HYPERLINK("https://finance.yahoo.com/quote/AILLP","AILLP")</f>
        <v/>
      </c>
      <c r="B7807" t="inlineStr">
        <is>
          <t>Ameren Illinois Co</t>
        </is>
      </c>
      <c r="C7807" t="inlineStr">
        <is>
          <t>OTC</t>
        </is>
      </c>
      <c r="D7807" t="n">
        <v>18654</v>
      </c>
      <c r="E7807" t="inlineStr">
        <is>
          <t>SEC</t>
        </is>
      </c>
    </row>
    <row r="7808">
      <c r="A7808" s="5">
        <f>HYPERLINK("https://finance.yahoo.com/quote/WLYB","WLYB")</f>
        <v/>
      </c>
      <c r="B7808" t="inlineStr">
        <is>
          <t>JOHN WILEY &amp; SONS, INC.</t>
        </is>
      </c>
      <c r="C7808" t="inlineStr">
        <is>
          <t>NYSE</t>
        </is>
      </c>
      <c r="D7808" t="n">
        <v>107140</v>
      </c>
      <c r="E7808" t="inlineStr">
        <is>
          <t>SEC</t>
        </is>
      </c>
    </row>
    <row r="7809">
      <c r="A7809" s="5">
        <f>HYPERLINK("https://finance.yahoo.com/quote/FNMAO","FNMAO")</f>
        <v/>
      </c>
      <c r="B7809" t="inlineStr">
        <is>
          <t>FEDERAL NATIONAL MORTGAGE ASSOCIATION FANNIE MAE</t>
        </is>
      </c>
      <c r="C7809" t="inlineStr">
        <is>
          <t>OTC</t>
        </is>
      </c>
      <c r="D7809" t="n">
        <v>310522</v>
      </c>
      <c r="E7809" t="inlineStr">
        <is>
          <t>SEC</t>
        </is>
      </c>
    </row>
    <row r="7810">
      <c r="A7810" s="5">
        <f>HYPERLINK("https://finance.yahoo.com/quote/TUFBY","TUFBY")</f>
        <v/>
      </c>
      <c r="B7810" t="inlineStr">
        <is>
          <t>Thai Union Group Public Co Limited/ADR</t>
        </is>
      </c>
      <c r="C7810" t="inlineStr">
        <is>
          <t>OTC</t>
        </is>
      </c>
      <c r="D7810" t="n">
        <v>1562296</v>
      </c>
      <c r="E7810" t="inlineStr">
        <is>
          <t>SEC</t>
        </is>
      </c>
    </row>
    <row r="7811">
      <c r="A7811" s="5">
        <f>HYPERLINK("https://finance.yahoo.com/quote/FNMAG","FNMAG")</f>
        <v/>
      </c>
      <c r="B7811" t="inlineStr">
        <is>
          <t>FEDERAL NATIONAL MORTGAGE ASSOCIATION FANNIE MAE</t>
        </is>
      </c>
      <c r="C7811" t="inlineStr">
        <is>
          <t>OTC</t>
        </is>
      </c>
      <c r="D7811" t="n">
        <v>310522</v>
      </c>
      <c r="E7811" t="inlineStr">
        <is>
          <t>SEC</t>
        </is>
      </c>
    </row>
    <row r="7812">
      <c r="A7812" s="5">
        <f>HYPERLINK("https://finance.yahoo.com/quote/FNMFO","FNMFO")</f>
        <v/>
      </c>
      <c r="B7812" t="inlineStr">
        <is>
          <t>FEDERAL NATIONAL MORTGAGE ASSOCIATION FANNIE MAE</t>
        </is>
      </c>
      <c r="C7812" t="inlineStr">
        <is>
          <t>OTC</t>
        </is>
      </c>
      <c r="D7812" t="n">
        <v>310522</v>
      </c>
      <c r="E7812" t="inlineStr">
        <is>
          <t>SEC</t>
        </is>
      </c>
    </row>
    <row r="7813">
      <c r="A7813" s="5">
        <f>HYPERLINK("https://finance.yahoo.com/quote/ACVA","ACVA")</f>
        <v/>
      </c>
      <c r="B7813" t="inlineStr">
        <is>
          <t>ACV Auctions Inc.</t>
        </is>
      </c>
      <c r="C7813" t="inlineStr">
        <is>
          <t>NYSE</t>
        </is>
      </c>
      <c r="D7813" t="n">
        <v>1637873</v>
      </c>
      <c r="E7813" t="inlineStr">
        <is>
          <t>SEC</t>
        </is>
      </c>
    </row>
    <row r="7814">
      <c r="A7814" s="5">
        <f>HYPERLINK("https://finance.yahoo.com/quote/ARZTF","ARZTF")</f>
        <v/>
      </c>
      <c r="B7814" t="inlineStr">
        <is>
          <t>ARYZTA AG (fka IAWS GROUP PLC)</t>
        </is>
      </c>
      <c r="C7814" t="inlineStr">
        <is>
          <t>OTC</t>
        </is>
      </c>
      <c r="D7814" t="n">
        <v>1423210</v>
      </c>
      <c r="E7814" t="inlineStr">
        <is>
          <t>SEC</t>
        </is>
      </c>
    </row>
    <row r="7815">
      <c r="A7815" s="5">
        <f>HYPERLINK("https://finance.yahoo.com/quote/AEBZY","AEBZY")</f>
        <v/>
      </c>
      <c r="B7815" t="inlineStr">
        <is>
          <t>ANADOLU EFES BIRACILIK VE MALT SANAYI A S/ADR</t>
        </is>
      </c>
      <c r="C7815" t="inlineStr">
        <is>
          <t>OTC</t>
        </is>
      </c>
      <c r="D7815" t="n">
        <v>1174511</v>
      </c>
      <c r="E7815" t="inlineStr">
        <is>
          <t>SEC</t>
        </is>
      </c>
    </row>
    <row r="7816">
      <c r="A7816" s="5">
        <f>HYPERLINK("https://finance.yahoo.com/quote/GDV-PH","GDV-PH")</f>
        <v/>
      </c>
      <c r="B7816" t="inlineStr">
        <is>
          <t>GABELLI DIVIDEND &amp; INCOME TRUST</t>
        </is>
      </c>
      <c r="C7816" t="inlineStr">
        <is>
          <t>NYSE</t>
        </is>
      </c>
      <c r="D7816" t="n">
        <v>1260729</v>
      </c>
      <c r="E7816" t="inlineStr">
        <is>
          <t>SEC</t>
        </is>
      </c>
    </row>
    <row r="7817">
      <c r="A7817" s="5">
        <f>HYPERLINK("https://finance.yahoo.com/quote/FLIDF","FLIDF")</f>
        <v/>
      </c>
      <c r="B7817" t="inlineStr">
        <is>
          <t>FLSMIDTH &amp; CO. A/S</t>
        </is>
      </c>
      <c r="C7817" t="inlineStr">
        <is>
          <t>OTC</t>
        </is>
      </c>
      <c r="D7817" t="n">
        <v>1433087</v>
      </c>
      <c r="E7817" t="inlineStr">
        <is>
          <t>SEC</t>
        </is>
      </c>
    </row>
    <row r="7818">
      <c r="A7818" s="5">
        <f>HYPERLINK("https://finance.yahoo.com/quote/FISK","FISK")</f>
        <v/>
      </c>
      <c r="B7818" t="inlineStr">
        <is>
          <t>Empire State Realty OP, L.P.</t>
        </is>
      </c>
      <c r="C7818" t="inlineStr">
        <is>
          <t>NYSE</t>
        </is>
      </c>
      <c r="D7818" t="n">
        <v>1553079</v>
      </c>
      <c r="E7818" t="inlineStr">
        <is>
          <t>SEC</t>
        </is>
      </c>
    </row>
    <row r="7819">
      <c r="A7819" s="5">
        <f>HYPERLINK("https://finance.yahoo.com/quote/GRPFF","GRPFF")</f>
        <v/>
      </c>
      <c r="B7819" t="inlineStr">
        <is>
          <t>GRUPO TELEVISA, S.A.B.</t>
        </is>
      </c>
      <c r="C7819" t="inlineStr">
        <is>
          <t>OTC</t>
        </is>
      </c>
      <c r="D7819" t="n">
        <v>912892</v>
      </c>
      <c r="E7819" t="inlineStr">
        <is>
          <t>SEC</t>
        </is>
      </c>
    </row>
    <row r="7820">
      <c r="A7820" s="5">
        <f>HYPERLINK("https://finance.yahoo.com/quote/EVOTF","EVOTF")</f>
        <v/>
      </c>
      <c r="B7820" t="inlineStr">
        <is>
          <t>Evotec SE</t>
        </is>
      </c>
      <c r="C7820" t="inlineStr">
        <is>
          <t>OTC</t>
        </is>
      </c>
      <c r="D7820" t="n">
        <v>1412558</v>
      </c>
      <c r="E7820" t="inlineStr">
        <is>
          <t>SEC</t>
        </is>
      </c>
    </row>
    <row r="7821">
      <c r="A7821" s="5">
        <f>HYPERLINK("https://finance.yahoo.com/quote/LILAK","LILAK")</f>
        <v/>
      </c>
      <c r="B7821" t="inlineStr">
        <is>
          <t>Liberty Latin America Ltd.</t>
        </is>
      </c>
      <c r="C7821" t="inlineStr">
        <is>
          <t>Nasdaq</t>
        </is>
      </c>
      <c r="D7821" t="n">
        <v>1712184</v>
      </c>
      <c r="E7821" t="inlineStr">
        <is>
          <t>SEC</t>
        </is>
      </c>
    </row>
    <row r="7822">
      <c r="A7822" s="5">
        <f>HYPERLINK("https://finance.yahoo.com/quote/NGL-PC","NGL-PC")</f>
        <v/>
      </c>
      <c r="B7822" t="inlineStr">
        <is>
          <t>NGL Energy Partners LP</t>
        </is>
      </c>
      <c r="C7822" t="inlineStr">
        <is>
          <t>NYSE</t>
        </is>
      </c>
      <c r="D7822" t="n">
        <v>1504461</v>
      </c>
      <c r="E7822" t="inlineStr">
        <is>
          <t>SEC</t>
        </is>
      </c>
    </row>
    <row r="7823">
      <c r="A7823" s="5">
        <f>HYPERLINK("https://finance.yahoo.com/quote/DHRPY","DHRPY")</f>
        <v/>
      </c>
      <c r="B7823" t="inlineStr">
        <is>
          <t>Deutsche EuroShop AG/ADR</t>
        </is>
      </c>
      <c r="C7823" t="inlineStr">
        <is>
          <t>OTC</t>
        </is>
      </c>
      <c r="D7823" t="n">
        <v>1674699</v>
      </c>
      <c r="E7823" t="inlineStr">
        <is>
          <t>SEC</t>
        </is>
      </c>
    </row>
    <row r="7824">
      <c r="A7824" s="5">
        <f>HYPERLINK("https://finance.yahoo.com/quote/BFS-PD","BFS-PD")</f>
        <v/>
      </c>
      <c r="B7824" t="inlineStr">
        <is>
          <t>SAUL CENTERS, INC.</t>
        </is>
      </c>
      <c r="C7824" t="inlineStr">
        <is>
          <t>NYSE</t>
        </is>
      </c>
      <c r="D7824" t="n">
        <v>907254</v>
      </c>
      <c r="E7824" t="inlineStr">
        <is>
          <t>SEC</t>
        </is>
      </c>
    </row>
    <row r="7825">
      <c r="A7825" s="5">
        <f>HYPERLINK("https://finance.yahoo.com/quote/FMCCL","FMCCL")</f>
        <v/>
      </c>
      <c r="B7825" t="inlineStr">
        <is>
          <t>FEDERAL HOME LOAN MORTGAGE CORP</t>
        </is>
      </c>
      <c r="C7825" t="inlineStr">
        <is>
          <t>OTC</t>
        </is>
      </c>
      <c r="D7825" t="n">
        <v>1026214</v>
      </c>
      <c r="E7825" t="inlineStr">
        <is>
          <t>SEC</t>
        </is>
      </c>
    </row>
    <row r="7826">
      <c r="A7826" s="5">
        <f>HYPERLINK("https://finance.yahoo.com/quote/OGCP","OGCP")</f>
        <v/>
      </c>
      <c r="B7826" t="inlineStr">
        <is>
          <t>Empire State Realty OP, L.P.</t>
        </is>
      </c>
      <c r="C7826" t="inlineStr">
        <is>
          <t>NYSE</t>
        </is>
      </c>
      <c r="D7826" t="n">
        <v>1553079</v>
      </c>
      <c r="E7826" t="inlineStr">
        <is>
          <t>SEC</t>
        </is>
      </c>
    </row>
    <row r="7827">
      <c r="A7827" s="5">
        <f>HYPERLINK("https://finance.yahoo.com/quote/AGM-A","AGM-A")</f>
        <v/>
      </c>
      <c r="B7827" t="inlineStr">
        <is>
          <t>FEDERAL AGRICULTURAL MORTGAGE CORP</t>
        </is>
      </c>
      <c r="C7827" t="inlineStr">
        <is>
          <t>NYSE</t>
        </is>
      </c>
      <c r="D7827" t="n">
        <v>845877</v>
      </c>
      <c r="E7827" t="inlineStr">
        <is>
          <t>SEC</t>
        </is>
      </c>
    </row>
    <row r="7828">
      <c r="A7828" s="5">
        <f>HYPERLINK("https://finance.yahoo.com/quote/FMCKL","FMCKL")</f>
        <v/>
      </c>
      <c r="B7828" t="inlineStr">
        <is>
          <t>FEDERAL HOME LOAN MORTGAGE CORP</t>
        </is>
      </c>
      <c r="C7828" t="inlineStr">
        <is>
          <t>OTC</t>
        </is>
      </c>
      <c r="D7828" t="n">
        <v>1026214</v>
      </c>
      <c r="E7828" t="inlineStr">
        <is>
          <t>SEC</t>
        </is>
      </c>
    </row>
    <row r="7829">
      <c r="A7829" s="5">
        <f>HYPERLINK("https://finance.yahoo.com/quote/LTGHF","LTGHF")</f>
        <v/>
      </c>
      <c r="B7829" t="inlineStr">
        <is>
          <t>Life Healthcare Group Holdings Limited/ADR</t>
        </is>
      </c>
      <c r="C7829" t="inlineStr">
        <is>
          <t>OTC</t>
        </is>
      </c>
      <c r="D7829" t="n">
        <v>1569963</v>
      </c>
      <c r="E7829" t="inlineStr">
        <is>
          <t>SEC</t>
        </is>
      </c>
    </row>
    <row r="7830">
      <c r="A7830" s="5">
        <f>HYPERLINK("https://finance.yahoo.com/quote/PMT-PA","PMT-PA")</f>
        <v/>
      </c>
      <c r="B7830" t="inlineStr">
        <is>
          <t>PennyMac Mortgage Investment Trust</t>
        </is>
      </c>
      <c r="C7830" t="inlineStr">
        <is>
          <t>NYSE</t>
        </is>
      </c>
      <c r="D7830" t="n">
        <v>1464423</v>
      </c>
      <c r="E7830" t="inlineStr">
        <is>
          <t>SEC</t>
        </is>
      </c>
    </row>
    <row r="7831">
      <c r="A7831" s="5">
        <f>HYPERLINK("https://finance.yahoo.com/quote/PMT-PB","PMT-PB")</f>
        <v/>
      </c>
      <c r="B7831" t="inlineStr">
        <is>
          <t>PennyMac Mortgage Investment Trust</t>
        </is>
      </c>
      <c r="C7831" t="inlineStr">
        <is>
          <t>NYSE</t>
        </is>
      </c>
      <c r="D7831" t="n">
        <v>1464423</v>
      </c>
      <c r="E7831" t="inlineStr">
        <is>
          <t>SEC</t>
        </is>
      </c>
    </row>
    <row r="7832">
      <c r="A7832" s="5">
        <f>HYPERLINK("https://finance.yahoo.com/quote/SBOEF","SBOEF")</f>
        <v/>
      </c>
      <c r="B7832" t="inlineStr">
        <is>
          <t>SBO AG/ADR</t>
        </is>
      </c>
      <c r="C7832" t="inlineStr">
        <is>
          <t>OTC</t>
        </is>
      </c>
      <c r="D7832" t="n">
        <v>1578955</v>
      </c>
      <c r="E7832" t="inlineStr">
        <is>
          <t>SEC</t>
        </is>
      </c>
    </row>
    <row r="7833">
      <c r="A7833" s="5">
        <f>HYPERLINK("https://finance.yahoo.com/quote/LILAB","LILAB")</f>
        <v/>
      </c>
      <c r="B7833" t="inlineStr">
        <is>
          <t>Liberty Latin America Ltd.</t>
        </is>
      </c>
      <c r="C7833" t="inlineStr">
        <is>
          <t>OTC</t>
        </is>
      </c>
      <c r="D7833" t="n">
        <v>1712184</v>
      </c>
      <c r="E7833" t="inlineStr">
        <is>
          <t>SEC</t>
        </is>
      </c>
    </row>
    <row r="7834">
      <c r="A7834" s="5">
        <f>HYPERLINK("https://finance.yahoo.com/quote/FMCCS","FMCCS")</f>
        <v/>
      </c>
      <c r="B7834" t="inlineStr">
        <is>
          <t>FEDERAL HOME LOAN MORTGAGE CORP</t>
        </is>
      </c>
      <c r="C7834" t="inlineStr">
        <is>
          <t>OTC</t>
        </is>
      </c>
      <c r="D7834" t="n">
        <v>1026214</v>
      </c>
      <c r="E7834" t="inlineStr">
        <is>
          <t>SEC</t>
        </is>
      </c>
    </row>
    <row r="7835">
      <c r="A7835" s="5">
        <f>HYPERLINK("https://finance.yahoo.com/quote/MHLA","MHLA")</f>
        <v/>
      </c>
      <c r="B7835" t="inlineStr">
        <is>
          <t>Maiden Holdings, Ltd.</t>
        </is>
      </c>
      <c r="C7835" t="inlineStr">
        <is>
          <t>NYSE</t>
        </is>
      </c>
      <c r="D7835" t="n">
        <v>1412100</v>
      </c>
      <c r="E7835" t="inlineStr">
        <is>
          <t>SEC</t>
        </is>
      </c>
    </row>
    <row r="7836">
      <c r="A7836" s="5">
        <f>HYPERLINK("https://finance.yahoo.com/quote/BH","BH")</f>
        <v/>
      </c>
      <c r="B7836" t="inlineStr">
        <is>
          <t>Biglari Holdings Inc.</t>
        </is>
      </c>
      <c r="C7836" t="inlineStr">
        <is>
          <t>NYSE</t>
        </is>
      </c>
      <c r="D7836" t="n">
        <v>1726173</v>
      </c>
      <c r="E7836" t="inlineStr">
        <is>
          <t>SEC</t>
        </is>
      </c>
    </row>
    <row r="7837">
      <c r="A7837" s="5">
        <f>HYPERLINK("https://finance.yahoo.com/quote/FMCCO","FMCCO")</f>
        <v/>
      </c>
      <c r="B7837" t="inlineStr">
        <is>
          <t>FEDERAL HOME LOAN MORTGAGE CORP</t>
        </is>
      </c>
      <c r="C7837" t="inlineStr">
        <is>
          <t>OTC</t>
        </is>
      </c>
      <c r="D7837" t="n">
        <v>1026214</v>
      </c>
      <c r="E7837" t="inlineStr">
        <is>
          <t>SEC</t>
        </is>
      </c>
    </row>
    <row r="7838">
      <c r="A7838" s="5">
        <f>HYPERLINK("https://finance.yahoo.com/quote/CODI-PB","CODI-PB")</f>
        <v/>
      </c>
      <c r="B7838" t="inlineStr">
        <is>
          <t>Compass Diversified Holdings</t>
        </is>
      </c>
      <c r="C7838" t="inlineStr">
        <is>
          <t>NYSE</t>
        </is>
      </c>
      <c r="D7838" t="n">
        <v>1345126</v>
      </c>
      <c r="E7838" t="inlineStr">
        <is>
          <t>SEC</t>
        </is>
      </c>
    </row>
    <row r="7839">
      <c r="A7839" s="5">
        <f>HYPERLINK("https://finance.yahoo.com/quote/FMCKN","FMCKN")</f>
        <v/>
      </c>
      <c r="B7839" t="inlineStr">
        <is>
          <t>FEDERAL HOME LOAN MORTGAGE CORP</t>
        </is>
      </c>
      <c r="C7839" t="inlineStr">
        <is>
          <t>OTC</t>
        </is>
      </c>
      <c r="D7839" t="n">
        <v>1026214</v>
      </c>
      <c r="E7839" t="inlineStr">
        <is>
          <t>SEC</t>
        </is>
      </c>
    </row>
    <row r="7840">
      <c r="A7840" s="5">
        <f>HYPERLINK("https://finance.yahoo.com/quote/FREJN","FREJN")</f>
        <v/>
      </c>
      <c r="B7840" t="inlineStr">
        <is>
          <t>FEDERAL HOME LOAN MORTGAGE CORP</t>
        </is>
      </c>
      <c r="C7840" t="inlineStr">
        <is>
          <t>OTC</t>
        </is>
      </c>
      <c r="D7840" t="n">
        <v>1026214</v>
      </c>
      <c r="E7840" t="inlineStr">
        <is>
          <t>SEC</t>
        </is>
      </c>
    </row>
    <row r="7841">
      <c r="A7841" s="5">
        <f>HYPERLINK("https://finance.yahoo.com/quote/CMGMF","CMGMF")</f>
        <v/>
      </c>
      <c r="B7841" t="inlineStr">
        <is>
          <t>Chemring Group PLC/ADR</t>
        </is>
      </c>
      <c r="C7841" t="inlineStr">
        <is>
          <t>OTC</t>
        </is>
      </c>
      <c r="D7841" t="n">
        <v>1503154</v>
      </c>
      <c r="E7841" t="inlineStr">
        <is>
          <t>SEC</t>
        </is>
      </c>
    </row>
    <row r="7842">
      <c r="A7842" s="5">
        <f>HYPERLINK("https://finance.yahoo.com/quote/FMCCN","FMCCN")</f>
        <v/>
      </c>
      <c r="B7842" t="inlineStr">
        <is>
          <t>FEDERAL HOME LOAN MORTGAGE CORP</t>
        </is>
      </c>
      <c r="C7842" t="inlineStr">
        <is>
          <t>OTC</t>
        </is>
      </c>
      <c r="D7842" t="n">
        <v>1026214</v>
      </c>
      <c r="E7842" t="inlineStr">
        <is>
          <t>SEC</t>
        </is>
      </c>
    </row>
    <row r="7843">
      <c r="A7843" s="5">
        <f>HYPERLINK("https://finance.yahoo.com/quote/FMCKO","FMCKO")</f>
        <v/>
      </c>
      <c r="B7843" t="inlineStr">
        <is>
          <t>FEDERAL HOME LOAN MORTGAGE CORP</t>
        </is>
      </c>
      <c r="C7843" t="inlineStr">
        <is>
          <t>OTC</t>
        </is>
      </c>
      <c r="D7843" t="n">
        <v>1026214</v>
      </c>
      <c r="E7843" t="inlineStr">
        <is>
          <t>SEC</t>
        </is>
      </c>
    </row>
    <row r="7844">
      <c r="A7844" s="5">
        <f>HYPERLINK("https://finance.yahoo.com/quote/FMCKJ","FMCKJ")</f>
        <v/>
      </c>
      <c r="B7844" t="inlineStr">
        <is>
          <t>FEDERAL HOME LOAN MORTGAGE CORP</t>
        </is>
      </c>
      <c r="C7844" t="inlineStr">
        <is>
          <t>OTC</t>
        </is>
      </c>
      <c r="D7844" t="n">
        <v>1026214</v>
      </c>
      <c r="E7844" t="inlineStr">
        <is>
          <t>SEC</t>
        </is>
      </c>
    </row>
    <row r="7845">
      <c r="A7845" s="5">
        <f>HYPERLINK("https://finance.yahoo.com/quote/FMCKM","FMCKM")</f>
        <v/>
      </c>
      <c r="B7845" t="inlineStr">
        <is>
          <t>FEDERAL HOME LOAN MORTGAGE CORP</t>
        </is>
      </c>
      <c r="C7845" t="inlineStr">
        <is>
          <t>OTC</t>
        </is>
      </c>
      <c r="D7845" t="n">
        <v>1026214</v>
      </c>
      <c r="E7845" t="inlineStr">
        <is>
          <t>SEC</t>
        </is>
      </c>
    </row>
    <row r="7846">
      <c r="A7846" s="5">
        <f>HYPERLINK("https://finance.yahoo.com/quote/FREGP","FREGP")</f>
        <v/>
      </c>
      <c r="B7846" t="inlineStr">
        <is>
          <t>FEDERAL HOME LOAN MORTGAGE CORP</t>
        </is>
      </c>
      <c r="C7846" t="inlineStr">
        <is>
          <t>OTC</t>
        </is>
      </c>
      <c r="D7846" t="n">
        <v>1026214</v>
      </c>
      <c r="E7846" t="inlineStr">
        <is>
          <t>SEC</t>
        </is>
      </c>
    </row>
    <row r="7847">
      <c r="A7847" s="5">
        <f>HYPERLINK("https://finance.yahoo.com/quote/GLOP-PA","GLOP-PA")</f>
        <v/>
      </c>
      <c r="B7847" t="inlineStr">
        <is>
          <t>GasLog Partners LP</t>
        </is>
      </c>
      <c r="C7847" t="inlineStr">
        <is>
          <t>NYSE</t>
        </is>
      </c>
      <c r="D7847" t="n">
        <v>1598655</v>
      </c>
      <c r="E7847" t="inlineStr">
        <is>
          <t>SEC</t>
        </is>
      </c>
    </row>
    <row r="7848">
      <c r="A7848" s="5">
        <f>HYPERLINK("https://finance.yahoo.com/quote/FMCCH","FMCCH")</f>
        <v/>
      </c>
      <c r="B7848" t="inlineStr">
        <is>
          <t>FEDERAL HOME LOAN MORTGAGE CORP</t>
        </is>
      </c>
      <c r="C7848" t="inlineStr">
        <is>
          <t>OTC</t>
        </is>
      </c>
      <c r="D7848" t="n">
        <v>1026214</v>
      </c>
      <c r="E7848" t="inlineStr">
        <is>
          <t>SEC</t>
        </is>
      </c>
    </row>
    <row r="7849">
      <c r="A7849" s="5">
        <f>HYPERLINK("https://finance.yahoo.com/quote/FMCCK","FMCCK")</f>
        <v/>
      </c>
      <c r="B7849" t="inlineStr">
        <is>
          <t>FEDERAL HOME LOAN MORTGAGE CORP</t>
        </is>
      </c>
      <c r="C7849" t="inlineStr">
        <is>
          <t>OTC</t>
        </is>
      </c>
      <c r="D7849" t="n">
        <v>1026214</v>
      </c>
      <c r="E7849" t="inlineStr">
        <is>
          <t>SEC</t>
        </is>
      </c>
    </row>
    <row r="7850">
      <c r="A7850" s="5">
        <f>HYPERLINK("https://finance.yahoo.com/quote/RIOFF","RIOFF")</f>
        <v/>
      </c>
      <c r="B7850" t="inlineStr">
        <is>
          <t>Rio2 Ltd</t>
        </is>
      </c>
      <c r="C7850" t="inlineStr">
        <is>
          <t>OTC</t>
        </is>
      </c>
      <c r="D7850" t="n">
        <v>1743235</v>
      </c>
      <c r="E7850" t="inlineStr">
        <is>
          <t>SEC</t>
        </is>
      </c>
    </row>
    <row r="7851">
      <c r="A7851" s="5">
        <f>HYPERLINK("https://finance.yahoo.com/quote/HL-PB","HL-PB")</f>
        <v/>
      </c>
      <c r="B7851" t="inlineStr">
        <is>
          <t>HECLA MINING CO/DE/</t>
        </is>
      </c>
      <c r="C7851" t="inlineStr">
        <is>
          <t>NYSE</t>
        </is>
      </c>
      <c r="D7851" t="n">
        <v>719413</v>
      </c>
      <c r="E7851" t="inlineStr">
        <is>
          <t>SEC</t>
        </is>
      </c>
    </row>
    <row r="7852">
      <c r="A7852" s="5">
        <f>HYPERLINK("https://finance.yahoo.com/quote/FMCCP","FMCCP")</f>
        <v/>
      </c>
      <c r="B7852" t="inlineStr">
        <is>
          <t>FEDERAL HOME LOAN MORTGAGE CORP</t>
        </is>
      </c>
      <c r="C7852" t="inlineStr">
        <is>
          <t>OTC</t>
        </is>
      </c>
      <c r="D7852" t="n">
        <v>1026214</v>
      </c>
      <c r="E7852" t="inlineStr">
        <is>
          <t>SEC</t>
        </is>
      </c>
    </row>
    <row r="7853">
      <c r="A7853" s="5">
        <f>HYPERLINK("https://finance.yahoo.com/quote/FMCCM","FMCCM")</f>
        <v/>
      </c>
      <c r="B7853" t="inlineStr">
        <is>
          <t>FEDERAL HOME LOAN MORTGAGE CORP</t>
        </is>
      </c>
      <c r="C7853" t="inlineStr">
        <is>
          <t>OTC</t>
        </is>
      </c>
      <c r="D7853" t="n">
        <v>1026214</v>
      </c>
      <c r="E7853" t="inlineStr">
        <is>
          <t>SEC</t>
        </is>
      </c>
    </row>
    <row r="7854">
      <c r="A7854" s="5">
        <f>HYPERLINK("https://finance.yahoo.com/quote/FMCKP","FMCKP")</f>
        <v/>
      </c>
      <c r="B7854" t="inlineStr">
        <is>
          <t>FEDERAL HOME LOAN MORTGAGE CORP</t>
        </is>
      </c>
      <c r="C7854" t="inlineStr">
        <is>
          <t>OTC</t>
        </is>
      </c>
      <c r="D7854" t="n">
        <v>1026214</v>
      </c>
      <c r="E7854" t="inlineStr">
        <is>
          <t>SEC</t>
        </is>
      </c>
    </row>
    <row r="7855">
      <c r="A7855" s="5">
        <f>HYPERLINK("https://finance.yahoo.com/quote/SENEB","SENEB")</f>
        <v/>
      </c>
      <c r="B7855" t="inlineStr">
        <is>
          <t>Seneca Foods Corp</t>
        </is>
      </c>
      <c r="C7855" t="inlineStr">
        <is>
          <t>Nasdaq</t>
        </is>
      </c>
      <c r="D7855" t="n">
        <v>88948</v>
      </c>
      <c r="E7855" t="inlineStr">
        <is>
          <t>SEC</t>
        </is>
      </c>
    </row>
    <row r="7856">
      <c r="A7856" s="5">
        <f>HYPERLINK("https://finance.yahoo.com/quote/FXCNF","FXCNF")</f>
        <v/>
      </c>
      <c r="B7856" t="inlineStr">
        <is>
          <t>FIH Mobile Ltd</t>
        </is>
      </c>
      <c r="C7856" t="inlineStr">
        <is>
          <t>OTC</t>
        </is>
      </c>
      <c r="D7856" t="n">
        <v>1164009</v>
      </c>
      <c r="E7856" t="inlineStr">
        <is>
          <t>SEC</t>
        </is>
      </c>
    </row>
    <row r="7857">
      <c r="A7857" s="5">
        <f>HYPERLINK("https://finance.yahoo.com/quote/DRSHF","DRSHF")</f>
        <v/>
      </c>
      <c r="B7857" t="inlineStr">
        <is>
          <t>DroneShield Ltd</t>
        </is>
      </c>
      <c r="C7857" t="inlineStr">
        <is>
          <t>OTC</t>
        </is>
      </c>
      <c r="D7857" t="n">
        <v>1671541</v>
      </c>
      <c r="E7857" t="inlineStr">
        <is>
          <t>SEC</t>
        </is>
      </c>
    </row>
    <row r="7858">
      <c r="A7858" s="5">
        <f>HYPERLINK("https://finance.yahoo.com/quote/KELYB","KELYB")</f>
        <v/>
      </c>
      <c r="B7858" t="inlineStr">
        <is>
          <t>KELLY SERVICES INC</t>
        </is>
      </c>
      <c r="C7858" t="inlineStr">
        <is>
          <t>Nasdaq</t>
        </is>
      </c>
      <c r="D7858" t="n">
        <v>55135</v>
      </c>
      <c r="E7858" t="inlineStr">
        <is>
          <t>SEC</t>
        </is>
      </c>
    </row>
    <row r="7859">
      <c r="A7859" s="5">
        <f>HYPERLINK("https://finance.yahoo.com/quote/DGICB","DGICB")</f>
        <v/>
      </c>
      <c r="B7859" t="inlineStr">
        <is>
          <t>DONEGAL GROUP INC</t>
        </is>
      </c>
      <c r="C7859" t="inlineStr">
        <is>
          <t>Nasdaq</t>
        </is>
      </c>
      <c r="D7859" t="n">
        <v>800457</v>
      </c>
      <c r="E7859" t="inlineStr">
        <is>
          <t>SEC</t>
        </is>
      </c>
    </row>
    <row r="7860">
      <c r="A7860" s="5">
        <f>HYPERLINK("https://finance.yahoo.com/quote/BZH","BZH")</f>
        <v/>
      </c>
      <c r="B7860" t="inlineStr">
        <is>
          <t>BEAZER HOMES USA INC</t>
        </is>
      </c>
      <c r="C7860" t="inlineStr">
        <is>
          <t>NYSE</t>
        </is>
      </c>
      <c r="D7860" t="n">
        <v>915840</v>
      </c>
      <c r="E7860" t="inlineStr">
        <is>
          <t>SEC</t>
        </is>
      </c>
    </row>
    <row r="7861">
      <c r="A7861" s="5">
        <f>HYPERLINK("https://finance.yahoo.com/quote/HCACU","HCACU")</f>
        <v/>
      </c>
      <c r="B7861" t="inlineStr">
        <is>
          <t>Hall Chadwick Acquisition Corp</t>
        </is>
      </c>
      <c r="C7861" t="inlineStr">
        <is>
          <t>Nasdaq</t>
        </is>
      </c>
      <c r="D7861" t="n">
        <v>2079013</v>
      </c>
      <c r="E7861" t="inlineStr">
        <is>
          <t>SEC</t>
        </is>
      </c>
    </row>
    <row r="7862">
      <c r="A7862" s="5">
        <f>HYPERLINK("https://finance.yahoo.com/quote/ARI","ARI")</f>
        <v/>
      </c>
      <c r="B7862" t="inlineStr">
        <is>
          <t>Apollo Commercial Real Estate Finance, Inc.</t>
        </is>
      </c>
      <c r="C7862" t="inlineStr">
        <is>
          <t>NYSE</t>
        </is>
      </c>
      <c r="D7862" t="n">
        <v>1467760</v>
      </c>
      <c r="E7862" t="inlineStr">
        <is>
          <t>SEC</t>
        </is>
      </c>
    </row>
    <row r="7863">
      <c r="A7863" s="5">
        <f>HYPERLINK("https://finance.yahoo.com/quote/GTN-A","GTN-A")</f>
        <v/>
      </c>
      <c r="B7863" t="inlineStr">
        <is>
          <t>GRAY MEDIA, INC</t>
        </is>
      </c>
      <c r="C7863" t="inlineStr">
        <is>
          <t>NYSE</t>
        </is>
      </c>
      <c r="D7863" t="n">
        <v>43196</v>
      </c>
      <c r="E7863" t="inlineStr">
        <is>
          <t>SEC</t>
        </is>
      </c>
    </row>
    <row r="7864">
      <c r="A7864" s="5">
        <f>HYPERLINK("https://finance.yahoo.com/quote/MEOBF","MEOBF")</f>
        <v/>
      </c>
      <c r="B7864" t="inlineStr">
        <is>
          <t>MESOBLAST LTD</t>
        </is>
      </c>
      <c r="C7864" t="inlineStr">
        <is>
          <t>OTC</t>
        </is>
      </c>
      <c r="D7864" t="n">
        <v>1345099</v>
      </c>
      <c r="E7864" t="inlineStr">
        <is>
          <t>SEC</t>
        </is>
      </c>
    </row>
    <row r="7865">
      <c r="A7865" s="5">
        <f>HYPERLINK("https://finance.yahoo.com/quote/DRDGF","DRDGF")</f>
        <v/>
      </c>
      <c r="B7865" t="inlineStr">
        <is>
          <t>DRDGOLD LTD</t>
        </is>
      </c>
      <c r="C7865" t="inlineStr">
        <is>
          <t>OTC</t>
        </is>
      </c>
      <c r="D7865" t="n">
        <v>1023512</v>
      </c>
      <c r="E7865" t="inlineStr">
        <is>
          <t>SEC</t>
        </is>
      </c>
    </row>
    <row r="7866">
      <c r="A7866" s="5">
        <f>HYPERLINK("https://finance.yahoo.com/quote/GDRZF","GDRZF")</f>
        <v/>
      </c>
      <c r="B7866" t="inlineStr">
        <is>
          <t>GOLD RESERVE LTD</t>
        </is>
      </c>
      <c r="C7866" t="inlineStr">
        <is>
          <t>OTC</t>
        </is>
      </c>
      <c r="D7866" t="n">
        <v>1072725</v>
      </c>
      <c r="E7866" t="inlineStr">
        <is>
          <t>SEC</t>
        </is>
      </c>
    </row>
    <row r="7867">
      <c r="A7867" s="5">
        <f>HYPERLINK("https://finance.yahoo.com/quote/HOVVB","HOVVB")</f>
        <v/>
      </c>
      <c r="B7867" t="inlineStr">
        <is>
          <t>HOVNANIAN ENTERPRISES INC</t>
        </is>
      </c>
      <c r="C7867" t="inlineStr">
        <is>
          <t>OTC</t>
        </is>
      </c>
      <c r="D7867" t="n">
        <v>357294</v>
      </c>
      <c r="E7867" t="inlineStr">
        <is>
          <t>SEC</t>
        </is>
      </c>
    </row>
    <row r="7868">
      <c r="A7868" s="5">
        <f>HYPERLINK("https://finance.yahoo.com/quote/CMRE-PC","CMRE-PC")</f>
        <v/>
      </c>
      <c r="B7868" t="inlineStr">
        <is>
          <t>Costamare Inc.</t>
        </is>
      </c>
      <c r="C7868" t="inlineStr">
        <is>
          <t>NYSE</t>
        </is>
      </c>
      <c r="D7868" t="n">
        <v>1503584</v>
      </c>
      <c r="E7868" t="inlineStr">
        <is>
          <t>SEC</t>
        </is>
      </c>
    </row>
    <row r="7869">
      <c r="A7869" s="5">
        <f>HYPERLINK("https://finance.yahoo.com/quote/CLVLF","CLVLF")</f>
        <v/>
      </c>
      <c r="B7869" t="inlineStr">
        <is>
          <t>Clinuvel Pharmaceuticals Ltd</t>
        </is>
      </c>
      <c r="C7869" t="inlineStr">
        <is>
          <t>OTC</t>
        </is>
      </c>
      <c r="D7869" t="n">
        <v>1290877</v>
      </c>
      <c r="E7869" t="inlineStr">
        <is>
          <t>SEC</t>
        </is>
      </c>
    </row>
    <row r="7870">
      <c r="A7870" s="5">
        <f>HYPERLINK("https://finance.yahoo.com/quote/HVT-A","HVT-A")</f>
        <v/>
      </c>
      <c r="B7870" t="inlineStr">
        <is>
          <t>HAVERTY FURNITURE COMPANIES INC</t>
        </is>
      </c>
      <c r="C7870" t="inlineStr">
        <is>
          <t>NYSE</t>
        </is>
      </c>
      <c r="D7870" t="n">
        <v>216085</v>
      </c>
      <c r="E7870" t="inlineStr">
        <is>
          <t>SEC</t>
        </is>
      </c>
    </row>
    <row r="7871">
      <c r="A7871" s="5">
        <f>HYPERLINK("https://finance.yahoo.com/quote/GGT-PE","GGT-PE")</f>
        <v/>
      </c>
      <c r="B7871" t="inlineStr">
        <is>
          <t>GABELLI MULTIMEDIA TRUST INC.</t>
        </is>
      </c>
      <c r="C7871" t="inlineStr">
        <is>
          <t>NYSE</t>
        </is>
      </c>
      <c r="D7871" t="n">
        <v>921671</v>
      </c>
      <c r="E7871" t="inlineStr">
        <is>
          <t>SEC</t>
        </is>
      </c>
    </row>
    <row r="7872">
      <c r="A7872" s="5">
        <f>HYPERLINK("https://finance.yahoo.com/quote/BRSYF","BRSYF")</f>
        <v/>
      </c>
      <c r="B7872" t="inlineStr">
        <is>
          <t>Brainsway Ltd.</t>
        </is>
      </c>
      <c r="C7872" t="inlineStr">
        <is>
          <t>OTC</t>
        </is>
      </c>
      <c r="D7872" t="n">
        <v>1505065</v>
      </c>
      <c r="E7872" t="inlineStr">
        <is>
          <t>SEC</t>
        </is>
      </c>
    </row>
    <row r="7873">
      <c r="A7873" s="5">
        <f>HYPERLINK("https://finance.yahoo.com/quote/BVSFF","BVSFF")</f>
        <v/>
      </c>
      <c r="B7873" t="inlineStr">
        <is>
          <t>Bravura Solutions Ltd</t>
        </is>
      </c>
      <c r="C7873" t="inlineStr">
        <is>
          <t>OTC</t>
        </is>
      </c>
      <c r="D7873" t="n">
        <v>1452492</v>
      </c>
      <c r="E7873" t="inlineStr">
        <is>
          <t>SEC</t>
        </is>
      </c>
    </row>
    <row r="7874">
      <c r="A7874" s="5">
        <f>HYPERLINK("https://finance.yahoo.com/quote/UMH-PD","UMH-PD")</f>
        <v/>
      </c>
      <c r="B7874" t="inlineStr">
        <is>
          <t>UMH PROPERTIES, INC.</t>
        </is>
      </c>
      <c r="C7874" t="inlineStr">
        <is>
          <t>NYSE</t>
        </is>
      </c>
      <c r="D7874" t="n">
        <v>752642</v>
      </c>
      <c r="E7874" t="inlineStr">
        <is>
          <t>SEC</t>
        </is>
      </c>
    </row>
    <row r="7875">
      <c r="A7875" s="5">
        <f>HYPERLINK("https://finance.yahoo.com/quote/OXLCM","OXLCM")</f>
        <v/>
      </c>
      <c r="B7875" t="inlineStr">
        <is>
          <t>Oxford Lane Capital Corp.</t>
        </is>
      </c>
      <c r="C7875" t="inlineStr">
        <is>
          <t>Nasdaq</t>
        </is>
      </c>
      <c r="D7875" t="n">
        <v>1495222</v>
      </c>
      <c r="E7875" t="inlineStr">
        <is>
          <t>SEC</t>
        </is>
      </c>
    </row>
    <row r="7876">
      <c r="A7876" s="5">
        <f>HYPERLINK("https://finance.yahoo.com/quote/MTGRF","MTGRF")</f>
        <v/>
      </c>
      <c r="B7876" t="inlineStr">
        <is>
          <t>MGX Resources Limited/ADR</t>
        </is>
      </c>
      <c r="C7876" t="inlineStr">
        <is>
          <t>OTC</t>
        </is>
      </c>
      <c r="D7876" t="n">
        <v>1537543</v>
      </c>
      <c r="E7876" t="inlineStr">
        <is>
          <t>SEC</t>
        </is>
      </c>
    </row>
    <row r="7877">
      <c r="A7877" s="5">
        <f>HYPERLINK("https://finance.yahoo.com/quote/WEJTY","WEJTY")</f>
        <v/>
      </c>
      <c r="B7877" t="inlineStr">
        <is>
          <t>WebBeds Group Limited/ADR</t>
        </is>
      </c>
      <c r="C7877" t="inlineStr">
        <is>
          <t>OTC</t>
        </is>
      </c>
      <c r="D7877" t="n">
        <v>1778788</v>
      </c>
      <c r="E7877" t="inlineStr">
        <is>
          <t>SEC</t>
        </is>
      </c>
    </row>
    <row r="7878">
      <c r="A7878" s="5">
        <f>HYPERLINK("https://finance.yahoo.com/quote/TIHRF","TIHRF")</f>
        <v/>
      </c>
      <c r="B7878" t="inlineStr">
        <is>
          <t>Tharisa plc</t>
        </is>
      </c>
      <c r="C7878" t="inlineStr">
        <is>
          <t>OTC</t>
        </is>
      </c>
      <c r="D7878" t="n">
        <v>2133810</v>
      </c>
      <c r="E7878" t="inlineStr">
        <is>
          <t>SEC</t>
        </is>
      </c>
    </row>
    <row r="7879">
      <c r="A7879" s="5">
        <f>HYPERLINK("https://finance.yahoo.com/quote/MGMNF","MGMNF")</f>
        <v/>
      </c>
      <c r="B7879" t="inlineStr">
        <is>
          <t>MAGNA MINING INC.</t>
        </is>
      </c>
      <c r="C7879" t="inlineStr">
        <is>
          <t>OTC</t>
        </is>
      </c>
      <c r="D7879" t="n">
        <v>1965615</v>
      </c>
      <c r="E7879" t="inlineStr">
        <is>
          <t>SEC</t>
        </is>
      </c>
    </row>
    <row r="7880">
      <c r="A7880" s="5">
        <f>HYPERLINK("https://finance.yahoo.com/quote/NEWTI","NEWTI")</f>
        <v/>
      </c>
      <c r="B7880" t="inlineStr">
        <is>
          <t>NewtekOne, Inc.</t>
        </is>
      </c>
      <c r="C7880" t="inlineStr">
        <is>
          <t>Nasdaq</t>
        </is>
      </c>
      <c r="D7880" t="n">
        <v>1587987</v>
      </c>
      <c r="E7880" t="inlineStr">
        <is>
          <t>SEC</t>
        </is>
      </c>
    </row>
    <row r="7881">
      <c r="A7881" s="5">
        <f>HYPERLINK("https://finance.yahoo.com/quote/PTCHF","PTCHF")</f>
        <v/>
      </c>
      <c r="B7881" t="inlineStr">
        <is>
          <t>PureTech Health plc</t>
        </is>
      </c>
      <c r="C7881" t="inlineStr">
        <is>
          <t>OTC</t>
        </is>
      </c>
      <c r="D7881" t="n">
        <v>1782999</v>
      </c>
      <c r="E7881" t="inlineStr">
        <is>
          <t>SEC</t>
        </is>
      </c>
    </row>
    <row r="7882">
      <c r="A7882" s="5">
        <f>HYPERLINK("https://finance.yahoo.com/quote/OXLCO","OXLCO")</f>
        <v/>
      </c>
      <c r="B7882" t="inlineStr">
        <is>
          <t>Oxford Lane Capital Corp.</t>
        </is>
      </c>
      <c r="C7882" t="inlineStr">
        <is>
          <t>Nasdaq</t>
        </is>
      </c>
      <c r="D7882" t="n">
        <v>1495222</v>
      </c>
      <c r="E7882" t="inlineStr">
        <is>
          <t>SEC</t>
        </is>
      </c>
    </row>
    <row r="7883">
      <c r="A7883" s="5">
        <f>HYPERLINK("https://finance.yahoo.com/quote/CRD-B","CRD-B")</f>
        <v/>
      </c>
      <c r="B7883" t="inlineStr">
        <is>
          <t>CRAWFORD &amp; CO</t>
        </is>
      </c>
      <c r="C7883" t="inlineStr">
        <is>
          <t>NYSE</t>
        </is>
      </c>
      <c r="D7883" t="n">
        <v>25475</v>
      </c>
      <c r="E7883" t="inlineStr">
        <is>
          <t>SEC</t>
        </is>
      </c>
    </row>
    <row r="7884">
      <c r="A7884" s="5">
        <f>HYPERLINK("https://finance.yahoo.com/quote/QVCG","QVCG")</f>
        <v/>
      </c>
      <c r="B7884" t="inlineStr">
        <is>
          <t>QVC Group, Inc.</t>
        </is>
      </c>
      <c r="C7884" t="inlineStr">
        <is>
          <t>Nasdaq</t>
        </is>
      </c>
      <c r="D7884" t="n">
        <v>1254699</v>
      </c>
      <c r="E7884" t="inlineStr">
        <is>
          <t>SEC</t>
        </is>
      </c>
    </row>
    <row r="7885">
      <c r="A7885" s="5">
        <f>HYPERLINK("https://finance.yahoo.com/quote/ERLFF","ERLFF")</f>
        <v/>
      </c>
      <c r="B7885" t="inlineStr">
        <is>
          <t>Entree Resources Ltd.</t>
        </is>
      </c>
      <c r="C7885" t="inlineStr">
        <is>
          <t>OTC</t>
        </is>
      </c>
      <c r="D7885" t="n">
        <v>1271554</v>
      </c>
      <c r="E7885" t="inlineStr">
        <is>
          <t>SEC</t>
        </is>
      </c>
    </row>
    <row r="7886">
      <c r="A7886" s="5">
        <f>HYPERLINK("https://finance.yahoo.com/quote/ALF","ALF")</f>
        <v/>
      </c>
      <c r="B7886" t="inlineStr">
        <is>
          <t>Centurion Acquisition Corp.</t>
        </is>
      </c>
      <c r="C7886" t="inlineStr">
        <is>
          <t>Nasdaq</t>
        </is>
      </c>
      <c r="D7886" t="n">
        <v>2010930</v>
      </c>
      <c r="E7886" t="inlineStr">
        <is>
          <t>SEC</t>
        </is>
      </c>
    </row>
    <row r="7887">
      <c r="A7887" s="5">
        <f>HYPERLINK("https://finance.yahoo.com/quote/AVHHL","AVHHL")</f>
        <v/>
      </c>
      <c r="B7887" t="inlineStr">
        <is>
          <t>AVITA Medical, Inc.</t>
        </is>
      </c>
      <c r="C7887" t="inlineStr">
        <is>
          <t>OTC</t>
        </is>
      </c>
      <c r="D7887" t="n">
        <v>1762303</v>
      </c>
      <c r="E7887" t="inlineStr">
        <is>
          <t>SEC</t>
        </is>
      </c>
    </row>
    <row r="7888">
      <c r="A7888" s="5">
        <f>HYPERLINK("https://finance.yahoo.com/quote/VSOGF","VSOGF")</f>
        <v/>
      </c>
      <c r="B7888" t="inlineStr">
        <is>
          <t>Vista Energy, S.A.B. de C.V.</t>
        </is>
      </c>
      <c r="C7888" t="inlineStr">
        <is>
          <t>OTC</t>
        </is>
      </c>
      <c r="D7888" t="n">
        <v>1762506</v>
      </c>
      <c r="E7888" t="inlineStr">
        <is>
          <t>SEC</t>
        </is>
      </c>
    </row>
    <row r="7889">
      <c r="A7889" s="5">
        <f>HYPERLINK("https://finance.yahoo.com/quote/ARTNB","ARTNB")</f>
        <v/>
      </c>
      <c r="B7889" t="inlineStr">
        <is>
          <t>ARTESIAN RESOURCES CORP</t>
        </is>
      </c>
      <c r="C7889" t="inlineStr">
        <is>
          <t>OTC</t>
        </is>
      </c>
      <c r="D7889" t="n">
        <v>863110</v>
      </c>
      <c r="E7889" t="inlineStr">
        <is>
          <t>SEC</t>
        </is>
      </c>
    </row>
    <row r="7890">
      <c r="A7890" s="5">
        <f>HYPERLINK("https://finance.yahoo.com/quote/CKDXF","CKDXF")</f>
        <v/>
      </c>
      <c r="B7890" t="inlineStr">
        <is>
          <t>Opthea Ltd</t>
        </is>
      </c>
      <c r="C7890" t="inlineStr">
        <is>
          <t>OTC</t>
        </is>
      </c>
      <c r="D7890" t="n">
        <v>1815620</v>
      </c>
      <c r="E7890" t="inlineStr">
        <is>
          <t>SEC</t>
        </is>
      </c>
    </row>
    <row r="7891">
      <c r="A7891" s="5">
        <f>HYPERLINK("https://finance.yahoo.com/quote/CNTHP","CNTHP")</f>
        <v/>
      </c>
      <c r="B7891" t="inlineStr">
        <is>
          <t>CONNECTICUT LIGHT &amp; POWER CO</t>
        </is>
      </c>
      <c r="C7891" t="inlineStr">
        <is>
          <t>OTC</t>
        </is>
      </c>
      <c r="D7891" t="n">
        <v>23426</v>
      </c>
      <c r="E7891" t="inlineStr">
        <is>
          <t>SEC</t>
        </is>
      </c>
    </row>
    <row r="7892">
      <c r="A7892" s="5">
        <f>HYPERLINK("https://finance.yahoo.com/quote/IHRTB","IHRTB")</f>
        <v/>
      </c>
      <c r="B7892" t="inlineStr">
        <is>
          <t>iHeartMedia, Inc.</t>
        </is>
      </c>
      <c r="C7892" t="inlineStr">
        <is>
          <t>OTC</t>
        </is>
      </c>
      <c r="D7892" t="n">
        <v>1400891</v>
      </c>
      <c r="E7892" t="inlineStr">
        <is>
          <t>SEC</t>
        </is>
      </c>
    </row>
    <row r="7893">
      <c r="A7893" s="5">
        <f>HYPERLINK("https://finance.yahoo.com/quote/CNLPL","CNLPL")</f>
        <v/>
      </c>
      <c r="B7893" t="inlineStr">
        <is>
          <t>CONNECTICUT LIGHT &amp; POWER CO</t>
        </is>
      </c>
      <c r="C7893" t="inlineStr">
        <is>
          <t>OTC</t>
        </is>
      </c>
      <c r="D7893" t="n">
        <v>23426</v>
      </c>
      <c r="E7893" t="inlineStr">
        <is>
          <t>SEC</t>
        </is>
      </c>
    </row>
    <row r="7894">
      <c r="A7894" s="5">
        <f>HYPERLINK("https://finance.yahoo.com/quote/NCZ-PA","NCZ-PA")</f>
        <v/>
      </c>
      <c r="B7894" t="inlineStr">
        <is>
          <t>Virtus Convertible &amp; Income Fund II</t>
        </is>
      </c>
      <c r="C7894" t="inlineStr">
        <is>
          <t>NYSE</t>
        </is>
      </c>
      <c r="D7894" t="n">
        <v>1227857</v>
      </c>
      <c r="E7894" t="inlineStr">
        <is>
          <t>SEC</t>
        </is>
      </c>
    </row>
    <row r="7895">
      <c r="A7895" s="5">
        <f>HYPERLINK("https://finance.yahoo.com/quote/DFPH","DFPH")</f>
        <v/>
      </c>
      <c r="B7895" t="inlineStr">
        <is>
          <t>Starling Oncology, Inc.</t>
        </is>
      </c>
      <c r="C7895" t="inlineStr">
        <is>
          <t>OTC</t>
        </is>
      </c>
      <c r="D7895" t="n">
        <v>1799191</v>
      </c>
      <c r="E7895" t="inlineStr">
        <is>
          <t>SEC</t>
        </is>
      </c>
    </row>
    <row r="7896">
      <c r="A7896" s="5">
        <f>HYPERLINK("https://finance.yahoo.com/quote/DSX-PB","DSX-PB")</f>
        <v/>
      </c>
      <c r="B7896" t="inlineStr">
        <is>
          <t>DIANA SHIPPING INC.</t>
        </is>
      </c>
      <c r="C7896" t="inlineStr">
        <is>
          <t>NYSE</t>
        </is>
      </c>
      <c r="D7896" t="n">
        <v>1318885</v>
      </c>
      <c r="E7896" t="inlineStr">
        <is>
          <t>SEC</t>
        </is>
      </c>
    </row>
    <row r="7897">
      <c r="A7897" s="5">
        <f>HYPERLINK("https://finance.yahoo.com/quote/CNTHO","CNTHO")</f>
        <v/>
      </c>
      <c r="B7897" t="inlineStr">
        <is>
          <t>CONNECTICUT LIGHT &amp; POWER CO</t>
        </is>
      </c>
      <c r="C7897" t="inlineStr">
        <is>
          <t>OTC</t>
        </is>
      </c>
      <c r="D7897" t="n">
        <v>23426</v>
      </c>
      <c r="E7897" t="inlineStr">
        <is>
          <t>SEC</t>
        </is>
      </c>
    </row>
    <row r="7898">
      <c r="A7898" s="5">
        <f>HYPERLINK("https://finance.yahoo.com/quote/RVRF","RVRF")</f>
        <v/>
      </c>
      <c r="B7898" t="inlineStr">
        <is>
          <t>River Financial Corp</t>
        </is>
      </c>
      <c r="C7898" t="inlineStr">
        <is>
          <t>OTC</t>
        </is>
      </c>
      <c r="D7898" t="n">
        <v>1641601</v>
      </c>
      <c r="E7898" t="inlineStr">
        <is>
          <t>SEC</t>
        </is>
      </c>
    </row>
    <row r="7899">
      <c r="A7899" s="5">
        <f>HYPERLINK("https://finance.yahoo.com/quote/RLFTY","RLFTY")</f>
        <v/>
      </c>
      <c r="B7899" t="inlineStr">
        <is>
          <t>MindMaze Therapeutics Holding SA</t>
        </is>
      </c>
      <c r="C7899" t="inlineStr">
        <is>
          <t>OTC</t>
        </is>
      </c>
      <c r="D7899" t="n">
        <v>1854078</v>
      </c>
      <c r="E7899" t="inlineStr">
        <is>
          <t>SEC</t>
        </is>
      </c>
    </row>
    <row r="7900">
      <c r="A7900" s="5">
        <f>HYPERLINK("https://finance.yahoo.com/quote/ATII","ATII")</f>
        <v/>
      </c>
      <c r="B7900" t="inlineStr">
        <is>
          <t>Archimedes Tech SPAC Partners II Co.</t>
        </is>
      </c>
      <c r="C7900" t="inlineStr">
        <is>
          <t>Nasdaq</t>
        </is>
      </c>
      <c r="D7900" t="n">
        <v>2028516</v>
      </c>
      <c r="E7900" t="inlineStr">
        <is>
          <t>SEC</t>
        </is>
      </c>
    </row>
    <row r="7901">
      <c r="A7901" s="5">
        <f>HYPERLINK("https://finance.yahoo.com/quote/CHMI-PB","CHMI-PB")</f>
        <v/>
      </c>
      <c r="B7901" t="inlineStr">
        <is>
          <t>Cherry Hill Mortgage Investment Corp</t>
        </is>
      </c>
      <c r="C7901" t="inlineStr">
        <is>
          <t>NYSE</t>
        </is>
      </c>
      <c r="D7901" t="n">
        <v>1571776</v>
      </c>
      <c r="E7901" t="inlineStr">
        <is>
          <t>SEC</t>
        </is>
      </c>
    </row>
    <row r="7902">
      <c r="A7902" s="5">
        <f>HYPERLINK("https://finance.yahoo.com/quote/PRRUF","PRRUF")</f>
        <v/>
      </c>
      <c r="B7902" t="inlineStr">
        <is>
          <t>IMMUTEP Ltd</t>
        </is>
      </c>
      <c r="C7902" t="inlineStr">
        <is>
          <t>OTC</t>
        </is>
      </c>
      <c r="D7902" t="n">
        <v>1506184</v>
      </c>
      <c r="E7902" t="inlineStr">
        <is>
          <t>SEC</t>
        </is>
      </c>
    </row>
    <row r="7903">
      <c r="A7903" s="5">
        <f>HYPERLINK("https://finance.yahoo.com/quote/CNTHN","CNTHN")</f>
        <v/>
      </c>
      <c r="B7903" t="inlineStr">
        <is>
          <t>CONNECTICUT LIGHT &amp; POWER CO</t>
        </is>
      </c>
      <c r="C7903" t="inlineStr">
        <is>
          <t>OTC</t>
        </is>
      </c>
      <c r="D7903" t="n">
        <v>23426</v>
      </c>
      <c r="E7903" t="inlineStr">
        <is>
          <t>SEC</t>
        </is>
      </c>
    </row>
    <row r="7904">
      <c r="A7904" s="5">
        <f>HYPERLINK("https://finance.yahoo.com/quote/KRYXF","KRYXF")</f>
        <v/>
      </c>
      <c r="B7904" t="inlineStr">
        <is>
          <t>KORYX COPPER INC.</t>
        </is>
      </c>
      <c r="C7904" t="inlineStr">
        <is>
          <t>OTC</t>
        </is>
      </c>
      <c r="D7904" t="n">
        <v>1318596</v>
      </c>
      <c r="E7904" t="inlineStr">
        <is>
          <t>SEC</t>
        </is>
      </c>
    </row>
    <row r="7905">
      <c r="A7905" s="5">
        <f>HYPERLINK("https://finance.yahoo.com/quote/SLNCF","SLNCF")</f>
        <v/>
      </c>
      <c r="B7905" t="inlineStr">
        <is>
          <t>Silence Therapeutics plc</t>
        </is>
      </c>
      <c r="C7905" t="inlineStr">
        <is>
          <t>OTC</t>
        </is>
      </c>
      <c r="D7905" t="n">
        <v>1479615</v>
      </c>
      <c r="E7905" t="inlineStr">
        <is>
          <t>SEC</t>
        </is>
      </c>
    </row>
    <row r="7906">
      <c r="A7906" s="5">
        <f>HYPERLINK("https://finance.yahoo.com/quote/RDIB","RDIB")</f>
        <v/>
      </c>
      <c r="B7906" t="inlineStr">
        <is>
          <t>READING INTERNATIONAL INC</t>
        </is>
      </c>
      <c r="C7906" t="inlineStr">
        <is>
          <t>Nasdaq</t>
        </is>
      </c>
      <c r="D7906" t="n">
        <v>716634</v>
      </c>
      <c r="E7906" t="inlineStr">
        <is>
          <t>SEC</t>
        </is>
      </c>
    </row>
    <row r="7907">
      <c r="A7907" s="5">
        <f>HYPERLINK("https://finance.yahoo.com/quote/APLMW","APLMW")</f>
        <v/>
      </c>
      <c r="B7907" t="inlineStr">
        <is>
          <t>Apollomics Inc.</t>
        </is>
      </c>
      <c r="C7907" t="inlineStr">
        <is>
          <t>Nasdaq</t>
        </is>
      </c>
      <c r="D7907" t="n">
        <v>1944885</v>
      </c>
      <c r="E7907" t="inlineStr">
        <is>
          <t>SEC</t>
        </is>
      </c>
    </row>
    <row r="7908">
      <c r="A7908" s="5">
        <f>HYPERLINK("https://finance.yahoo.com/quote/CNLHP","CNLHP")</f>
        <v/>
      </c>
      <c r="B7908" t="inlineStr">
        <is>
          <t>CONNECTICUT LIGHT &amp; POWER CO</t>
        </is>
      </c>
      <c r="C7908" t="inlineStr">
        <is>
          <t>OTC</t>
        </is>
      </c>
      <c r="D7908" t="n">
        <v>23426</v>
      </c>
      <c r="E7908" t="inlineStr">
        <is>
          <t>SEC</t>
        </is>
      </c>
    </row>
    <row r="7909">
      <c r="A7909" s="5">
        <f>HYPERLINK("https://finance.yahoo.com/quote/ARCXF","ARCXF")</f>
        <v/>
      </c>
      <c r="B7909" t="inlineStr">
        <is>
          <t>ArcelorMittal</t>
        </is>
      </c>
      <c r="C7909" t="inlineStr">
        <is>
          <t>OTC</t>
        </is>
      </c>
      <c r="D7909" t="n">
        <v>1243429</v>
      </c>
      <c r="E7909" t="inlineStr">
        <is>
          <t>SEC</t>
        </is>
      </c>
    </row>
    <row r="7910">
      <c r="A7910" s="5">
        <f>HYPERLINK("https://finance.yahoo.com/quote/CNLTP","CNLTP")</f>
        <v/>
      </c>
      <c r="B7910" t="inlineStr">
        <is>
          <t>CONNECTICUT LIGHT &amp; POWER CO</t>
        </is>
      </c>
      <c r="C7910" t="inlineStr">
        <is>
          <t>OTC</t>
        </is>
      </c>
      <c r="D7910" t="n">
        <v>23426</v>
      </c>
      <c r="E7910" t="inlineStr">
        <is>
          <t>SEC</t>
        </is>
      </c>
    </row>
    <row r="7911">
      <c r="A7911" s="5">
        <f>HYPERLINK("https://finance.yahoo.com/quote/CLCHF","CLCHF")</f>
        <v/>
      </c>
      <c r="B7911" t="inlineStr">
        <is>
          <t>Clinch Resources Ltd.</t>
        </is>
      </c>
      <c r="C7911" t="inlineStr">
        <is>
          <t>OTC</t>
        </is>
      </c>
      <c r="D7911" t="n">
        <v>2125750</v>
      </c>
      <c r="E7911" t="inlineStr">
        <is>
          <t>SEC</t>
        </is>
      </c>
    </row>
    <row r="7912">
      <c r="A7912" s="5">
        <f>HYPERLINK("https://finance.yahoo.com/quote/HEXEY","HEXEY")</f>
        <v/>
      </c>
      <c r="B7912" t="inlineStr">
        <is>
          <t>Euronext Athens Holding S.A./ADR</t>
        </is>
      </c>
      <c r="C7912" t="inlineStr">
        <is>
          <t>OTC</t>
        </is>
      </c>
      <c r="D7912" t="n">
        <v>1577568</v>
      </c>
      <c r="E7912" t="inlineStr">
        <is>
          <t>SEC</t>
        </is>
      </c>
    </row>
    <row r="7913">
      <c r="A7913" s="5">
        <f>HYPERLINK("https://finance.yahoo.com/quote/CNLTL","CNLTL")</f>
        <v/>
      </c>
      <c r="B7913" t="inlineStr">
        <is>
          <t>CONNECTICUT LIGHT &amp; POWER CO</t>
        </is>
      </c>
      <c r="C7913" t="inlineStr">
        <is>
          <t>OTC</t>
        </is>
      </c>
      <c r="D7913" t="n">
        <v>23426</v>
      </c>
      <c r="E7913" t="inlineStr">
        <is>
          <t>SEC</t>
        </is>
      </c>
    </row>
    <row r="7914">
      <c r="A7914" s="5">
        <f>HYPERLINK("https://finance.yahoo.com/quote/IPHYF","IPHYF")</f>
        <v/>
      </c>
      <c r="B7914" t="inlineStr">
        <is>
          <t>Innate Pharma SA</t>
        </is>
      </c>
      <c r="C7914" t="inlineStr">
        <is>
          <t>OTC</t>
        </is>
      </c>
      <c r="D7914" t="n">
        <v>1598599</v>
      </c>
      <c r="E7914" t="inlineStr">
        <is>
          <t>SEC</t>
        </is>
      </c>
    </row>
    <row r="7915">
      <c r="A7915" s="5">
        <f>HYPERLINK("https://finance.yahoo.com/quote/CNPWM","CNPWM")</f>
        <v/>
      </c>
      <c r="B7915" t="inlineStr">
        <is>
          <t>CONNECTICUT LIGHT &amp; POWER CO</t>
        </is>
      </c>
      <c r="C7915" t="inlineStr">
        <is>
          <t>OTC</t>
        </is>
      </c>
      <c r="D7915" t="n">
        <v>23426</v>
      </c>
      <c r="E7915" t="inlineStr">
        <is>
          <t>SEC</t>
        </is>
      </c>
    </row>
    <row r="7916">
      <c r="A7916" s="5">
        <f>HYPERLINK("https://finance.yahoo.com/quote/PRTHU","PRTHU")</f>
        <v/>
      </c>
      <c r="B7916" t="inlineStr">
        <is>
          <t>Priority Technology Holdings, Inc.</t>
        </is>
      </c>
      <c r="C7916" t="inlineStr">
        <is>
          <t>OTC</t>
        </is>
      </c>
      <c r="D7916" t="n">
        <v>1653558</v>
      </c>
      <c r="E7916" t="inlineStr">
        <is>
          <t>SEC</t>
        </is>
      </c>
    </row>
    <row r="7917">
      <c r="A7917" s="5">
        <f>HYPERLINK("https://finance.yahoo.com/quote/CHMI-PA","CHMI-PA")</f>
        <v/>
      </c>
      <c r="B7917" t="inlineStr">
        <is>
          <t>Cherry Hill Mortgage Investment Corp</t>
        </is>
      </c>
      <c r="C7917" t="inlineStr">
        <is>
          <t>NYSE</t>
        </is>
      </c>
      <c r="D7917" t="n">
        <v>1571776</v>
      </c>
      <c r="E7917" t="inlineStr">
        <is>
          <t>SEC</t>
        </is>
      </c>
    </row>
    <row r="7918">
      <c r="A7918" s="5">
        <f>HYPERLINK("https://finance.yahoo.com/quote/CNLHO","CNLHO")</f>
        <v/>
      </c>
      <c r="B7918" t="inlineStr">
        <is>
          <t>CONNECTICUT LIGHT &amp; POWER CO</t>
        </is>
      </c>
      <c r="C7918" t="inlineStr">
        <is>
          <t>OTC</t>
        </is>
      </c>
      <c r="D7918" t="n">
        <v>23426</v>
      </c>
      <c r="E7918" t="inlineStr">
        <is>
          <t>SEC</t>
        </is>
      </c>
    </row>
    <row r="7919">
      <c r="A7919" s="5">
        <f>HYPERLINK("https://finance.yahoo.com/quote/CNPWP","CNPWP")</f>
        <v/>
      </c>
      <c r="B7919" t="inlineStr">
        <is>
          <t>CONNECTICUT LIGHT &amp; POWER CO</t>
        </is>
      </c>
      <c r="C7919" t="inlineStr">
        <is>
          <t>OTC</t>
        </is>
      </c>
      <c r="D7919" t="n">
        <v>23426</v>
      </c>
      <c r="E7919" t="inlineStr">
        <is>
          <t>SEC</t>
        </is>
      </c>
    </row>
    <row r="7920">
      <c r="A7920" s="5">
        <f>HYPERLINK("https://finance.yahoo.com/quote/LANDP","LANDP")</f>
        <v/>
      </c>
      <c r="B7920" t="inlineStr">
        <is>
          <t>GLADSTONE LAND Corp</t>
        </is>
      </c>
      <c r="C7920" t="inlineStr">
        <is>
          <t>Nasdaq</t>
        </is>
      </c>
      <c r="D7920" t="n">
        <v>1495240</v>
      </c>
      <c r="E7920" t="inlineStr">
        <is>
          <t>SEC</t>
        </is>
      </c>
    </row>
    <row r="7921">
      <c r="A7921" s="5">
        <f>HYPERLINK("https://finance.yahoo.com/quote/CNLPM","CNLPM")</f>
        <v/>
      </c>
      <c r="B7921" t="inlineStr">
        <is>
          <t>CONNECTICUT LIGHT &amp; POWER CO</t>
        </is>
      </c>
      <c r="C7921" t="inlineStr">
        <is>
          <t>OTC</t>
        </is>
      </c>
      <c r="D7921" t="n">
        <v>23426</v>
      </c>
      <c r="E7921" t="inlineStr">
        <is>
          <t>SEC</t>
        </is>
      </c>
    </row>
    <row r="7922">
      <c r="A7922" s="5">
        <f>HYPERLINK("https://finance.yahoo.com/quote/CNLTN","CNLTN")</f>
        <v/>
      </c>
      <c r="B7922" t="inlineStr">
        <is>
          <t>CONNECTICUT LIGHT &amp; POWER CO</t>
        </is>
      </c>
      <c r="C7922" t="inlineStr">
        <is>
          <t>OTC</t>
        </is>
      </c>
      <c r="D7922" t="n">
        <v>23426</v>
      </c>
      <c r="E7922" t="inlineStr">
        <is>
          <t>SEC</t>
        </is>
      </c>
    </row>
    <row r="7923">
      <c r="A7923" s="5">
        <f>HYPERLINK("https://finance.yahoo.com/quote/UURAF","UURAF")</f>
        <v/>
      </c>
      <c r="B7923" t="inlineStr">
        <is>
          <t>Ucore Rare Metals Inc.</t>
        </is>
      </c>
      <c r="C7923" t="inlineStr">
        <is>
          <t>OTC</t>
        </is>
      </c>
      <c r="D7923" t="n">
        <v>1495651</v>
      </c>
      <c r="E7923" t="inlineStr">
        <is>
          <t>SEC</t>
        </is>
      </c>
    </row>
    <row r="7924">
      <c r="A7924" s="5">
        <f>HYPERLINK("https://finance.yahoo.com/quote/VSBC","VSBC")</f>
        <v/>
      </c>
      <c r="B7924" t="inlineStr">
        <is>
          <t>VITASPRING BIOMEDICAL CO. LTD.</t>
        </is>
      </c>
      <c r="C7924" t="inlineStr">
        <is>
          <t>OTC</t>
        </is>
      </c>
      <c r="D7924" t="n">
        <v>1697884</v>
      </c>
      <c r="E7924" t="inlineStr">
        <is>
          <t>SEC</t>
        </is>
      </c>
    </row>
    <row r="7925">
      <c r="A7925" s="5">
        <f>HYPERLINK("https://finance.yahoo.com/quote/ENO","ENO")</f>
        <v/>
      </c>
      <c r="B7925" t="inlineStr">
        <is>
          <t>ENTERGY NEW ORLEANS, LLC</t>
        </is>
      </c>
      <c r="C7925" t="inlineStr">
        <is>
          <t>NYSE</t>
        </is>
      </c>
      <c r="D7925" t="n">
        <v>71508</v>
      </c>
      <c r="E7925" t="inlineStr">
        <is>
          <t>SEC</t>
        </is>
      </c>
    </row>
    <row r="7926">
      <c r="A7926" s="5">
        <f>HYPERLINK("https://finance.yahoo.com/quote/PERF","PERF")</f>
        <v/>
      </c>
      <c r="B7926" t="inlineStr">
        <is>
          <t>Perfect Corp.</t>
        </is>
      </c>
      <c r="C7926" t="inlineStr">
        <is>
          <t>NYSE</t>
        </is>
      </c>
      <c r="D7926" t="n">
        <v>1899830</v>
      </c>
      <c r="E7926" t="inlineStr">
        <is>
          <t>SEC</t>
        </is>
      </c>
    </row>
    <row r="7927">
      <c r="A7927" s="5">
        <f>HYPERLINK("https://finance.yahoo.com/quote/GSCCF","GSCCF")</f>
        <v/>
      </c>
      <c r="B7927" t="inlineStr">
        <is>
          <t>ioneer Ltd</t>
        </is>
      </c>
      <c r="C7927" t="inlineStr">
        <is>
          <t>OTC</t>
        </is>
      </c>
      <c r="D7927" t="n">
        <v>1896084</v>
      </c>
      <c r="E7927" t="inlineStr">
        <is>
          <t>SEC</t>
        </is>
      </c>
    </row>
    <row r="7928">
      <c r="A7928" s="5">
        <f>HYPERLINK("https://finance.yahoo.com/quote/SITC","SITC")</f>
        <v/>
      </c>
      <c r="B7928" t="inlineStr">
        <is>
          <t>SITE Centers Corp.</t>
        </is>
      </c>
      <c r="C7928" t="inlineStr">
        <is>
          <t>NYSE</t>
        </is>
      </c>
      <c r="D7928" t="n">
        <v>894315</v>
      </c>
      <c r="E7928" t="inlineStr">
        <is>
          <t>SEC</t>
        </is>
      </c>
    </row>
    <row r="7929">
      <c r="A7929" s="5">
        <f>HYPERLINK("https://finance.yahoo.com/quote/CNLHN","CNLHN")</f>
        <v/>
      </c>
      <c r="B7929" t="inlineStr">
        <is>
          <t>CONNECTICUT LIGHT &amp; POWER CO</t>
        </is>
      </c>
      <c r="C7929" t="inlineStr">
        <is>
          <t>OTC</t>
        </is>
      </c>
      <c r="D7929" t="n">
        <v>23426</v>
      </c>
      <c r="E7929" t="inlineStr">
        <is>
          <t>SEC</t>
        </is>
      </c>
    </row>
    <row r="7930">
      <c r="A7930" s="5">
        <f>HYPERLINK("https://finance.yahoo.com/quote/BNIGF","BNIGF")</f>
        <v/>
      </c>
      <c r="B7930" t="inlineStr">
        <is>
          <t>Beroni Group Ltd</t>
        </is>
      </c>
      <c r="C7930" t="inlineStr">
        <is>
          <t>OTC</t>
        </is>
      </c>
      <c r="D7930" t="n">
        <v>1851651</v>
      </c>
      <c r="E7930" t="inlineStr">
        <is>
          <t>SEC</t>
        </is>
      </c>
    </row>
    <row r="7931">
      <c r="A7931" s="5">
        <f>HYPERLINK("https://finance.yahoo.com/quote/IVEVF","IVEVF")</f>
        <v/>
      </c>
      <c r="B7931" t="inlineStr">
        <is>
          <t>Inventiva S.A.</t>
        </is>
      </c>
      <c r="C7931" t="inlineStr">
        <is>
          <t>OTC</t>
        </is>
      </c>
      <c r="D7931" t="n">
        <v>1756594</v>
      </c>
      <c r="E7931" t="inlineStr">
        <is>
          <t>SEC</t>
        </is>
      </c>
    </row>
    <row r="7932">
      <c r="A7932" s="5">
        <f>HYPERLINK("https://finance.yahoo.com/quote/ECXJ","ECXJ")</f>
        <v/>
      </c>
      <c r="B7932" t="inlineStr">
        <is>
          <t>CXJ GROUP CO., Ltd</t>
        </is>
      </c>
      <c r="C7932" t="inlineStr">
        <is>
          <t>OTC</t>
        </is>
      </c>
      <c r="D7932" t="n">
        <v>1823635</v>
      </c>
      <c r="E7932" t="inlineStr">
        <is>
          <t>SEC</t>
        </is>
      </c>
    </row>
    <row r="7933">
      <c r="A7933" s="5">
        <f>HYPERLINK("https://finance.yahoo.com/quote/SB-PC","SB-PC")</f>
        <v/>
      </c>
      <c r="B7933" t="inlineStr">
        <is>
          <t>SAFE BULKERS, INC.</t>
        </is>
      </c>
      <c r="C7933" t="inlineStr">
        <is>
          <t>NYSE</t>
        </is>
      </c>
      <c r="D7933" t="n">
        <v>1434754</v>
      </c>
      <c r="E7933" t="inlineStr">
        <is>
          <t>SEC</t>
        </is>
      </c>
    </row>
    <row r="7934">
      <c r="A7934" s="5">
        <f>HYPERLINK("https://finance.yahoo.com/quote/CHAD","CHAD")</f>
        <v/>
      </c>
      <c r="B7934" t="inlineStr">
        <is>
          <t>DeFi Development Corp.</t>
        </is>
      </c>
      <c r="C7934" t="inlineStr">
        <is>
          <t>Nasdaq</t>
        </is>
      </c>
      <c r="D7934" t="n">
        <v>1805526</v>
      </c>
      <c r="E7934" t="inlineStr">
        <is>
          <t>SEC</t>
        </is>
      </c>
    </row>
    <row r="7935">
      <c r="A7935" s="5">
        <f>HYPERLINK("https://finance.yahoo.com/quote/EBRCZ","EBRCZ")</f>
        <v/>
      </c>
      <c r="B7935" t="inlineStr">
        <is>
          <t>EBR Systems, Inc.</t>
        </is>
      </c>
      <c r="C7935" t="inlineStr">
        <is>
          <t>OTC</t>
        </is>
      </c>
      <c r="D7935" t="n">
        <v>1347123</v>
      </c>
      <c r="E7935" t="inlineStr">
        <is>
          <t>SEC</t>
        </is>
      </c>
    </row>
    <row r="7936">
      <c r="A7936" s="5">
        <f>HYPERLINK("https://finance.yahoo.com/quote/CHPGF","CHPGF")</f>
        <v/>
      </c>
      <c r="B7936" t="inlineStr">
        <is>
          <t>Chesapeake Gold Corp</t>
        </is>
      </c>
      <c r="C7936" t="inlineStr">
        <is>
          <t>OTC</t>
        </is>
      </c>
      <c r="D7936" t="n">
        <v>1394189</v>
      </c>
      <c r="E7936" t="inlineStr">
        <is>
          <t>SEC</t>
        </is>
      </c>
    </row>
    <row r="7937">
      <c r="A7937" s="5">
        <f>HYPERLINK("https://finance.yahoo.com/quote/LUCN","LUCN")</f>
        <v/>
      </c>
      <c r="B7937" t="inlineStr">
        <is>
          <t>Lucent, Inc.</t>
        </is>
      </c>
      <c r="C7937" t="inlineStr">
        <is>
          <t>OTC</t>
        </is>
      </c>
      <c r="D7937" t="n">
        <v>1726079</v>
      </c>
      <c r="E7937" t="inlineStr">
        <is>
          <t>SEC</t>
        </is>
      </c>
    </row>
    <row r="7938">
      <c r="A7938" s="5">
        <f>HYPERLINK("https://finance.yahoo.com/quote/STRS","STRS")</f>
        <v/>
      </c>
      <c r="B7938" t="inlineStr">
        <is>
          <t>STRATUS PROPERTIES INC</t>
        </is>
      </c>
      <c r="C7938" t="inlineStr">
        <is>
          <t>OTC</t>
        </is>
      </c>
      <c r="D7938" t="n">
        <v>885508</v>
      </c>
      <c r="E7938" t="inlineStr">
        <is>
          <t>SEC</t>
        </is>
      </c>
    </row>
    <row r="7939">
      <c r="A7939" s="5">
        <f>HYPERLINK("https://finance.yahoo.com/quote/AMEGF","AMEGF")</f>
        <v/>
      </c>
      <c r="B7939" t="inlineStr">
        <is>
          <t>American Eagle Gold Corp.</t>
        </is>
      </c>
      <c r="C7939" t="inlineStr">
        <is>
          <t>OTC</t>
        </is>
      </c>
      <c r="D7939" t="n">
        <v>2129284</v>
      </c>
      <c r="E7939" t="inlineStr">
        <is>
          <t>SEC</t>
        </is>
      </c>
    </row>
    <row r="7940">
      <c r="A7940" s="5">
        <f>HYPERLINK("https://finance.yahoo.com/quote/GCUMF","GCUMF")</f>
        <v/>
      </c>
      <c r="B7940" t="inlineStr">
        <is>
          <t>Gunnison Copper Corp.</t>
        </is>
      </c>
      <c r="C7940" t="inlineStr">
        <is>
          <t>OTC</t>
        </is>
      </c>
      <c r="D7940" t="n">
        <v>1514860</v>
      </c>
      <c r="E7940" t="inlineStr">
        <is>
          <t>SEC</t>
        </is>
      </c>
    </row>
    <row r="7941">
      <c r="A7941" s="5">
        <f>HYPERLINK("https://finance.yahoo.com/quote/BBXIB","BBXIB")</f>
        <v/>
      </c>
      <c r="B7941" t="inlineStr">
        <is>
          <t>BBX Capital, Inc.</t>
        </is>
      </c>
      <c r="C7941" t="inlineStr">
        <is>
          <t>OTC</t>
        </is>
      </c>
      <c r="D7941" t="n">
        <v>1814974</v>
      </c>
      <c r="E7941" t="inlineStr">
        <is>
          <t>SEC</t>
        </is>
      </c>
    </row>
    <row r="7942">
      <c r="A7942" s="5">
        <f>HYPERLINK("https://finance.yahoo.com/quote/BTA","BTA")</f>
        <v/>
      </c>
      <c r="B7942" t="inlineStr">
        <is>
          <t>BlackRock Long-Term Municipal Advantage Trust</t>
        </is>
      </c>
      <c r="C7942" t="inlineStr">
        <is>
          <t>NYSE</t>
        </is>
      </c>
      <c r="D7942" t="n">
        <v>1343793</v>
      </c>
      <c r="E7942" t="inlineStr">
        <is>
          <t>SEC</t>
        </is>
      </c>
    </row>
    <row r="7943">
      <c r="A7943" s="5">
        <f>HYPERLINK("https://finance.yahoo.com/quote/QTRHF","QTRHF")</f>
        <v/>
      </c>
      <c r="B7943" t="inlineStr">
        <is>
          <t>Quarterhill Inc.</t>
        </is>
      </c>
      <c r="C7943" t="inlineStr">
        <is>
          <t>OTC</t>
        </is>
      </c>
      <c r="D7943" t="n">
        <v>1518419</v>
      </c>
      <c r="E7943" t="inlineStr">
        <is>
          <t>SEC</t>
        </is>
      </c>
    </row>
    <row r="7944">
      <c r="A7944" s="5">
        <f>HYPERLINK("https://finance.yahoo.com/quote/CREAF","CREAF")</f>
        <v/>
      </c>
      <c r="B7944" t="inlineStr">
        <is>
          <t>CREATIVE TECHNOLOGY LTD</t>
        </is>
      </c>
      <c r="C7944" t="inlineStr">
        <is>
          <t>OTC</t>
        </is>
      </c>
      <c r="D7944" t="n">
        <v>888295</v>
      </c>
      <c r="E7944" t="inlineStr">
        <is>
          <t>SEC</t>
        </is>
      </c>
    </row>
    <row r="7945">
      <c r="A7945" s="5">
        <f>HYPERLINK("https://finance.yahoo.com/quote/AOAO","AOAO")</f>
        <v/>
      </c>
      <c r="B7945" t="inlineStr">
        <is>
          <t>Alpha One Inc.</t>
        </is>
      </c>
      <c r="C7945" t="inlineStr">
        <is>
          <t>OTC</t>
        </is>
      </c>
      <c r="D7945" t="n">
        <v>2042320</v>
      </c>
      <c r="E7945" t="inlineStr">
        <is>
          <t>SEC</t>
        </is>
      </c>
    </row>
    <row r="7946">
      <c r="A7946" s="5">
        <f>HYPERLINK("https://finance.yahoo.com/quote/RAASY","RAASY")</f>
        <v/>
      </c>
      <c r="B7946" t="inlineStr">
        <is>
          <t>Cloopen Group Holding Ltd</t>
        </is>
      </c>
      <c r="C7946" t="inlineStr">
        <is>
          <t>OTC</t>
        </is>
      </c>
      <c r="D7946" t="n">
        <v>1804583</v>
      </c>
      <c r="E7946" t="inlineStr">
        <is>
          <t>SEC</t>
        </is>
      </c>
    </row>
    <row r="7947">
      <c r="A7947" s="5">
        <f>HYPERLINK("https://finance.yahoo.com/quote/SFDL","SFDL")</f>
        <v/>
      </c>
      <c r="B7947" t="inlineStr">
        <is>
          <t>SECURITY FEDERAL CORP</t>
        </is>
      </c>
      <c r="C7947" t="inlineStr">
        <is>
          <t>OTC</t>
        </is>
      </c>
      <c r="D7947" t="n">
        <v>818677</v>
      </c>
      <c r="E7947" t="inlineStr">
        <is>
          <t>SEC</t>
        </is>
      </c>
    </row>
    <row r="7948">
      <c r="A7948" s="5">
        <f>HYPERLINK("https://finance.yahoo.com/quote/ENDI","ENDI")</f>
        <v/>
      </c>
      <c r="B7948" t="inlineStr">
        <is>
          <t>ENDI Corp.</t>
        </is>
      </c>
      <c r="C7948" t="inlineStr">
        <is>
          <t>OTC</t>
        </is>
      </c>
      <c r="D7948" t="n">
        <v>1908984</v>
      </c>
      <c r="E7948" t="inlineStr">
        <is>
          <t>SEC</t>
        </is>
      </c>
    </row>
    <row r="7949">
      <c r="A7949" s="5">
        <f>HYPERLINK("https://finance.yahoo.com/quote/ARRKF","ARRKF")</f>
        <v/>
      </c>
      <c r="B7949" t="inlineStr">
        <is>
          <t>ARRAS MINERALS CORP.</t>
        </is>
      </c>
      <c r="C7949" t="inlineStr">
        <is>
          <t>OTC</t>
        </is>
      </c>
      <c r="D7949" t="n">
        <v>1855743</v>
      </c>
      <c r="E7949" t="inlineStr">
        <is>
          <t>SEC</t>
        </is>
      </c>
    </row>
    <row r="7950">
      <c r="A7950" s="5">
        <f>HYPERLINK("https://finance.yahoo.com/quote/BCV-PA","BCV-PA")</f>
        <v/>
      </c>
      <c r="B7950" t="inlineStr">
        <is>
          <t>BANCROFT FUND LTD</t>
        </is>
      </c>
      <c r="C7950" t="inlineStr">
        <is>
          <t>NYSE</t>
        </is>
      </c>
      <c r="D7950" t="n">
        <v>9521</v>
      </c>
      <c r="E7950" t="inlineStr">
        <is>
          <t>SEC</t>
        </is>
      </c>
    </row>
    <row r="7951">
      <c r="A7951" s="5">
        <f>HYPERLINK("https://finance.yahoo.com/quote/BCTF","BCTF")</f>
        <v/>
      </c>
      <c r="B7951" t="inlineStr">
        <is>
          <t>Bancorp 34, Inc.</t>
        </is>
      </c>
      <c r="C7951" t="inlineStr">
        <is>
          <t>OTC</t>
        </is>
      </c>
      <c r="D7951" t="n">
        <v>1668340</v>
      </c>
      <c r="E7951" t="inlineStr">
        <is>
          <t>SEC</t>
        </is>
      </c>
    </row>
    <row r="7952">
      <c r="A7952" s="5">
        <f>HYPERLINK("https://finance.yahoo.com/quote/RGBPP","RGBPP")</f>
        <v/>
      </c>
      <c r="B7952" t="inlineStr">
        <is>
          <t>Regen BioPharma Inc</t>
        </is>
      </c>
      <c r="C7952" t="inlineStr">
        <is>
          <t>OTC</t>
        </is>
      </c>
      <c r="D7952" t="n">
        <v>1589150</v>
      </c>
      <c r="E7952" t="inlineStr">
        <is>
          <t>SEC</t>
        </is>
      </c>
    </row>
    <row r="7953">
      <c r="A7953" s="5">
        <f>HYPERLINK("https://finance.yahoo.com/quote/GLU-PB","GLU-PB")</f>
        <v/>
      </c>
      <c r="B7953" t="inlineStr">
        <is>
          <t>GABELLI GLOBAL UTILITY &amp; INCOME TRUST</t>
        </is>
      </c>
      <c r="C7953" t="inlineStr">
        <is>
          <t>NYSE</t>
        </is>
      </c>
      <c r="D7953" t="n">
        <v>1282957</v>
      </c>
      <c r="E7953" t="inlineStr">
        <is>
          <t>SEC</t>
        </is>
      </c>
    </row>
    <row r="7954">
      <c r="A7954" s="5">
        <f>HYPERLINK("https://finance.yahoo.com/quote/LCGMF","LCGMF")</f>
        <v/>
      </c>
      <c r="B7954" t="inlineStr">
        <is>
          <t>Lion Copper Corp.</t>
        </is>
      </c>
      <c r="C7954" t="inlineStr">
        <is>
          <t>OTC</t>
        </is>
      </c>
      <c r="D7954" t="n">
        <v>1339688</v>
      </c>
      <c r="E7954" t="inlineStr">
        <is>
          <t>SEC</t>
        </is>
      </c>
    </row>
    <row r="7955">
      <c r="A7955" s="5">
        <f>HYPERLINK("https://finance.yahoo.com/quote/GFASY","GFASY")</f>
        <v/>
      </c>
      <c r="B7955" t="inlineStr">
        <is>
          <t>Gafisa S.A.</t>
        </is>
      </c>
      <c r="C7955" t="inlineStr">
        <is>
          <t>OTC</t>
        </is>
      </c>
      <c r="D7955" t="n">
        <v>1389207</v>
      </c>
      <c r="E7955" t="inlineStr">
        <is>
          <t>SEC</t>
        </is>
      </c>
    </row>
    <row r="7956">
      <c r="A7956" s="5">
        <f>HYPERLINK("https://finance.yahoo.com/quote/BCOW","BCOW")</f>
        <v/>
      </c>
      <c r="B7956" t="inlineStr">
        <is>
          <t>1895 Bancorp of Wisconsin, Inc. /MD/</t>
        </is>
      </c>
      <c r="C7956" t="inlineStr">
        <is>
          <t>OTC</t>
        </is>
      </c>
      <c r="D7956" t="n">
        <v>1847360</v>
      </c>
      <c r="E7956" t="inlineStr">
        <is>
          <t>SEC</t>
        </is>
      </c>
    </row>
    <row r="7957">
      <c r="A7957" s="5">
        <f>HYPERLINK("https://finance.yahoo.com/quote/HUSIF","HUSIF")</f>
        <v/>
      </c>
      <c r="B7957" t="inlineStr">
        <is>
          <t>NICOLA MINING INC.</t>
        </is>
      </c>
      <c r="C7957" t="inlineStr">
        <is>
          <t>OTC</t>
        </is>
      </c>
      <c r="D7957" t="n">
        <v>1526475</v>
      </c>
      <c r="E7957" t="inlineStr">
        <is>
          <t>SEC</t>
        </is>
      </c>
    </row>
    <row r="7958">
      <c r="A7958" s="5">
        <f>HYPERLINK("https://finance.yahoo.com/quote/ATEK","ATEK")</f>
        <v/>
      </c>
      <c r="B7958" t="inlineStr">
        <is>
          <t>Athena Technology Acquisition Corp. II</t>
        </is>
      </c>
      <c r="C7958" t="inlineStr">
        <is>
          <t>OTC</t>
        </is>
      </c>
      <c r="D7958" t="n">
        <v>1882198</v>
      </c>
      <c r="E7958" t="inlineStr">
        <is>
          <t>SEC</t>
        </is>
      </c>
    </row>
    <row r="7959">
      <c r="A7959" s="5">
        <f>HYPERLINK("https://finance.yahoo.com/quote/SIMA","SIMA")</f>
        <v/>
      </c>
      <c r="B7959" t="inlineStr">
        <is>
          <t>SIM Acquisition Corp. I</t>
        </is>
      </c>
      <c r="C7959" t="inlineStr">
        <is>
          <t>Nasdaq</t>
        </is>
      </c>
      <c r="D7959" t="n">
        <v>2014982</v>
      </c>
      <c r="E7959" t="inlineStr">
        <is>
          <t>SEC</t>
        </is>
      </c>
    </row>
    <row r="7960">
      <c r="A7960" s="5">
        <f>HYPERLINK("https://finance.yahoo.com/quote/OCGSF","OCGSF")</f>
        <v/>
      </c>
      <c r="B7960" t="inlineStr">
        <is>
          <t>Outcrop Silver &amp; Gold Corp</t>
        </is>
      </c>
      <c r="C7960" t="inlineStr">
        <is>
          <t>OTC</t>
        </is>
      </c>
      <c r="D7960" t="n">
        <v>942149</v>
      </c>
      <c r="E7960" t="inlineStr">
        <is>
          <t>SEC</t>
        </is>
      </c>
    </row>
    <row r="7961">
      <c r="A7961" s="5">
        <f>HYPERLINK("https://finance.yahoo.com/quote/CPTP","CPTP")</f>
        <v/>
      </c>
      <c r="B7961" t="inlineStr">
        <is>
          <t>CAPITAL PROPERTIES INC /RI/</t>
        </is>
      </c>
      <c r="C7961" t="inlineStr">
        <is>
          <t>OTC</t>
        </is>
      </c>
      <c r="D7961" t="n">
        <v>202947</v>
      </c>
      <c r="E7961" t="inlineStr">
        <is>
          <t>SEC</t>
        </is>
      </c>
    </row>
    <row r="7962">
      <c r="A7962" s="5">
        <f>HYPERLINK("https://finance.yahoo.com/quote/GSL-PB","GSL-PB")</f>
        <v/>
      </c>
      <c r="B7962" t="inlineStr">
        <is>
          <t>Global Ship Lease, Inc.</t>
        </is>
      </c>
      <c r="C7962" t="inlineStr">
        <is>
          <t>NYSE</t>
        </is>
      </c>
      <c r="D7962" t="n">
        <v>1430725</v>
      </c>
      <c r="E7962" t="inlineStr">
        <is>
          <t>SEC</t>
        </is>
      </c>
    </row>
    <row r="7963">
      <c r="A7963" s="5">
        <f>HYPERLINK("https://finance.yahoo.com/quote/KBSR","KBSR")</f>
        <v/>
      </c>
      <c r="B7963" t="inlineStr">
        <is>
          <t>KBS Real Estate Investment Trust III, Inc.</t>
        </is>
      </c>
      <c r="C7963" t="inlineStr">
        <is>
          <t>OTC</t>
        </is>
      </c>
      <c r="D7963" t="n">
        <v>1482430</v>
      </c>
      <c r="E7963" t="inlineStr">
        <is>
          <t>SEC</t>
        </is>
      </c>
    </row>
    <row r="7964">
      <c r="A7964" s="5">
        <f>HYPERLINK("https://finance.yahoo.com/quote/CULL","CULL")</f>
        <v/>
      </c>
      <c r="B7964" t="inlineStr">
        <is>
          <t>Cullman Bancorp, Inc. /MD/</t>
        </is>
      </c>
      <c r="C7964" t="inlineStr">
        <is>
          <t>OTC</t>
        </is>
      </c>
      <c r="D7964" t="n">
        <v>1845799</v>
      </c>
      <c r="E7964" t="inlineStr">
        <is>
          <t>SEC</t>
        </is>
      </c>
    </row>
    <row r="7965">
      <c r="A7965" s="5">
        <f>HYPERLINK("https://finance.yahoo.com/quote/LPAA","LPAA")</f>
        <v/>
      </c>
      <c r="B7965" t="inlineStr">
        <is>
          <t>Launch One Acquisition Corp.</t>
        </is>
      </c>
      <c r="C7965" t="inlineStr">
        <is>
          <t>Nasdaq</t>
        </is>
      </c>
      <c r="D7965" t="n">
        <v>2015502</v>
      </c>
      <c r="E7965" t="inlineStr">
        <is>
          <t>SEC</t>
        </is>
      </c>
    </row>
    <row r="7966">
      <c r="A7966" s="5">
        <f>HYPERLINK("https://finance.yahoo.com/quote/TKLS","TKLS")</f>
        <v/>
      </c>
      <c r="B7966" t="inlineStr">
        <is>
          <t>Trutankless, Inc.</t>
        </is>
      </c>
      <c r="C7966" t="inlineStr">
        <is>
          <t>OTC</t>
        </is>
      </c>
      <c r="D7966" t="n">
        <v>1429393</v>
      </c>
      <c r="E7966" t="inlineStr">
        <is>
          <t>SEC</t>
        </is>
      </c>
    </row>
    <row r="7967">
      <c r="A7967" s="5">
        <f>HYPERLINK("https://finance.yahoo.com/quote/TTSH","TTSH")</f>
        <v/>
      </c>
      <c r="B7967" t="inlineStr">
        <is>
          <t>TILE SHOP HOLDINGS, INC.</t>
        </is>
      </c>
      <c r="C7967" t="inlineStr">
        <is>
          <t>OTC</t>
        </is>
      </c>
      <c r="D7967" t="n">
        <v>1552800</v>
      </c>
      <c r="E7967" t="inlineStr">
        <is>
          <t>SEC</t>
        </is>
      </c>
    </row>
    <row r="7968">
      <c r="A7968" s="5">
        <f>HYPERLINK("https://finance.yahoo.com/quote/CMCAF","CMCAF")</f>
        <v/>
      </c>
      <c r="B7968" t="inlineStr">
        <is>
          <t>Piermont Valley Acquisition Corp</t>
        </is>
      </c>
      <c r="C7968" t="inlineStr">
        <is>
          <t>OTC</t>
        </is>
      </c>
      <c r="D7968" t="n">
        <v>1865248</v>
      </c>
      <c r="E7968" t="inlineStr">
        <is>
          <t>SEC</t>
        </is>
      </c>
    </row>
    <row r="7969">
      <c r="A7969" s="5">
        <f>HYPERLINK("https://finance.yahoo.com/quote/IXAQF","IXAQF")</f>
        <v/>
      </c>
      <c r="B7969" t="inlineStr">
        <is>
          <t>IX Acquisition Corp.</t>
        </is>
      </c>
      <c r="C7969" t="inlineStr">
        <is>
          <t>OTC</t>
        </is>
      </c>
      <c r="D7969" t="n">
        <v>1852019</v>
      </c>
      <c r="E7969" t="inlineStr">
        <is>
          <t>SEC</t>
        </is>
      </c>
    </row>
    <row r="7970">
      <c r="A7970" s="5">
        <f>HYPERLINK("https://finance.yahoo.com/quote/GGROU","GGROU")</f>
        <v/>
      </c>
      <c r="B7970" t="inlineStr">
        <is>
          <t>Golden Growers Cooperative</t>
        </is>
      </c>
      <c r="C7970" t="inlineStr">
        <is>
          <t>OTC</t>
        </is>
      </c>
      <c r="D7970" t="n">
        <v>1489874</v>
      </c>
      <c r="E7970" t="inlineStr">
        <is>
          <t>SEC</t>
        </is>
      </c>
    </row>
    <row r="7971">
      <c r="A7971" s="5">
        <f>HYPERLINK("https://finance.yahoo.com/quote/CBRRF","CBRRF")</f>
        <v/>
      </c>
      <c r="B7971" t="inlineStr">
        <is>
          <t>Chain Bridge I</t>
        </is>
      </c>
      <c r="C7971" t="inlineStr">
        <is>
          <t>OTC</t>
        </is>
      </c>
      <c r="D7971" t="n">
        <v>1845149</v>
      </c>
      <c r="E7971" t="inlineStr">
        <is>
          <t>SEC</t>
        </is>
      </c>
    </row>
    <row r="7972">
      <c r="A7972" s="5">
        <f>HYPERLINK("https://finance.yahoo.com/quote/WKEY","WKEY")</f>
        <v/>
      </c>
      <c r="B7972" t="inlineStr">
        <is>
          <t>WISeQey Corp.</t>
        </is>
      </c>
      <c r="C7972" t="inlineStr"/>
      <c r="D7972" t="n">
        <v>1738699</v>
      </c>
      <c r="E7972" t="inlineStr">
        <is>
          <t>SEC</t>
        </is>
      </c>
    </row>
    <row r="7973">
      <c r="A7973" s="5">
        <f>HYPERLINK("https://finance.yahoo.com/quote/HSTC","HSTC")</f>
        <v/>
      </c>
      <c r="B7973" t="inlineStr">
        <is>
          <t>HST Global, Inc.</t>
        </is>
      </c>
      <c r="C7973" t="inlineStr">
        <is>
          <t>OTC</t>
        </is>
      </c>
      <c r="D7973" t="n">
        <v>797564</v>
      </c>
      <c r="E7973" t="inlineStr">
        <is>
          <t>SEC</t>
        </is>
      </c>
    </row>
    <row r="7974">
      <c r="A7974" s="5">
        <f>HYPERLINK("https://finance.yahoo.com/quote/GTMAY","GTMAY")</f>
        <v/>
      </c>
      <c r="B7974" t="inlineStr">
        <is>
          <t>GRUPO TMM SAB</t>
        </is>
      </c>
      <c r="C7974" t="inlineStr">
        <is>
          <t>OTC</t>
        </is>
      </c>
      <c r="D7974" t="n">
        <v>1163560</v>
      </c>
      <c r="E7974" t="inlineStr">
        <is>
          <t>SEC</t>
        </is>
      </c>
    </row>
    <row r="7975">
      <c r="A7975" s="5">
        <f>HYPERLINK("https://finance.yahoo.com/quote/ASCBF","ASCBF")</f>
        <v/>
      </c>
      <c r="B7975" t="inlineStr">
        <is>
          <t>ASPAC II Acquisition Corp.</t>
        </is>
      </c>
      <c r="C7975" t="inlineStr">
        <is>
          <t>OTC</t>
        </is>
      </c>
      <c r="D7975" t="n">
        <v>1876716</v>
      </c>
      <c r="E7975" t="inlineStr">
        <is>
          <t>SEC</t>
        </is>
      </c>
    </row>
    <row r="7976">
      <c r="A7976" s="5">
        <f>HYPERLINK("https://finance.yahoo.com/quote/LIVG","LIVG")</f>
        <v/>
      </c>
      <c r="B7976" t="inlineStr">
        <is>
          <t>Livento Group, Inc.</t>
        </is>
      </c>
      <c r="C7976" t="inlineStr">
        <is>
          <t>OTC</t>
        </is>
      </c>
      <c r="D7976" t="n">
        <v>1593549</v>
      </c>
      <c r="E7976" t="inlineStr">
        <is>
          <t>SEC</t>
        </is>
      </c>
    </row>
    <row r="7977">
      <c r="A7977" s="5">
        <f>HYPERLINK("https://finance.yahoo.com/quote/STRC","STRC")</f>
        <v/>
      </c>
      <c r="B7977" t="inlineStr">
        <is>
          <t>Strategy Inc</t>
        </is>
      </c>
      <c r="C7977" t="inlineStr">
        <is>
          <t>Nasdaq</t>
        </is>
      </c>
      <c r="D7977" t="n">
        <v>1050446</v>
      </c>
      <c r="E7977" t="inlineStr">
        <is>
          <t>SEC</t>
        </is>
      </c>
    </row>
    <row r="7978">
      <c r="A7978" s="5">
        <f>HYPERLINK("https://finance.yahoo.com/quote/UBOH","UBOH")</f>
        <v/>
      </c>
      <c r="B7978" t="inlineStr">
        <is>
          <t>UNITED BANCSHARES INC/OH</t>
        </is>
      </c>
      <c r="C7978" t="inlineStr">
        <is>
          <t>OTC</t>
        </is>
      </c>
      <c r="D7978" t="n">
        <v>1087456</v>
      </c>
      <c r="E7978" t="inlineStr">
        <is>
          <t>SEC</t>
        </is>
      </c>
    </row>
    <row r="7979">
      <c r="A7979" s="5">
        <f>HYPERLINK("https://finance.yahoo.com/quote/SRCRF","SRCRF")</f>
        <v/>
      </c>
      <c r="B7979" t="inlineStr">
        <is>
          <t>Scorpio Gold Corp</t>
        </is>
      </c>
      <c r="C7979" t="inlineStr">
        <is>
          <t>OTC</t>
        </is>
      </c>
      <c r="D7979" t="n">
        <v>1467093</v>
      </c>
      <c r="E7979" t="inlineStr">
        <is>
          <t>SEC</t>
        </is>
      </c>
    </row>
    <row r="7980">
      <c r="A7980" s="5">
        <f>HYPERLINK("https://finance.yahoo.com/quote/TRLC","TRLC")</f>
        <v/>
      </c>
      <c r="B7980" t="inlineStr">
        <is>
          <t>TriLinc Global Impact Fund LLC</t>
        </is>
      </c>
      <c r="C7980" t="inlineStr">
        <is>
          <t>OTC</t>
        </is>
      </c>
      <c r="D7980" t="n">
        <v>1550453</v>
      </c>
      <c r="E7980" t="inlineStr">
        <is>
          <t>SEC</t>
        </is>
      </c>
    </row>
    <row r="7981">
      <c r="A7981" s="5">
        <f>HYPERLINK("https://finance.yahoo.com/quote/MDNAF","MDNAF")</f>
        <v/>
      </c>
      <c r="B7981" t="inlineStr">
        <is>
          <t>Medicenna Therapeutics Corp.</t>
        </is>
      </c>
      <c r="C7981" t="inlineStr">
        <is>
          <t>OTC</t>
        </is>
      </c>
      <c r="D7981" t="n">
        <v>1807983</v>
      </c>
      <c r="E7981" t="inlineStr">
        <is>
          <t>SEC</t>
        </is>
      </c>
    </row>
    <row r="7982">
      <c r="A7982" s="5">
        <f>HYPERLINK("https://finance.yahoo.com/quote/MAPS","MAPS")</f>
        <v/>
      </c>
      <c r="B7982" t="inlineStr">
        <is>
          <t>WM TECHNOLOGY, INC.</t>
        </is>
      </c>
      <c r="C7982" t="inlineStr">
        <is>
          <t>OTC</t>
        </is>
      </c>
      <c r="D7982" t="n">
        <v>1779474</v>
      </c>
      <c r="E7982" t="inlineStr">
        <is>
          <t>SEC</t>
        </is>
      </c>
    </row>
    <row r="7983">
      <c r="A7983" s="5">
        <f>HYPERLINK("https://finance.yahoo.com/quote/NVNXF","NVNXF")</f>
        <v/>
      </c>
      <c r="B7983" t="inlineStr">
        <is>
          <t>NOVONIX Ltd</t>
        </is>
      </c>
      <c r="C7983" t="inlineStr">
        <is>
          <t>OTC</t>
        </is>
      </c>
      <c r="D7983" t="n">
        <v>1859795</v>
      </c>
      <c r="E7983" t="inlineStr">
        <is>
          <t>SEC</t>
        </is>
      </c>
    </row>
    <row r="7984">
      <c r="A7984" s="5">
        <f>HYPERLINK("https://finance.yahoo.com/quote/CIZN","CIZN")</f>
        <v/>
      </c>
      <c r="B7984" t="inlineStr">
        <is>
          <t>CITIZENS HOLDING CO /MS/</t>
        </is>
      </c>
      <c r="C7984" t="inlineStr">
        <is>
          <t>OTC</t>
        </is>
      </c>
      <c r="D7984" t="n">
        <v>1075706</v>
      </c>
      <c r="E7984" t="inlineStr">
        <is>
          <t>SEC</t>
        </is>
      </c>
    </row>
    <row r="7985">
      <c r="A7985" s="5">
        <f>HYPERLINK("https://finance.yahoo.com/quote/VICP","VICP")</f>
        <v/>
      </c>
      <c r="B7985" t="inlineStr">
        <is>
          <t>Vicapsys Life Sciences, Inc.</t>
        </is>
      </c>
      <c r="C7985" t="inlineStr">
        <is>
          <t>OTC</t>
        </is>
      </c>
      <c r="D7985" t="n">
        <v>1468639</v>
      </c>
      <c r="E7985" t="inlineStr">
        <is>
          <t>SEC</t>
        </is>
      </c>
    </row>
    <row r="7986">
      <c r="A7986" s="5">
        <f>HYPERLINK("https://finance.yahoo.com/quote/FUUFF","FUUFF")</f>
        <v/>
      </c>
      <c r="B7986" t="inlineStr">
        <is>
          <t>F3 Uranium Corp.</t>
        </is>
      </c>
      <c r="C7986" t="inlineStr">
        <is>
          <t>OTC</t>
        </is>
      </c>
      <c r="D7986" t="n">
        <v>1703118</v>
      </c>
      <c r="E7986" t="inlineStr">
        <is>
          <t>SEC</t>
        </is>
      </c>
    </row>
    <row r="7987">
      <c r="A7987" s="5">
        <f>HYPERLINK("https://finance.yahoo.com/quote/ARSMF","ARSMF")</f>
        <v/>
      </c>
      <c r="B7987" t="inlineStr">
        <is>
          <t>ARES STRATEGIC MINING INC.</t>
        </is>
      </c>
      <c r="C7987" t="inlineStr">
        <is>
          <t>OTC</t>
        </is>
      </c>
      <c r="D7987" t="n">
        <v>1804792</v>
      </c>
      <c r="E7987" t="inlineStr">
        <is>
          <t>SEC</t>
        </is>
      </c>
    </row>
    <row r="7988">
      <c r="A7988" s="5">
        <f>HYPERLINK("https://finance.yahoo.com/quote/JETBF","JETBF")</f>
        <v/>
      </c>
      <c r="B7988" t="inlineStr">
        <is>
          <t>Global Crossing Airlines Group Inc.</t>
        </is>
      </c>
      <c r="C7988" t="inlineStr">
        <is>
          <t>OTC</t>
        </is>
      </c>
      <c r="D7988" t="n">
        <v>1846084</v>
      </c>
      <c r="E7988" t="inlineStr">
        <is>
          <t>SEC</t>
        </is>
      </c>
    </row>
    <row r="7989">
      <c r="A7989" s="5">
        <f>HYPERLINK("https://finance.yahoo.com/quote/BBXIA","BBXIA")</f>
        <v/>
      </c>
      <c r="B7989" t="inlineStr">
        <is>
          <t>BBX Capital, Inc.</t>
        </is>
      </c>
      <c r="C7989" t="inlineStr">
        <is>
          <t>OTC</t>
        </is>
      </c>
      <c r="D7989" t="n">
        <v>1814974</v>
      </c>
      <c r="E7989" t="inlineStr">
        <is>
          <t>SEC</t>
        </is>
      </c>
    </row>
    <row r="7990">
      <c r="A7990" s="5">
        <f>HYPERLINK("https://finance.yahoo.com/quote/UONEK","UONEK")</f>
        <v/>
      </c>
      <c r="B7990" t="inlineStr">
        <is>
          <t>URBAN ONE, INC.</t>
        </is>
      </c>
      <c r="C7990" t="inlineStr">
        <is>
          <t>Nasdaq</t>
        </is>
      </c>
      <c r="D7990" t="n">
        <v>1041657</v>
      </c>
      <c r="E7990" t="inlineStr">
        <is>
          <t>SEC</t>
        </is>
      </c>
    </row>
    <row r="7991">
      <c r="A7991" s="5">
        <f>HYPERLINK("https://finance.yahoo.com/quote/FSTJ","FSTJ")</f>
        <v/>
      </c>
      <c r="B7991" t="inlineStr">
        <is>
          <t>First America Resources Corp</t>
        </is>
      </c>
      <c r="C7991" t="inlineStr">
        <is>
          <t>OTC</t>
        </is>
      </c>
      <c r="D7991" t="n">
        <v>1525306</v>
      </c>
      <c r="E7991" t="inlineStr">
        <is>
          <t>SEC</t>
        </is>
      </c>
    </row>
    <row r="7992">
      <c r="A7992" s="5">
        <f>HYPERLINK("https://finance.yahoo.com/quote/RMHI","RMHI")</f>
        <v/>
      </c>
      <c r="B7992" t="inlineStr">
        <is>
          <t>Retrieve Medical Holdings, Inc.</t>
        </is>
      </c>
      <c r="C7992" t="inlineStr">
        <is>
          <t>OTC</t>
        </is>
      </c>
      <c r="D7992" t="n">
        <v>1452804</v>
      </c>
      <c r="E7992" t="inlineStr">
        <is>
          <t>SEC</t>
        </is>
      </c>
    </row>
    <row r="7993">
      <c r="A7993" s="5">
        <f>HYPERLINK("https://finance.yahoo.com/quote/WINV","WINV")</f>
        <v/>
      </c>
      <c r="B7993" t="inlineStr">
        <is>
          <t>WinVest Acquisition Corp.</t>
        </is>
      </c>
      <c r="C7993" t="inlineStr">
        <is>
          <t>OTC</t>
        </is>
      </c>
      <c r="D7993" t="n">
        <v>1854463</v>
      </c>
      <c r="E7993" t="inlineStr">
        <is>
          <t>SEC</t>
        </is>
      </c>
    </row>
    <row r="7994">
      <c r="A7994" s="5">
        <f>HYPERLINK("https://finance.yahoo.com/quote/WPRT","WPRT")</f>
        <v/>
      </c>
      <c r="B7994" t="inlineStr">
        <is>
          <t>AETHERION TECHNOLOGIES INC.</t>
        </is>
      </c>
      <c r="C7994" t="inlineStr">
        <is>
          <t>Nasdaq</t>
        </is>
      </c>
      <c r="D7994" t="n">
        <v>1370416</v>
      </c>
      <c r="E7994" t="inlineStr">
        <is>
          <t>SEC</t>
        </is>
      </c>
    </row>
    <row r="7995">
      <c r="A7995" s="5">
        <f>HYPERLINK("https://finance.yahoo.com/quote/FSHP","FSHP")</f>
        <v/>
      </c>
      <c r="B7995" t="inlineStr">
        <is>
          <t>Flag Ship Acquisition Corp</t>
        </is>
      </c>
      <c r="C7995" t="inlineStr">
        <is>
          <t>Nasdaq</t>
        </is>
      </c>
      <c r="D7995" t="n">
        <v>1850059</v>
      </c>
      <c r="E7995" t="inlineStr">
        <is>
          <t>SEC</t>
        </is>
      </c>
    </row>
    <row r="7996">
      <c r="A7996" s="5">
        <f>HYPERLINK("https://finance.yahoo.com/quote/CCTSF","CCTSF")</f>
        <v/>
      </c>
      <c r="B7996" t="inlineStr">
        <is>
          <t>Cactus Acquisition Corp. 1 Ltd</t>
        </is>
      </c>
      <c r="C7996" t="inlineStr">
        <is>
          <t>OTC</t>
        </is>
      </c>
      <c r="D7996" t="n">
        <v>1865861</v>
      </c>
      <c r="E7996" t="inlineStr">
        <is>
          <t>SEC</t>
        </is>
      </c>
    </row>
    <row r="7997">
      <c r="A7997" s="5">
        <f>HYPERLINK("https://finance.yahoo.com/quote/WSKEF","WSKEF")</f>
        <v/>
      </c>
      <c r="B7997" t="inlineStr">
        <is>
          <t>WISeQey Corp.</t>
        </is>
      </c>
      <c r="C7997" t="inlineStr">
        <is>
          <t>OTC</t>
        </is>
      </c>
      <c r="D7997" t="n">
        <v>1738699</v>
      </c>
      <c r="E7997" t="inlineStr">
        <is>
          <t>SEC</t>
        </is>
      </c>
    </row>
    <row r="7998">
      <c r="A7998" s="5">
        <f>HYPERLINK("https://finance.yahoo.com/quote/BIOE","BIOE")</f>
        <v/>
      </c>
      <c r="B7998" t="inlineStr">
        <is>
          <t>Bio Essence Corp</t>
        </is>
      </c>
      <c r="C7998" t="inlineStr">
        <is>
          <t>OTC</t>
        </is>
      </c>
      <c r="D7998" t="n">
        <v>1723059</v>
      </c>
      <c r="E7998" t="inlineStr">
        <is>
          <t>SEC</t>
        </is>
      </c>
    </row>
    <row r="7999">
      <c r="A7999" s="5">
        <f>HYPERLINK("https://finance.yahoo.com/quote/AATC","AATC")</f>
        <v/>
      </c>
      <c r="B7999" t="inlineStr">
        <is>
          <t>AUTOSCOPE TECHNOLOGIES CORP</t>
        </is>
      </c>
      <c r="C7999" t="inlineStr">
        <is>
          <t>OTC</t>
        </is>
      </c>
      <c r="D7999" t="n">
        <v>943034</v>
      </c>
      <c r="E7999" t="inlineStr">
        <is>
          <t>SEC</t>
        </is>
      </c>
    </row>
    <row r="8000">
      <c r="A8000" s="5">
        <f>HYPERLINK("https://finance.yahoo.com/quote/ANPCF","ANPCF")</f>
        <v/>
      </c>
      <c r="B8000" t="inlineStr">
        <is>
          <t>ANGLE plc</t>
        </is>
      </c>
      <c r="C8000" t="inlineStr">
        <is>
          <t>OTC</t>
        </is>
      </c>
      <c r="D8000" t="n">
        <v>1620678</v>
      </c>
      <c r="E8000" t="inlineStr">
        <is>
          <t>SEC</t>
        </is>
      </c>
    </row>
    <row r="8001">
      <c r="A8001" s="5">
        <f>HYPERLINK("https://finance.yahoo.com/quote/MLMC","MLMC")</f>
        <v/>
      </c>
      <c r="B8001" t="inlineStr">
        <is>
          <t>FrankSpeech Network, Inc.</t>
        </is>
      </c>
      <c r="C8001" t="inlineStr">
        <is>
          <t>OTC</t>
        </is>
      </c>
      <c r="D8001" t="n">
        <v>1099234</v>
      </c>
      <c r="E8001" t="inlineStr">
        <is>
          <t>SEC</t>
        </is>
      </c>
    </row>
    <row r="8002">
      <c r="A8002" s="5">
        <f>HYPERLINK("https://finance.yahoo.com/quote/LTSV","LTSV")</f>
        <v/>
      </c>
      <c r="B8002" t="inlineStr">
        <is>
          <t>Lightstone Value Plus REIT IV, Inc.</t>
        </is>
      </c>
      <c r="C8002" t="inlineStr">
        <is>
          <t>OTC</t>
        </is>
      </c>
      <c r="D8002" t="n">
        <v>1619312</v>
      </c>
      <c r="E8002" t="inlineStr">
        <is>
          <t>SEC</t>
        </is>
      </c>
    </row>
    <row r="8003">
      <c r="A8003" s="5">
        <f>HYPERLINK("https://finance.yahoo.com/quote/OMCC","OMCC")</f>
        <v/>
      </c>
      <c r="B8003" t="inlineStr">
        <is>
          <t>OLD MARKET CAPITAL Corp</t>
        </is>
      </c>
      <c r="C8003" t="inlineStr">
        <is>
          <t>OTC</t>
        </is>
      </c>
      <c r="D8003" t="n">
        <v>1000045</v>
      </c>
      <c r="E8003" t="inlineStr">
        <is>
          <t>SEC</t>
        </is>
      </c>
    </row>
    <row r="8004">
      <c r="A8004" s="5">
        <f>HYPERLINK("https://finance.yahoo.com/quote/CLCS","CLCS")</f>
        <v/>
      </c>
      <c r="B8004" t="inlineStr">
        <is>
          <t>Cell Source, Inc.</t>
        </is>
      </c>
      <c r="C8004" t="inlineStr">
        <is>
          <t>OTC</t>
        </is>
      </c>
      <c r="D8004" t="n">
        <v>1569340</v>
      </c>
      <c r="E8004" t="inlineStr">
        <is>
          <t>SEC</t>
        </is>
      </c>
    </row>
    <row r="8005">
      <c r="A8005" s="5">
        <f>HYPERLINK("https://finance.yahoo.com/quote/HSTI","HSTI")</f>
        <v/>
      </c>
      <c r="B8005" t="inlineStr">
        <is>
          <t>High Sierra Technologies, Inc.</t>
        </is>
      </c>
      <c r="C8005" t="inlineStr">
        <is>
          <t>OTC</t>
        </is>
      </c>
      <c r="D8005" t="n">
        <v>1365388</v>
      </c>
      <c r="E8005" t="inlineStr">
        <is>
          <t>SEC</t>
        </is>
      </c>
    </row>
    <row r="8006">
      <c r="A8006" s="5">
        <f>HYPERLINK("https://finance.yahoo.com/quote/GWLL","GWLL")</f>
        <v/>
      </c>
      <c r="B8006" t="inlineStr">
        <is>
          <t>GOLDENWELL BIOTECH, INC.</t>
        </is>
      </c>
      <c r="C8006" t="inlineStr">
        <is>
          <t>OTC</t>
        </is>
      </c>
      <c r="D8006" t="n">
        <v>1800373</v>
      </c>
      <c r="E8006" t="inlineStr">
        <is>
          <t>SEC</t>
        </is>
      </c>
    </row>
    <row r="8007">
      <c r="A8007" s="5">
        <f>HYPERLINK("https://finance.yahoo.com/quote/OSBK","OSBK")</f>
        <v/>
      </c>
      <c r="B8007" t="inlineStr">
        <is>
          <t>OCONEE FINANCIAL CORP</t>
        </is>
      </c>
      <c r="C8007" t="inlineStr">
        <is>
          <t>OTC</t>
        </is>
      </c>
      <c r="D8007" t="n">
        <v>1076691</v>
      </c>
      <c r="E8007" t="inlineStr">
        <is>
          <t>SEC</t>
        </is>
      </c>
    </row>
    <row r="8008">
      <c r="A8008" s="5">
        <f>HYPERLINK("https://finance.yahoo.com/quote/XTXXF","XTXXF")</f>
        <v/>
      </c>
      <c r="B8008" t="inlineStr">
        <is>
          <t>Adastra Holdings Ltd.</t>
        </is>
      </c>
      <c r="C8008" t="inlineStr">
        <is>
          <t>OTC</t>
        </is>
      </c>
      <c r="D8008" t="n">
        <v>1891512</v>
      </c>
      <c r="E8008" t="inlineStr">
        <is>
          <t>SEC</t>
        </is>
      </c>
    </row>
    <row r="8009">
      <c r="A8009" s="5">
        <f>HYPERLINK("https://finance.yahoo.com/quote/ZIVO","ZIVO")</f>
        <v/>
      </c>
      <c r="B8009" t="inlineStr">
        <is>
          <t>Zivo Bioscience, Inc.</t>
        </is>
      </c>
      <c r="C8009" t="inlineStr">
        <is>
          <t>OTC</t>
        </is>
      </c>
      <c r="D8009" t="n">
        <v>1101026</v>
      </c>
      <c r="E8009" t="inlineStr">
        <is>
          <t>SEC</t>
        </is>
      </c>
    </row>
    <row r="8010">
      <c r="A8010" s="5">
        <f>HYPERLINK("https://finance.yahoo.com/quote/SWAG","SWAG")</f>
        <v/>
      </c>
      <c r="B8010" t="inlineStr">
        <is>
          <t>Stran &amp; Company, Inc.</t>
        </is>
      </c>
      <c r="C8010" t="inlineStr">
        <is>
          <t>Nasdaq</t>
        </is>
      </c>
      <c r="D8010" t="n">
        <v>1872525</v>
      </c>
      <c r="E8010" t="inlineStr">
        <is>
          <t>SEC</t>
        </is>
      </c>
    </row>
    <row r="8011">
      <c r="A8011" s="5">
        <f>HYPERLINK("https://finance.yahoo.com/quote/WVVIP","WVVIP")</f>
        <v/>
      </c>
      <c r="B8011" t="inlineStr">
        <is>
          <t>WILLAMETTE VALLEY VINEYARDS INC</t>
        </is>
      </c>
      <c r="C8011" t="inlineStr">
        <is>
          <t>Nasdaq</t>
        </is>
      </c>
      <c r="D8011" t="n">
        <v>838875</v>
      </c>
      <c r="E8011" t="inlineStr">
        <is>
          <t>SEC</t>
        </is>
      </c>
    </row>
    <row r="8012">
      <c r="A8012" s="5">
        <f>HYPERLINK("https://finance.yahoo.com/quote/ILLMF","ILLMF")</f>
        <v/>
      </c>
      <c r="B8012" t="inlineStr">
        <is>
          <t>illumin Holdings Inc.</t>
        </is>
      </c>
      <c r="C8012" t="inlineStr">
        <is>
          <t>OTC</t>
        </is>
      </c>
      <c r="D8012" t="n">
        <v>1861233</v>
      </c>
      <c r="E8012" t="inlineStr">
        <is>
          <t>SEC</t>
        </is>
      </c>
    </row>
    <row r="8013">
      <c r="A8013" s="5">
        <f>HYPERLINK("https://finance.yahoo.com/quote/LTCH","LTCH")</f>
        <v/>
      </c>
      <c r="B8013" t="inlineStr">
        <is>
          <t>Latch, Inc.</t>
        </is>
      </c>
      <c r="C8013" t="inlineStr">
        <is>
          <t>OTC</t>
        </is>
      </c>
      <c r="D8013" t="n">
        <v>1826000</v>
      </c>
      <c r="E8013" t="inlineStr">
        <is>
          <t>SEC</t>
        </is>
      </c>
    </row>
    <row r="8014">
      <c r="A8014" s="5">
        <f>HYPERLINK("https://finance.yahoo.com/quote/BEAT","BEAT")</f>
        <v/>
      </c>
      <c r="B8014" t="inlineStr">
        <is>
          <t>HeartBeam, Inc.</t>
        </is>
      </c>
      <c r="C8014" t="inlineStr">
        <is>
          <t>Nasdaq</t>
        </is>
      </c>
      <c r="D8014" t="n">
        <v>1779372</v>
      </c>
      <c r="E8014" t="inlineStr">
        <is>
          <t>SEC</t>
        </is>
      </c>
    </row>
    <row r="8015">
      <c r="A8015" s="5">
        <f>HYPERLINK("https://finance.yahoo.com/quote/VWFB","VWFB")</f>
        <v/>
      </c>
      <c r="B8015" t="inlineStr">
        <is>
          <t>VWF Bancorp, Inc.</t>
        </is>
      </c>
      <c r="C8015" t="inlineStr">
        <is>
          <t>OTC</t>
        </is>
      </c>
      <c r="D8015" t="n">
        <v>1913838</v>
      </c>
      <c r="E8015" t="inlineStr">
        <is>
          <t>SEC</t>
        </is>
      </c>
    </row>
    <row r="8016">
      <c r="A8016" s="5">
        <f>HYPERLINK("https://finance.yahoo.com/quote/SCYYF","SCYYF")</f>
        <v/>
      </c>
      <c r="B8016" t="inlineStr">
        <is>
          <t>SCANDIUM INTERNATIONAL MINING CORP.</t>
        </is>
      </c>
      <c r="C8016" t="inlineStr">
        <is>
          <t>OTC</t>
        </is>
      </c>
      <c r="D8016" t="n">
        <v>1408146</v>
      </c>
      <c r="E8016" t="inlineStr">
        <is>
          <t>SEC</t>
        </is>
      </c>
    </row>
    <row r="8017">
      <c r="A8017" s="5">
        <f>HYPERLINK("https://finance.yahoo.com/quote/MSBB","MSBB")</f>
        <v/>
      </c>
      <c r="B8017" t="inlineStr">
        <is>
          <t>Mercer Bancorp, Inc.</t>
        </is>
      </c>
      <c r="C8017" t="inlineStr">
        <is>
          <t>OTC</t>
        </is>
      </c>
      <c r="D8017" t="n">
        <v>1967306</v>
      </c>
      <c r="E8017" t="inlineStr">
        <is>
          <t>SEC</t>
        </is>
      </c>
    </row>
    <row r="8018">
      <c r="A8018" s="5">
        <f>HYPERLINK("https://finance.yahoo.com/quote/MRZLF","MRZLF")</f>
        <v/>
      </c>
      <c r="B8018" t="inlineStr">
        <is>
          <t>Mirasol Resources Ltd</t>
        </is>
      </c>
      <c r="C8018" t="inlineStr">
        <is>
          <t>OTC</t>
        </is>
      </c>
      <c r="D8018" t="n">
        <v>1301854</v>
      </c>
      <c r="E8018" t="inlineStr">
        <is>
          <t>SEC</t>
        </is>
      </c>
    </row>
    <row r="8019">
      <c r="A8019" s="5">
        <f>HYPERLINK("https://finance.yahoo.com/quote/SFES","SFES")</f>
        <v/>
      </c>
      <c r="B8019" t="inlineStr">
        <is>
          <t>SAFEGUARD SCIENTIFICS INC</t>
        </is>
      </c>
      <c r="C8019" t="inlineStr">
        <is>
          <t>OTC</t>
        </is>
      </c>
      <c r="D8019" t="n">
        <v>86115</v>
      </c>
      <c r="E8019" t="inlineStr">
        <is>
          <t>SEC</t>
        </is>
      </c>
    </row>
    <row r="8020">
      <c r="A8020" s="5">
        <f>HYPERLINK("https://finance.yahoo.com/quote/GSTX","GSTX")</f>
        <v/>
      </c>
      <c r="B8020" t="inlineStr">
        <is>
          <t>Graphene &amp; Solar Technologies Ltd</t>
        </is>
      </c>
      <c r="C8020" t="inlineStr">
        <is>
          <t>OTC</t>
        </is>
      </c>
      <c r="D8020" t="n">
        <v>1497649</v>
      </c>
      <c r="E8020" t="inlineStr">
        <is>
          <t>SEC</t>
        </is>
      </c>
    </row>
    <row r="8021">
      <c r="A8021" s="5">
        <f>HYPERLINK("https://finance.yahoo.com/quote/WNFT","WNFT")</f>
        <v/>
      </c>
      <c r="B8021" t="inlineStr">
        <is>
          <t>Worldwide NFT Inc.</t>
        </is>
      </c>
      <c r="C8021" t="inlineStr">
        <is>
          <t>OTC</t>
        </is>
      </c>
      <c r="D8021" t="n">
        <v>1528188</v>
      </c>
      <c r="E8021" t="inlineStr">
        <is>
          <t>SEC</t>
        </is>
      </c>
    </row>
    <row r="8022">
      <c r="A8022" s="5">
        <f>HYPERLINK("https://finance.yahoo.com/quote/WHLRD","WHLRD")</f>
        <v/>
      </c>
      <c r="B8022" t="inlineStr">
        <is>
          <t>Wheeler Real Estate Investment Trust, Inc.</t>
        </is>
      </c>
      <c r="C8022" t="inlineStr">
        <is>
          <t>Nasdaq</t>
        </is>
      </c>
      <c r="D8022" t="n">
        <v>1527541</v>
      </c>
      <c r="E8022" t="inlineStr">
        <is>
          <t>SEC</t>
        </is>
      </c>
    </row>
    <row r="8023">
      <c r="A8023" s="5">
        <f>HYPERLINK("https://finance.yahoo.com/quote/GLBZ","GLBZ")</f>
        <v/>
      </c>
      <c r="B8023" t="inlineStr">
        <is>
          <t>GLEN BURNIE BANCORP</t>
        </is>
      </c>
      <c r="C8023" t="inlineStr">
        <is>
          <t>OTC</t>
        </is>
      </c>
      <c r="D8023" t="n">
        <v>890066</v>
      </c>
      <c r="E8023" t="inlineStr">
        <is>
          <t>SEC</t>
        </is>
      </c>
    </row>
    <row r="8024">
      <c r="A8024" s="5">
        <f>HYPERLINK("https://finance.yahoo.com/quote/PRNAF","PRNAF")</f>
        <v/>
      </c>
      <c r="B8024" t="inlineStr">
        <is>
          <t>ALTERITY THERAPEUTICS LTD</t>
        </is>
      </c>
      <c r="C8024" t="inlineStr">
        <is>
          <t>OTC</t>
        </is>
      </c>
      <c r="D8024" t="n">
        <v>1131343</v>
      </c>
      <c r="E8024" t="inlineStr">
        <is>
          <t>SEC</t>
        </is>
      </c>
    </row>
    <row r="8025">
      <c r="A8025" s="5">
        <f>HYPERLINK("https://finance.yahoo.com/quote/MNTCF","MNTCF")</f>
        <v/>
      </c>
      <c r="B8025" t="inlineStr">
        <is>
          <t>Montage Technology Co., Ltd./ADR</t>
        </is>
      </c>
      <c r="C8025" t="inlineStr">
        <is>
          <t>OTC</t>
        </is>
      </c>
      <c r="D8025" t="n">
        <v>2123346</v>
      </c>
      <c r="E8025" t="inlineStr">
        <is>
          <t>SEC</t>
        </is>
      </c>
    </row>
    <row r="8026">
      <c r="A8026" s="5">
        <f>HYPERLINK("https://finance.yahoo.com/quote/TVE","TVE")</f>
        <v/>
      </c>
      <c r="B8026" t="inlineStr">
        <is>
          <t>Tennessee Valley Authority</t>
        </is>
      </c>
      <c r="C8026" t="inlineStr">
        <is>
          <t>NYSE</t>
        </is>
      </c>
      <c r="D8026" t="n">
        <v>1376986</v>
      </c>
      <c r="E8026" t="inlineStr">
        <is>
          <t>SEC</t>
        </is>
      </c>
    </row>
    <row r="8027">
      <c r="A8027" s="5">
        <f>HYPERLINK("https://finance.yahoo.com/quote/ANEB","ANEB")</f>
        <v/>
      </c>
      <c r="B8027" t="inlineStr">
        <is>
          <t>Anebulo Pharmaceuticals, Inc.</t>
        </is>
      </c>
      <c r="C8027" t="inlineStr">
        <is>
          <t>OTC</t>
        </is>
      </c>
      <c r="D8027" t="n">
        <v>1815974</v>
      </c>
      <c r="E8027" t="inlineStr">
        <is>
          <t>SEC</t>
        </is>
      </c>
    </row>
    <row r="8028">
      <c r="A8028" s="5">
        <f>HYPERLINK("https://finance.yahoo.com/quote/TAIT","TAIT")</f>
        <v/>
      </c>
      <c r="B8028" t="inlineStr">
        <is>
          <t>TAITRON COMPONENTS INC</t>
        </is>
      </c>
      <c r="C8028" t="inlineStr">
        <is>
          <t>OTC</t>
        </is>
      </c>
      <c r="D8028" t="n">
        <v>942126</v>
      </c>
      <c r="E8028" t="inlineStr">
        <is>
          <t>SEC</t>
        </is>
      </c>
    </row>
    <row r="8029">
      <c r="A8029" s="5">
        <f>HYPERLINK("https://finance.yahoo.com/quote/BRCNF","BRCNF")</f>
        <v/>
      </c>
      <c r="B8029" t="inlineStr">
        <is>
          <t>Burcon NutraScience Corp</t>
        </is>
      </c>
      <c r="C8029" t="inlineStr">
        <is>
          <t>OTC</t>
        </is>
      </c>
      <c r="D8029" t="n">
        <v>1158399</v>
      </c>
      <c r="E8029" t="inlineStr">
        <is>
          <t>SEC</t>
        </is>
      </c>
    </row>
    <row r="8030">
      <c r="A8030" s="5">
        <f>HYPERLINK("https://finance.yahoo.com/quote/TVC","TVC")</f>
        <v/>
      </c>
      <c r="B8030" t="inlineStr">
        <is>
          <t>Tennessee Valley Authority</t>
        </is>
      </c>
      <c r="C8030" t="inlineStr">
        <is>
          <t>NYSE</t>
        </is>
      </c>
      <c r="D8030" t="n">
        <v>1376986</v>
      </c>
      <c r="E8030" t="inlineStr">
        <is>
          <t>SEC</t>
        </is>
      </c>
    </row>
    <row r="8031">
      <c r="A8031" s="5">
        <f>HYPERLINK("https://finance.yahoo.com/quote/CUBT","CUBT")</f>
        <v/>
      </c>
      <c r="B8031" t="inlineStr">
        <is>
          <t>Curative Biotechnology Inc</t>
        </is>
      </c>
      <c r="C8031" t="inlineStr">
        <is>
          <t>OTC</t>
        </is>
      </c>
      <c r="D8031" t="n">
        <v>1400271</v>
      </c>
      <c r="E8031" t="inlineStr">
        <is>
          <t>SEC</t>
        </is>
      </c>
    </row>
    <row r="8032">
      <c r="A8032" s="5">
        <f>HYPERLINK("https://finance.yahoo.com/quote/CARV","CARV")</f>
        <v/>
      </c>
      <c r="B8032" t="inlineStr">
        <is>
          <t>CARVER BANCORP INC</t>
        </is>
      </c>
      <c r="C8032" t="inlineStr">
        <is>
          <t>OTC</t>
        </is>
      </c>
      <c r="D8032" t="n">
        <v>1016178</v>
      </c>
      <c r="E8032" t="inlineStr">
        <is>
          <t>SEC</t>
        </is>
      </c>
    </row>
    <row r="8033">
      <c r="A8033" s="5">
        <f>HYPERLINK("https://finance.yahoo.com/quote/AGLY","AGLY")</f>
        <v/>
      </c>
      <c r="B8033" t="inlineStr">
        <is>
          <t>Atlantis Glory Inc.</t>
        </is>
      </c>
      <c r="C8033" t="inlineStr">
        <is>
          <t>OTC</t>
        </is>
      </c>
      <c r="D8033" t="n">
        <v>1673504</v>
      </c>
      <c r="E8033" t="inlineStr">
        <is>
          <t>SEC</t>
        </is>
      </c>
    </row>
    <row r="8034">
      <c r="A8034" s="5">
        <f>HYPERLINK("https://finance.yahoo.com/quote/CBAI","CBAI")</f>
        <v/>
      </c>
      <c r="B8034" t="inlineStr">
        <is>
          <t>Coolbit Technologies Ltd</t>
        </is>
      </c>
      <c r="C8034" t="inlineStr">
        <is>
          <t>OTC</t>
        </is>
      </c>
      <c r="D8034" t="n">
        <v>2082729</v>
      </c>
      <c r="E8034" t="inlineStr">
        <is>
          <t>SEC</t>
        </is>
      </c>
    </row>
    <row r="8035">
      <c r="A8035" s="5">
        <f>HYPERLINK("https://finance.yahoo.com/quote/VISL","VISL")</f>
        <v/>
      </c>
      <c r="B8035" t="inlineStr">
        <is>
          <t>Vislink Technologies, Inc.</t>
        </is>
      </c>
      <c r="C8035" t="inlineStr">
        <is>
          <t>OTC</t>
        </is>
      </c>
      <c r="D8035" t="n">
        <v>1565228</v>
      </c>
      <c r="E8035" t="inlineStr">
        <is>
          <t>SEC</t>
        </is>
      </c>
    </row>
    <row r="8036">
      <c r="A8036" s="5">
        <f>HYPERLINK("https://finance.yahoo.com/quote/TXRP","TXRP")</f>
        <v/>
      </c>
      <c r="B8036" t="inlineStr">
        <is>
          <t>TX Rail Products, Inc.</t>
        </is>
      </c>
      <c r="C8036" t="inlineStr">
        <is>
          <t>OTC</t>
        </is>
      </c>
      <c r="D8036" t="n">
        <v>1133798</v>
      </c>
      <c r="E8036" t="inlineStr">
        <is>
          <t>SEC</t>
        </is>
      </c>
    </row>
    <row r="8037">
      <c r="A8037" s="5">
        <f>HYPERLINK("https://finance.yahoo.com/quote/PAXH","PAXH")</f>
        <v/>
      </c>
      <c r="B8037" t="inlineStr">
        <is>
          <t>PREAXIA HEALTH CARE PAYMENT SYSTEMS INC.</t>
        </is>
      </c>
      <c r="C8037" t="inlineStr">
        <is>
          <t>OTC</t>
        </is>
      </c>
      <c r="D8037" t="n">
        <v>1350156</v>
      </c>
      <c r="E8037" t="inlineStr">
        <is>
          <t>SEC</t>
        </is>
      </c>
    </row>
    <row r="8038">
      <c r="A8038" s="5">
        <f>HYPERLINK("https://finance.yahoo.com/quote/EVTK","EVTK")</f>
        <v/>
      </c>
      <c r="B8038" t="inlineStr">
        <is>
          <t>EVENTIKO INC.</t>
        </is>
      </c>
      <c r="C8038" t="inlineStr">
        <is>
          <t>OTC</t>
        </is>
      </c>
      <c r="D8038" t="n">
        <v>1816554</v>
      </c>
      <c r="E8038" t="inlineStr">
        <is>
          <t>SEC</t>
        </is>
      </c>
    </row>
    <row r="8039">
      <c r="A8039" s="5">
        <f>HYPERLINK("https://finance.yahoo.com/quote/APHD","APHD")</f>
        <v/>
      </c>
      <c r="B8039" t="inlineStr">
        <is>
          <t>VERDE BIO HOLDINGS, INC.</t>
        </is>
      </c>
      <c r="C8039" t="inlineStr">
        <is>
          <t>OTC</t>
        </is>
      </c>
      <c r="D8039" t="n">
        <v>1490054</v>
      </c>
      <c r="E8039" t="inlineStr">
        <is>
          <t>SEC</t>
        </is>
      </c>
    </row>
    <row r="8040">
      <c r="A8040" s="5">
        <f>HYPERLINK("https://finance.yahoo.com/quote/CJAX","CJAX")</f>
        <v/>
      </c>
      <c r="B8040" t="inlineStr">
        <is>
          <t>CoJax Oil &amp; Gas Corp</t>
        </is>
      </c>
      <c r="C8040" t="inlineStr">
        <is>
          <t>OTC</t>
        </is>
      </c>
      <c r="D8040" t="n">
        <v>1763925</v>
      </c>
      <c r="E8040" t="inlineStr">
        <is>
          <t>SEC</t>
        </is>
      </c>
    </row>
    <row r="8041">
      <c r="A8041" s="5">
        <f>HYPERLINK("https://finance.yahoo.com/quote/FEOVF","FEOVF")</f>
        <v/>
      </c>
      <c r="B8041" t="inlineStr">
        <is>
          <t>OCEANIC IRON ORE CORP</t>
        </is>
      </c>
      <c r="C8041" t="inlineStr">
        <is>
          <t>OTC</t>
        </is>
      </c>
      <c r="D8041" t="n">
        <v>936801</v>
      </c>
      <c r="E8041" t="inlineStr">
        <is>
          <t>SEC</t>
        </is>
      </c>
    </row>
    <row r="8042">
      <c r="A8042" s="5">
        <f>HYPERLINK("https://finance.yahoo.com/quote/GLUC","GLUC")</f>
        <v/>
      </c>
      <c r="B8042" t="inlineStr">
        <is>
          <t>Glucose Health, Inc.</t>
        </is>
      </c>
      <c r="C8042" t="inlineStr">
        <is>
          <t>OTC</t>
        </is>
      </c>
      <c r="D8042" t="n">
        <v>1420108</v>
      </c>
      <c r="E8042" t="inlineStr">
        <is>
          <t>SEC</t>
        </is>
      </c>
    </row>
    <row r="8043">
      <c r="A8043" s="5">
        <f>HYPERLINK("https://finance.yahoo.com/quote/GETY","GETY")</f>
        <v/>
      </c>
      <c r="B8043" t="inlineStr">
        <is>
          <t>Getty Images Holdings, Inc.</t>
        </is>
      </c>
      <c r="C8043" t="inlineStr">
        <is>
          <t>OTC</t>
        </is>
      </c>
      <c r="D8043" t="n">
        <v>1898496</v>
      </c>
      <c r="E8043" t="inlineStr">
        <is>
          <t>SEC</t>
        </is>
      </c>
    </row>
    <row r="8044">
      <c r="A8044" s="5">
        <f>HYPERLINK("https://finance.yahoo.com/quote/NEXCF","NEXCF")</f>
        <v/>
      </c>
      <c r="B8044" t="inlineStr">
        <is>
          <t>Nextech3D.AI Corp.</t>
        </is>
      </c>
      <c r="C8044" t="inlineStr">
        <is>
          <t>OTC</t>
        </is>
      </c>
      <c r="D8044" t="n">
        <v>1737270</v>
      </c>
      <c r="E8044" t="inlineStr">
        <is>
          <t>SEC</t>
        </is>
      </c>
    </row>
    <row r="8045">
      <c r="A8045" s="5">
        <f>HYPERLINK("https://finance.yahoo.com/quote/BLMH","BLMH")</f>
        <v/>
      </c>
      <c r="B8045" t="inlineStr">
        <is>
          <t>BLUM HOLDINGS, INC.</t>
        </is>
      </c>
      <c r="C8045" t="inlineStr">
        <is>
          <t>OTC</t>
        </is>
      </c>
      <c r="D8045" t="n">
        <v>1996210</v>
      </c>
      <c r="E8045" t="inlineStr">
        <is>
          <t>SEC</t>
        </is>
      </c>
    </row>
    <row r="8046">
      <c r="A8046" s="5">
        <f>HYPERLINK("https://finance.yahoo.com/quote/MGTI","MGTI")</f>
        <v/>
      </c>
      <c r="B8046" t="inlineStr">
        <is>
          <t>MGT CAPITAL INVESTMENTS, INC.</t>
        </is>
      </c>
      <c r="C8046" t="inlineStr">
        <is>
          <t>OTC</t>
        </is>
      </c>
      <c r="D8046" t="n">
        <v>1001601</v>
      </c>
      <c r="E8046" t="inlineStr">
        <is>
          <t>SEC</t>
        </is>
      </c>
    </row>
    <row r="8047">
      <c r="A8047" s="5">
        <f>HYPERLINK("https://finance.yahoo.com/quote/DEVSF","DEVSF")</f>
        <v/>
      </c>
      <c r="B8047" t="inlineStr">
        <is>
          <t>DevvStream Legacy Corp.</t>
        </is>
      </c>
      <c r="C8047" t="inlineStr">
        <is>
          <t>OTC</t>
        </is>
      </c>
      <c r="D8047" t="n">
        <v>1854480</v>
      </c>
      <c r="E8047" t="inlineStr">
        <is>
          <t>SEC</t>
        </is>
      </c>
    </row>
    <row r="8048">
      <c r="A8048" s="5">
        <f>HYPERLINK("https://finance.yahoo.com/quote/FULO","FULO")</f>
        <v/>
      </c>
      <c r="B8048" t="inlineStr">
        <is>
          <t>FULLNET COMMUNICATIONS INC</t>
        </is>
      </c>
      <c r="C8048" t="inlineStr">
        <is>
          <t>OTC</t>
        </is>
      </c>
      <c r="D8048" t="n">
        <v>1092570</v>
      </c>
      <c r="E8048" t="inlineStr">
        <is>
          <t>SEC</t>
        </is>
      </c>
    </row>
    <row r="8049">
      <c r="A8049" s="5">
        <f>HYPERLINK("https://finance.yahoo.com/quote/NGHI","NGHI")</f>
        <v/>
      </c>
      <c r="B8049" t="inlineStr">
        <is>
          <t>Galenfeha, Inc.</t>
        </is>
      </c>
      <c r="C8049" t="inlineStr">
        <is>
          <t>OTC</t>
        </is>
      </c>
      <c r="D8049" t="n">
        <v>1574676</v>
      </c>
      <c r="E8049" t="inlineStr">
        <is>
          <t>SEC</t>
        </is>
      </c>
    </row>
    <row r="8050">
      <c r="A8050" s="5">
        <f>HYPERLINK("https://finance.yahoo.com/quote/VQSSF","VQSSF")</f>
        <v/>
      </c>
      <c r="B8050" t="inlineStr">
        <is>
          <t>VIQ Solutions Inc.</t>
        </is>
      </c>
      <c r="C8050" t="inlineStr">
        <is>
          <t>OTC</t>
        </is>
      </c>
      <c r="D8050" t="n">
        <v>1777765</v>
      </c>
      <c r="E8050" t="inlineStr">
        <is>
          <t>SEC</t>
        </is>
      </c>
    </row>
    <row r="8051">
      <c r="A8051" s="5">
        <f>HYPERLINK("https://finance.yahoo.com/quote/SITS","SITS")</f>
        <v/>
      </c>
      <c r="B8051" t="inlineStr">
        <is>
          <t>SOUTHERN ITS INTERNATIONAL, INC.</t>
        </is>
      </c>
      <c r="C8051" t="inlineStr">
        <is>
          <t>OTC</t>
        </is>
      </c>
      <c r="D8051" t="n">
        <v>1468978</v>
      </c>
      <c r="E8051" t="inlineStr">
        <is>
          <t>SEC</t>
        </is>
      </c>
    </row>
    <row r="8052">
      <c r="A8052" s="5">
        <f>HYPERLINK("https://finance.yahoo.com/quote/CLNV","CLNV")</f>
        <v/>
      </c>
      <c r="B8052" t="inlineStr">
        <is>
          <t>Clean Vision Corp</t>
        </is>
      </c>
      <c r="C8052" t="inlineStr">
        <is>
          <t>OTC</t>
        </is>
      </c>
      <c r="D8052" t="n">
        <v>1391426</v>
      </c>
      <c r="E8052" t="inlineStr">
        <is>
          <t>SEC</t>
        </is>
      </c>
    </row>
    <row r="8053">
      <c r="A8053" s="5">
        <f>HYPERLINK("https://finance.yahoo.com/quote/EESH","EESH")</f>
        <v/>
      </c>
      <c r="B8053" t="inlineStr">
        <is>
          <t>EESTech, Inc.</t>
        </is>
      </c>
      <c r="C8053" t="inlineStr">
        <is>
          <t>OTC</t>
        </is>
      </c>
      <c r="D8053" t="n">
        <v>1138867</v>
      </c>
      <c r="E8053" t="inlineStr">
        <is>
          <t>SEC</t>
        </is>
      </c>
    </row>
    <row r="8054">
      <c r="A8054" s="5">
        <f>HYPERLINK("https://finance.yahoo.com/quote/SILEF","SILEF")</f>
        <v/>
      </c>
      <c r="B8054" t="inlineStr">
        <is>
          <t>Silver Elephant Mining Corp.</t>
        </is>
      </c>
      <c r="C8054" t="inlineStr">
        <is>
          <t>OTC</t>
        </is>
      </c>
      <c r="D8054" t="n">
        <v>1545224</v>
      </c>
      <c r="E8054" t="inlineStr">
        <is>
          <t>SEC</t>
        </is>
      </c>
    </row>
    <row r="8055">
      <c r="A8055" s="5">
        <f>HYPERLINK("https://finance.yahoo.com/quote/MVCO","MVCO")</f>
        <v/>
      </c>
      <c r="B8055" t="inlineStr">
        <is>
          <t>Metavesco, Inc.</t>
        </is>
      </c>
      <c r="C8055" t="inlineStr">
        <is>
          <t>OTC</t>
        </is>
      </c>
      <c r="D8055" t="n">
        <v>924095</v>
      </c>
      <c r="E8055" t="inlineStr">
        <is>
          <t>SEC</t>
        </is>
      </c>
    </row>
    <row r="8056">
      <c r="A8056" s="5">
        <f>HYPERLINK("https://finance.yahoo.com/quote/SLTN","SLTN")</f>
        <v/>
      </c>
      <c r="B8056" t="inlineStr">
        <is>
          <t>SILVERTON ENERGY, INC.</t>
        </is>
      </c>
      <c r="C8056" t="inlineStr">
        <is>
          <t>OTC</t>
        </is>
      </c>
      <c r="D8056" t="n">
        <v>1508786</v>
      </c>
      <c r="E8056" t="inlineStr">
        <is>
          <t>SEC</t>
        </is>
      </c>
    </row>
    <row r="8057">
      <c r="A8057" s="5">
        <f>HYPERLINK("https://finance.yahoo.com/quote/SWISF","SWISF")</f>
        <v/>
      </c>
      <c r="B8057" t="inlineStr">
        <is>
          <t>Sekur Private Data Ltd.</t>
        </is>
      </c>
      <c r="C8057" t="inlineStr">
        <is>
          <t>OTC</t>
        </is>
      </c>
      <c r="D8057" t="n">
        <v>1771755</v>
      </c>
      <c r="E8057" t="inlineStr">
        <is>
          <t>SEC</t>
        </is>
      </c>
    </row>
    <row r="8058">
      <c r="A8058" s="5">
        <f>HYPERLINK("https://finance.yahoo.com/quote/DTGI","DTGI")</f>
        <v/>
      </c>
      <c r="B8058" t="inlineStr">
        <is>
          <t>Digerati Technologies, Inc.</t>
        </is>
      </c>
      <c r="C8058" t="inlineStr">
        <is>
          <t>OTC</t>
        </is>
      </c>
      <c r="D8058" t="n">
        <v>1014052</v>
      </c>
      <c r="E8058" t="inlineStr">
        <is>
          <t>SEC</t>
        </is>
      </c>
    </row>
    <row r="8059">
      <c r="A8059" s="5">
        <f>HYPERLINK("https://finance.yahoo.com/quote/XONI","XONI")</f>
        <v/>
      </c>
      <c r="B8059" t="inlineStr">
        <is>
          <t>Xtreme One Entertainment, Inc.</t>
        </is>
      </c>
      <c r="C8059" t="inlineStr">
        <is>
          <t>OTC</t>
        </is>
      </c>
      <c r="D8059" t="n">
        <v>2040753</v>
      </c>
      <c r="E8059" t="inlineStr">
        <is>
          <t>SEC</t>
        </is>
      </c>
    </row>
    <row r="8060">
      <c r="A8060" s="5">
        <f>HYPERLINK("https://finance.yahoo.com/quote/HMMR","HMMR")</f>
        <v/>
      </c>
      <c r="B8060" t="inlineStr">
        <is>
          <t>HAMMER TECHNOLOGY HOLDINGS CORP.</t>
        </is>
      </c>
      <c r="C8060" t="inlineStr">
        <is>
          <t>OTC</t>
        </is>
      </c>
      <c r="D8060" t="n">
        <v>1539680</v>
      </c>
      <c r="E8060" t="inlineStr">
        <is>
          <t>SEC</t>
        </is>
      </c>
    </row>
    <row r="8061">
      <c r="A8061" s="5">
        <f>HYPERLINK("https://finance.yahoo.com/quote/BBBXF","BBBXF")</f>
        <v/>
      </c>
      <c r="B8061" t="inlineStr">
        <is>
          <t>Brixton Metals Corp</t>
        </is>
      </c>
      <c r="C8061" t="inlineStr">
        <is>
          <t>OTC</t>
        </is>
      </c>
      <c r="D8061" t="n">
        <v>1548958</v>
      </c>
      <c r="E8061" t="inlineStr">
        <is>
          <t>SEC</t>
        </is>
      </c>
    </row>
    <row r="8062">
      <c r="A8062" s="5">
        <f>HYPERLINK("https://finance.yahoo.com/quote/BASA","BASA")</f>
        <v/>
      </c>
      <c r="B8062" t="inlineStr">
        <is>
          <t>BASANITE, INC.</t>
        </is>
      </c>
      <c r="C8062" t="inlineStr">
        <is>
          <t>OTC</t>
        </is>
      </c>
      <c r="D8062" t="n">
        <v>1448705</v>
      </c>
      <c r="E8062" t="inlineStr">
        <is>
          <t>SEC</t>
        </is>
      </c>
    </row>
    <row r="8063">
      <c r="A8063" s="5">
        <f>HYPERLINK("https://finance.yahoo.com/quote/FGCO","FGCO")</f>
        <v/>
      </c>
      <c r="B8063" t="inlineStr">
        <is>
          <t>Financial Gravity Companies, Inc.</t>
        </is>
      </c>
      <c r="C8063" t="inlineStr">
        <is>
          <t>OTC</t>
        </is>
      </c>
      <c r="D8063" t="n">
        <v>1377167</v>
      </c>
      <c r="E8063" t="inlineStr">
        <is>
          <t>SEC</t>
        </is>
      </c>
    </row>
    <row r="8064">
      <c r="A8064" s="5">
        <f>HYPERLINK("https://finance.yahoo.com/quote/SUIC","SUIC")</f>
        <v/>
      </c>
      <c r="B8064" t="inlineStr">
        <is>
          <t>SUIC Worldwide Holdings Ltd.</t>
        </is>
      </c>
      <c r="C8064" t="inlineStr">
        <is>
          <t>OTC</t>
        </is>
      </c>
      <c r="D8064" t="n">
        <v>1394108</v>
      </c>
      <c r="E8064" t="inlineStr">
        <is>
          <t>SEC</t>
        </is>
      </c>
    </row>
    <row r="8065">
      <c r="A8065" s="5">
        <f>HYPERLINK("https://finance.yahoo.com/quote/NXMH","NXMH")</f>
        <v/>
      </c>
      <c r="B8065" t="inlineStr">
        <is>
          <t>Next Meats Holdings, Inc.</t>
        </is>
      </c>
      <c r="C8065" t="inlineStr">
        <is>
          <t>OTC</t>
        </is>
      </c>
      <c r="D8065" t="n">
        <v>1811530</v>
      </c>
      <c r="E8065" t="inlineStr">
        <is>
          <t>SEC</t>
        </is>
      </c>
    </row>
    <row r="8066">
      <c r="A8066" s="5">
        <f>HYPERLINK("https://finance.yahoo.com/quote/RSCF","RSCF")</f>
        <v/>
      </c>
      <c r="B8066" t="inlineStr">
        <is>
          <t>REFLECT SCIENTIFIC, INC.</t>
        </is>
      </c>
      <c r="C8066" t="inlineStr">
        <is>
          <t>OTC</t>
        </is>
      </c>
      <c r="D8066" t="n">
        <v>1103090</v>
      </c>
      <c r="E8066" t="inlineStr">
        <is>
          <t>SEC</t>
        </is>
      </c>
    </row>
    <row r="8067">
      <c r="A8067" s="5">
        <f>HYPERLINK("https://finance.yahoo.com/quote/EGTYF","EGTYF")</f>
        <v/>
      </c>
      <c r="B8067" t="inlineStr">
        <is>
          <t>Eguana Technologies Inc.</t>
        </is>
      </c>
      <c r="C8067" t="inlineStr">
        <is>
          <t>OTC</t>
        </is>
      </c>
      <c r="D8067" t="n">
        <v>1629632</v>
      </c>
      <c r="E8067" t="inlineStr">
        <is>
          <t>SEC</t>
        </is>
      </c>
    </row>
    <row r="8068">
      <c r="A8068" s="5">
        <f>HYPERLINK("https://finance.yahoo.com/quote/EGLXF","EGLXF")</f>
        <v/>
      </c>
      <c r="B8068" t="inlineStr">
        <is>
          <t>Enthusiast Gaming Holdings Inc. / Canada</t>
        </is>
      </c>
      <c r="C8068" t="inlineStr">
        <is>
          <t>OTC</t>
        </is>
      </c>
      <c r="D8068" t="n">
        <v>1854233</v>
      </c>
      <c r="E8068" t="inlineStr">
        <is>
          <t>SEC</t>
        </is>
      </c>
    </row>
    <row r="8069">
      <c r="A8069" s="5">
        <f>HYPERLINK("https://finance.yahoo.com/quote/VMNT","VMNT")</f>
        <v/>
      </c>
      <c r="B8069" t="inlineStr">
        <is>
          <t>Vemanti Group, Inc.</t>
        </is>
      </c>
      <c r="C8069" t="inlineStr">
        <is>
          <t>OTC</t>
        </is>
      </c>
      <c r="D8069" t="n">
        <v>1605057</v>
      </c>
      <c r="E8069" t="inlineStr">
        <is>
          <t>SEC</t>
        </is>
      </c>
    </row>
    <row r="8070">
      <c r="A8070" s="5">
        <f>HYPERLINK("https://finance.yahoo.com/quote/TGCB","TGCB")</f>
        <v/>
      </c>
      <c r="B8070" t="inlineStr">
        <is>
          <t>Tego Cyber, Inc.</t>
        </is>
      </c>
      <c r="C8070" t="inlineStr">
        <is>
          <t>OTC</t>
        </is>
      </c>
      <c r="D8070" t="n">
        <v>1815632</v>
      </c>
      <c r="E8070" t="inlineStr">
        <is>
          <t>SEC</t>
        </is>
      </c>
    </row>
    <row r="8071">
      <c r="A8071" s="5">
        <f>HYPERLINK("https://finance.yahoo.com/quote/GLVT","GLVT")</f>
        <v/>
      </c>
      <c r="B8071" t="inlineStr">
        <is>
          <t>GREENLIT VENTURES INC.</t>
        </is>
      </c>
      <c r="C8071" t="inlineStr">
        <is>
          <t>OTC</t>
        </is>
      </c>
      <c r="D8071" t="n">
        <v>1693687</v>
      </c>
      <c r="E8071" t="inlineStr">
        <is>
          <t>SEC</t>
        </is>
      </c>
    </row>
    <row r="8072">
      <c r="A8072" s="5">
        <f>HYPERLINK("https://finance.yahoo.com/quote/MTTCF","MTTCF")</f>
        <v/>
      </c>
      <c r="B8072" t="inlineStr">
        <is>
          <t>Steakholder Foods Ltd.</t>
        </is>
      </c>
      <c r="C8072" t="inlineStr">
        <is>
          <t>OTC</t>
        </is>
      </c>
      <c r="D8072" t="n">
        <v>1828098</v>
      </c>
      <c r="E8072" t="inlineStr">
        <is>
          <t>SEC</t>
        </is>
      </c>
    </row>
    <row r="8073">
      <c r="A8073" s="5">
        <f>HYPERLINK("https://finance.yahoo.com/quote/NUVI","NUVI")</f>
        <v/>
      </c>
      <c r="B8073" t="inlineStr">
        <is>
          <t>Emo Capital Corp.</t>
        </is>
      </c>
      <c r="C8073" t="inlineStr">
        <is>
          <t>OTC</t>
        </is>
      </c>
      <c r="D8073" t="n">
        <v>1410708</v>
      </c>
      <c r="E8073" t="inlineStr">
        <is>
          <t>SEC</t>
        </is>
      </c>
    </row>
    <row r="8074">
      <c r="A8074" s="5">
        <f>HYPERLINK("https://finance.yahoo.com/quote/WDLF","WDLF")</f>
        <v/>
      </c>
      <c r="B8074" t="inlineStr">
        <is>
          <t>Decentral Life, Inc.</t>
        </is>
      </c>
      <c r="C8074" t="inlineStr">
        <is>
          <t>OTC</t>
        </is>
      </c>
      <c r="D8074" t="n">
        <v>1281984</v>
      </c>
      <c r="E8074" t="inlineStr">
        <is>
          <t>SEC</t>
        </is>
      </c>
    </row>
    <row r="8075">
      <c r="A8075" s="5">
        <f>HYPERLINK("https://finance.yahoo.com/quote/BWMG","BWMG")</f>
        <v/>
      </c>
      <c r="B8075" t="inlineStr">
        <is>
          <t>Brownie's Marine Group, Inc</t>
        </is>
      </c>
      <c r="C8075" t="inlineStr">
        <is>
          <t>OTC</t>
        </is>
      </c>
      <c r="D8075" t="n">
        <v>1166708</v>
      </c>
      <c r="E8075" t="inlineStr">
        <is>
          <t>SEC</t>
        </is>
      </c>
    </row>
    <row r="8076">
      <c r="A8076" s="5">
        <f>HYPERLINK("https://finance.yahoo.com/quote/ACRL","ACRL")</f>
        <v/>
      </c>
      <c r="B8076" t="inlineStr">
        <is>
          <t>Atacama Resources International, Inc.</t>
        </is>
      </c>
      <c r="C8076" t="inlineStr">
        <is>
          <t>OTC</t>
        </is>
      </c>
      <c r="D8076" t="n">
        <v>1584618</v>
      </c>
      <c r="E8076" t="inlineStr">
        <is>
          <t>SEC</t>
        </is>
      </c>
    </row>
    <row r="8077">
      <c r="A8077" s="5">
        <f>HYPERLINK("https://finance.yahoo.com/quote/RDAR","RDAR")</f>
        <v/>
      </c>
      <c r="B8077" t="inlineStr">
        <is>
          <t>Telvantis, Inc.</t>
        </is>
      </c>
      <c r="C8077" t="inlineStr">
        <is>
          <t>OTC</t>
        </is>
      </c>
      <c r="D8077" t="n">
        <v>1384365</v>
      </c>
      <c r="E8077" t="inlineStr">
        <is>
          <t>SEC</t>
        </is>
      </c>
    </row>
    <row r="8078">
      <c r="A8078" s="5">
        <f>HYPERLINK("https://finance.yahoo.com/quote/ECIA","ECIA")</f>
        <v/>
      </c>
      <c r="B8078" t="inlineStr">
        <is>
          <t>ENCISION INC</t>
        </is>
      </c>
      <c r="C8078" t="inlineStr">
        <is>
          <t>OTC</t>
        </is>
      </c>
      <c r="D8078" t="n">
        <v>930775</v>
      </c>
      <c r="E8078" t="inlineStr">
        <is>
          <t>SEC</t>
        </is>
      </c>
    </row>
    <row r="8079">
      <c r="A8079" s="5">
        <f>HYPERLINK("https://finance.yahoo.com/quote/UCASU","UCASU")</f>
        <v/>
      </c>
      <c r="B8079" t="inlineStr">
        <is>
          <t>UC Asset LP</t>
        </is>
      </c>
      <c r="C8079" t="inlineStr">
        <is>
          <t>OTC</t>
        </is>
      </c>
      <c r="D8079" t="n">
        <v>1723517</v>
      </c>
      <c r="E8079" t="inlineStr">
        <is>
          <t>SEC</t>
        </is>
      </c>
    </row>
    <row r="8080">
      <c r="A8080" s="5">
        <f>HYPERLINK("https://finance.yahoo.com/quote/CANN","CANN")</f>
        <v/>
      </c>
      <c r="B8080" t="inlineStr">
        <is>
          <t>TREES Corp (Colorado)</t>
        </is>
      </c>
      <c r="C8080" t="inlineStr">
        <is>
          <t>OTC</t>
        </is>
      </c>
      <c r="D8080" t="n">
        <v>1477009</v>
      </c>
      <c r="E8080" t="inlineStr">
        <is>
          <t>SEC</t>
        </is>
      </c>
    </row>
    <row r="8081">
      <c r="A8081" s="5">
        <f>HYPERLINK("https://finance.yahoo.com/quote/CETXP","CETXP")</f>
        <v/>
      </c>
      <c r="B8081" t="inlineStr">
        <is>
          <t>CEMTREX INC</t>
        </is>
      </c>
      <c r="C8081" t="inlineStr">
        <is>
          <t>OTC</t>
        </is>
      </c>
      <c r="D8081" t="n">
        <v>1435064</v>
      </c>
      <c r="E8081" t="inlineStr">
        <is>
          <t>SEC</t>
        </is>
      </c>
    </row>
    <row r="8082">
      <c r="A8082" s="5">
        <f>HYPERLINK("https://finance.yahoo.com/quote/GPLL","GPLL")</f>
        <v/>
      </c>
      <c r="B8082" t="inlineStr">
        <is>
          <t>GPL Holdings, Inc.</t>
        </is>
      </c>
      <c r="C8082" t="inlineStr">
        <is>
          <t>OTC</t>
        </is>
      </c>
      <c r="D8082" t="n">
        <v>1883083</v>
      </c>
      <c r="E8082" t="inlineStr">
        <is>
          <t>SEC</t>
        </is>
      </c>
    </row>
    <row r="8083">
      <c r="A8083" s="5">
        <f>HYPERLINK("https://finance.yahoo.com/quote/IWAL","IWAL")</f>
        <v/>
      </c>
      <c r="B8083" t="inlineStr">
        <is>
          <t>iWallet Corp</t>
        </is>
      </c>
      <c r="C8083" t="inlineStr">
        <is>
          <t>OTC</t>
        </is>
      </c>
      <c r="D8083" t="n">
        <v>1498372</v>
      </c>
      <c r="E8083" t="inlineStr">
        <is>
          <t>SEC</t>
        </is>
      </c>
    </row>
    <row r="8084">
      <c r="A8084" s="5">
        <f>HYPERLINK("https://finance.yahoo.com/quote/TPHS","TPHS")</f>
        <v/>
      </c>
      <c r="B8084" t="inlineStr">
        <is>
          <t>Trinity Place Holdings Inc.</t>
        </is>
      </c>
      <c r="C8084" t="inlineStr">
        <is>
          <t>OTC</t>
        </is>
      </c>
      <c r="D8084" t="n">
        <v>724742</v>
      </c>
      <c r="E8084" t="inlineStr">
        <is>
          <t>SEC</t>
        </is>
      </c>
    </row>
    <row r="8085">
      <c r="A8085" s="5">
        <f>HYPERLINK("https://finance.yahoo.com/quote/JRSS","JRSS")</f>
        <v/>
      </c>
      <c r="B8085" t="inlineStr">
        <is>
          <t>JRSIS HEALTH CARE Corp</t>
        </is>
      </c>
      <c r="C8085" t="inlineStr">
        <is>
          <t>OTC</t>
        </is>
      </c>
      <c r="D8085" t="n">
        <v>1597892</v>
      </c>
      <c r="E8085" t="inlineStr">
        <is>
          <t>SEC</t>
        </is>
      </c>
    </row>
    <row r="8086">
      <c r="A8086" s="5">
        <f>HYPERLINK("https://finance.yahoo.com/quote/VCNX","VCNX")</f>
        <v/>
      </c>
      <c r="B8086" t="inlineStr">
        <is>
          <t>VACCINEX, INC.</t>
        </is>
      </c>
      <c r="C8086" t="inlineStr">
        <is>
          <t>OTC</t>
        </is>
      </c>
      <c r="D8086" t="n">
        <v>1205922</v>
      </c>
      <c r="E8086" t="inlineStr">
        <is>
          <t>SEC</t>
        </is>
      </c>
    </row>
    <row r="8087">
      <c r="A8087" s="5">
        <f>HYPERLINK("https://finance.yahoo.com/quote/MEXGF","MEXGF")</f>
        <v/>
      </c>
      <c r="B8087" t="inlineStr">
        <is>
          <t>Platauro Metals Corp.</t>
        </is>
      </c>
      <c r="C8087" t="inlineStr">
        <is>
          <t>OTC</t>
        </is>
      </c>
      <c r="D8087" t="n">
        <v>1609436</v>
      </c>
      <c r="E8087" t="inlineStr">
        <is>
          <t>SEC</t>
        </is>
      </c>
    </row>
    <row r="8088">
      <c r="A8088" s="5">
        <f>HYPERLINK("https://finance.yahoo.com/quote/MYCB","MYCB")</f>
        <v/>
      </c>
      <c r="B8088" t="inlineStr">
        <is>
          <t>My City Builders, Inc.</t>
        </is>
      </c>
      <c r="C8088" t="inlineStr">
        <is>
          <t>OTC</t>
        </is>
      </c>
      <c r="D8088" t="n">
        <v>1556801</v>
      </c>
      <c r="E8088" t="inlineStr">
        <is>
          <t>SEC</t>
        </is>
      </c>
    </row>
    <row r="8089">
      <c r="A8089" s="5">
        <f>HYPERLINK("https://finance.yahoo.com/quote/SSHT","SSHT")</f>
        <v/>
      </c>
      <c r="B8089" t="inlineStr">
        <is>
          <t>SSHT S&amp;T Group Ltd.</t>
        </is>
      </c>
      <c r="C8089" t="inlineStr">
        <is>
          <t>OTC</t>
        </is>
      </c>
      <c r="D8089" t="n">
        <v>1975222</v>
      </c>
      <c r="E8089" t="inlineStr">
        <is>
          <t>SEC</t>
        </is>
      </c>
    </row>
    <row r="8090">
      <c r="A8090" s="5">
        <f>HYPERLINK("https://finance.yahoo.com/quote/KNOS","KNOS")</f>
        <v/>
      </c>
      <c r="B8090" t="inlineStr">
        <is>
          <t>KRONOS ADVANCED TECHNOLOGIES INC</t>
        </is>
      </c>
      <c r="C8090" t="inlineStr">
        <is>
          <t>OTC</t>
        </is>
      </c>
      <c r="D8090" t="n">
        <v>1108248</v>
      </c>
      <c r="E8090" t="inlineStr">
        <is>
          <t>SEC</t>
        </is>
      </c>
    </row>
    <row r="8091">
      <c r="A8091" s="5">
        <f>HYPERLINK("https://finance.yahoo.com/quote/GOGR","GOGR")</f>
        <v/>
      </c>
      <c r="B8091" t="inlineStr">
        <is>
          <t>Go Green Global Technologies Corp.</t>
        </is>
      </c>
      <c r="C8091" t="inlineStr">
        <is>
          <t>OTC</t>
        </is>
      </c>
      <c r="D8091" t="n">
        <v>1378866</v>
      </c>
      <c r="E8091" t="inlineStr">
        <is>
          <t>SEC</t>
        </is>
      </c>
    </row>
    <row r="8092">
      <c r="A8092" s="5">
        <f>HYPERLINK("https://finance.yahoo.com/quote/RNGC","RNGC")</f>
        <v/>
      </c>
      <c r="B8092" t="inlineStr">
        <is>
          <t>Ranger Gold Corp.</t>
        </is>
      </c>
      <c r="C8092" t="inlineStr">
        <is>
          <t>OTC</t>
        </is>
      </c>
      <c r="D8092" t="n">
        <v>1434740</v>
      </c>
      <c r="E8092" t="inlineStr">
        <is>
          <t>SEC</t>
        </is>
      </c>
    </row>
    <row r="8093">
      <c r="A8093" s="5">
        <f>HYPERLINK("https://finance.yahoo.com/quote/SYIN","SYIN")</f>
        <v/>
      </c>
      <c r="B8093" t="inlineStr">
        <is>
          <t>Synbio International, Inc.</t>
        </is>
      </c>
      <c r="C8093" t="inlineStr">
        <is>
          <t>OTC</t>
        </is>
      </c>
      <c r="D8093" t="n">
        <v>1292490</v>
      </c>
      <c r="E8093" t="inlineStr">
        <is>
          <t>SEC</t>
        </is>
      </c>
    </row>
    <row r="8094">
      <c r="A8094" s="5">
        <f>HYPERLINK("https://finance.yahoo.com/quote/TNBI","TNBI")</f>
        <v/>
      </c>
      <c r="B8094" t="inlineStr">
        <is>
          <t>Tanke Biosciences Corp</t>
        </is>
      </c>
      <c r="C8094" t="inlineStr">
        <is>
          <t>OTC</t>
        </is>
      </c>
      <c r="D8094" t="n">
        <v>1452011</v>
      </c>
      <c r="E8094" t="inlineStr">
        <is>
          <t>SEC</t>
        </is>
      </c>
    </row>
    <row r="8095">
      <c r="A8095" s="5">
        <f>HYPERLINK("https://finance.yahoo.com/quote/JFTH","JFTH")</f>
        <v/>
      </c>
      <c r="B8095" t="inlineStr">
        <is>
          <t>Japan Food Tech Holdings, Inc.</t>
        </is>
      </c>
      <c r="C8095" t="inlineStr">
        <is>
          <t>OTC</t>
        </is>
      </c>
      <c r="D8095" t="n">
        <v>1857910</v>
      </c>
      <c r="E8095" t="inlineStr">
        <is>
          <t>SEC</t>
        </is>
      </c>
    </row>
    <row r="8096">
      <c r="A8096" s="5">
        <f>HYPERLINK("https://finance.yahoo.com/quote/SRMX","SRMX")</f>
        <v/>
      </c>
      <c r="B8096" t="inlineStr">
        <is>
          <t>SADDLE RANCH MEDIA, INC.</t>
        </is>
      </c>
      <c r="C8096" t="inlineStr">
        <is>
          <t>OTC</t>
        </is>
      </c>
      <c r="D8096" t="n">
        <v>841533</v>
      </c>
      <c r="E8096" t="inlineStr">
        <is>
          <t>SEC</t>
        </is>
      </c>
    </row>
    <row r="8097">
      <c r="A8097" s="5">
        <f>HYPERLINK("https://finance.yahoo.com/quote/WHLRP","WHLRP")</f>
        <v/>
      </c>
      <c r="B8097" t="inlineStr">
        <is>
          <t>Wheeler Real Estate Investment Trust, Inc.</t>
        </is>
      </c>
      <c r="C8097" t="inlineStr">
        <is>
          <t>Nasdaq</t>
        </is>
      </c>
      <c r="D8097" t="n">
        <v>1527541</v>
      </c>
      <c r="E8097" t="inlineStr">
        <is>
          <t>SEC</t>
        </is>
      </c>
    </row>
    <row r="8098">
      <c r="A8098" s="5">
        <f>HYPERLINK("https://finance.yahoo.com/quote/BKTH","BKTH")</f>
        <v/>
      </c>
      <c r="B8098" t="inlineStr">
        <is>
          <t>MEGOLA INC</t>
        </is>
      </c>
      <c r="C8098" t="inlineStr">
        <is>
          <t>OTC</t>
        </is>
      </c>
      <c r="D8098" t="n">
        <v>1144392</v>
      </c>
      <c r="E8098" t="inlineStr">
        <is>
          <t>SEC</t>
        </is>
      </c>
    </row>
    <row r="8099">
      <c r="A8099" s="5">
        <f>HYPERLINK("https://finance.yahoo.com/quote/AHRO","AHRO")</f>
        <v/>
      </c>
      <c r="B8099" t="inlineStr">
        <is>
          <t>Authentic Holdings, Inc.</t>
        </is>
      </c>
      <c r="C8099" t="inlineStr">
        <is>
          <t>OTC</t>
        </is>
      </c>
      <c r="D8099" t="n">
        <v>1338929</v>
      </c>
      <c r="E8099" t="inlineStr">
        <is>
          <t>SEC</t>
        </is>
      </c>
    </row>
    <row r="8100">
      <c r="A8100" s="5">
        <f>HYPERLINK("https://finance.yahoo.com/quote/SFWJ","SFWJ")</f>
        <v/>
      </c>
      <c r="B8100" t="inlineStr">
        <is>
          <t>Software Effective Solutions, Corp.</t>
        </is>
      </c>
      <c r="C8100" t="inlineStr">
        <is>
          <t>OTC</t>
        </is>
      </c>
      <c r="D8100" t="n">
        <v>1919847</v>
      </c>
      <c r="E8100" t="inlineStr">
        <is>
          <t>SEC</t>
        </is>
      </c>
    </row>
    <row r="8101">
      <c r="A8101" s="5">
        <f>HYPERLINK("https://finance.yahoo.com/quote/BRLL","BRLL")</f>
        <v/>
      </c>
      <c r="B8101" t="inlineStr">
        <is>
          <t>Barrel Energy Inc.</t>
        </is>
      </c>
      <c r="C8101" t="inlineStr">
        <is>
          <t>OTC</t>
        </is>
      </c>
      <c r="D8101" t="n">
        <v>1631463</v>
      </c>
      <c r="E8101" t="inlineStr">
        <is>
          <t>SEC</t>
        </is>
      </c>
    </row>
    <row r="8102">
      <c r="A8102" s="5">
        <f>HYPERLINK("https://finance.yahoo.com/quote/MGHL","MGHL")</f>
        <v/>
      </c>
      <c r="B8102" t="inlineStr">
        <is>
          <t>MORGAN GROUP HOLDING CO</t>
        </is>
      </c>
      <c r="C8102" t="inlineStr">
        <is>
          <t>OTC</t>
        </is>
      </c>
      <c r="D8102" t="n">
        <v>1162283</v>
      </c>
      <c r="E8102" t="inlineStr">
        <is>
          <t>SEC</t>
        </is>
      </c>
    </row>
    <row r="8103">
      <c r="A8103" s="5">
        <f>HYPERLINK("https://finance.yahoo.com/quote/GSAC","GSAC")</f>
        <v/>
      </c>
      <c r="B8103" t="inlineStr">
        <is>
          <t>GELSTAT CORP</t>
        </is>
      </c>
      <c r="C8103" t="inlineStr">
        <is>
          <t>OTC</t>
        </is>
      </c>
      <c r="D8103" t="n">
        <v>890725</v>
      </c>
      <c r="E8103" t="inlineStr">
        <is>
          <t>SEC</t>
        </is>
      </c>
    </row>
    <row r="8104">
      <c r="A8104" s="5">
        <f>HYPERLINK("https://finance.yahoo.com/quote/MOBBW","MOBBW")</f>
        <v/>
      </c>
      <c r="B8104" t="inlineStr">
        <is>
          <t>Mobilicom Ltd</t>
        </is>
      </c>
      <c r="C8104" t="inlineStr">
        <is>
          <t>Nasdaq</t>
        </is>
      </c>
      <c r="D8104" t="n">
        <v>1898643</v>
      </c>
      <c r="E8104" t="inlineStr">
        <is>
          <t>SEC</t>
        </is>
      </c>
    </row>
    <row r="8105">
      <c r="A8105" s="5">
        <f>HYPERLINK("https://finance.yahoo.com/quote/AXIM","AXIM")</f>
        <v/>
      </c>
      <c r="B8105" t="inlineStr">
        <is>
          <t>AXIM BIOTECHNOLOGIES, INC.</t>
        </is>
      </c>
      <c r="C8105" t="inlineStr">
        <is>
          <t>OTC</t>
        </is>
      </c>
      <c r="D8105" t="n">
        <v>1514946</v>
      </c>
      <c r="E8105" t="inlineStr">
        <is>
          <t>SEC</t>
        </is>
      </c>
    </row>
    <row r="8106">
      <c r="A8106" s="5">
        <f>HYPERLINK("https://finance.yahoo.com/quote/MNZO","MNZO")</f>
        <v/>
      </c>
      <c r="B8106" t="inlineStr">
        <is>
          <t>Exxsun Corp</t>
        </is>
      </c>
      <c r="C8106" t="inlineStr">
        <is>
          <t>OTC</t>
        </is>
      </c>
      <c r="D8106" t="n">
        <v>1119949</v>
      </c>
      <c r="E8106" t="inlineStr">
        <is>
          <t>SEC</t>
        </is>
      </c>
    </row>
    <row r="8107">
      <c r="A8107" s="5">
        <f>HYPERLINK("https://finance.yahoo.com/quote/PCYN","PCYN")</f>
        <v/>
      </c>
      <c r="B8107" t="inlineStr">
        <is>
          <t>PROCYON CORP</t>
        </is>
      </c>
      <c r="C8107" t="inlineStr">
        <is>
          <t>OTC</t>
        </is>
      </c>
      <c r="D8107" t="n">
        <v>812306</v>
      </c>
      <c r="E8107" t="inlineStr">
        <is>
          <t>SEC</t>
        </is>
      </c>
    </row>
    <row r="8108">
      <c r="A8108" s="5">
        <f>HYPERLINK("https://finance.yahoo.com/quote/NWPG","NWPG")</f>
        <v/>
      </c>
      <c r="B8108" t="inlineStr">
        <is>
          <t>Newport Gold, Inc.</t>
        </is>
      </c>
      <c r="C8108" t="inlineStr">
        <is>
          <t>OTC</t>
        </is>
      </c>
      <c r="D8108" t="n">
        <v>1289223</v>
      </c>
      <c r="E8108" t="inlineStr">
        <is>
          <t>SEC</t>
        </is>
      </c>
    </row>
    <row r="8109">
      <c r="A8109" s="5">
        <f>HYPERLINK("https://finance.yahoo.com/quote/CPWR","CPWR")</f>
        <v/>
      </c>
      <c r="B8109" t="inlineStr">
        <is>
          <t>Ocean Thermal Energy Corp</t>
        </is>
      </c>
      <c r="C8109" t="inlineStr">
        <is>
          <t>OTC</t>
        </is>
      </c>
      <c r="D8109" t="n">
        <v>827099</v>
      </c>
      <c r="E8109" t="inlineStr">
        <is>
          <t>SEC</t>
        </is>
      </c>
    </row>
    <row r="8110">
      <c r="A8110" s="5">
        <f>HYPERLINK("https://finance.yahoo.com/quote/NGCG","NGCG")</f>
        <v/>
      </c>
      <c r="B8110" t="inlineStr">
        <is>
          <t>New Generation Consumer Group, Inc.</t>
        </is>
      </c>
      <c r="C8110" t="inlineStr">
        <is>
          <t>OTC</t>
        </is>
      </c>
      <c r="D8110" t="n">
        <v>1061040</v>
      </c>
      <c r="E8110" t="inlineStr">
        <is>
          <t>SEC</t>
        </is>
      </c>
    </row>
    <row r="8111">
      <c r="A8111" s="5">
        <f>HYPERLINK("https://finance.yahoo.com/quote/PLSH","PLSH")</f>
        <v/>
      </c>
      <c r="B8111" t="inlineStr">
        <is>
          <t>PANACEA LIFE SCIENCES HOLDINGS, INC.</t>
        </is>
      </c>
      <c r="C8111" t="inlineStr">
        <is>
          <t>OTC</t>
        </is>
      </c>
      <c r="D8111" t="n">
        <v>1552189</v>
      </c>
      <c r="E8111" t="inlineStr">
        <is>
          <t>SEC</t>
        </is>
      </c>
    </row>
    <row r="8112">
      <c r="A8112" s="5">
        <f>HYPERLINK("https://finance.yahoo.com/quote/EBZT","EBZT")</f>
        <v/>
      </c>
      <c r="B8112" t="inlineStr">
        <is>
          <t>Everything Blockchain, Inc.</t>
        </is>
      </c>
      <c r="C8112" t="inlineStr">
        <is>
          <t>OTC</t>
        </is>
      </c>
      <c r="D8112" t="n">
        <v>1730869</v>
      </c>
      <c r="E8112" t="inlineStr">
        <is>
          <t>SEC</t>
        </is>
      </c>
    </row>
    <row r="8113">
      <c r="A8113" s="5">
        <f>HYPERLINK("https://finance.yahoo.com/quote/PAIYY","PAIYY")</f>
        <v/>
      </c>
      <c r="B8113" t="inlineStr">
        <is>
          <t>Aesthetic Medical International Holdings Group Ltd</t>
        </is>
      </c>
      <c r="C8113" t="inlineStr">
        <is>
          <t>OTC</t>
        </is>
      </c>
      <c r="D8113" t="n">
        <v>1757143</v>
      </c>
      <c r="E8113" t="inlineStr">
        <is>
          <t>SEC</t>
        </is>
      </c>
    </row>
    <row r="8114">
      <c r="A8114" s="5">
        <f>HYPERLINK("https://finance.yahoo.com/quote/FVTI","FVTI")</f>
        <v/>
      </c>
      <c r="B8114" t="inlineStr">
        <is>
          <t>Fortune Valley Treasures, Inc.</t>
        </is>
      </c>
      <c r="C8114" t="inlineStr">
        <is>
          <t>OTC</t>
        </is>
      </c>
      <c r="D8114" t="n">
        <v>1626745</v>
      </c>
      <c r="E8114" t="inlineStr">
        <is>
          <t>SEC</t>
        </is>
      </c>
    </row>
    <row r="8115">
      <c r="A8115" s="5">
        <f>HYPERLINK("https://finance.yahoo.com/quote/AKOM","AKOM")</f>
        <v/>
      </c>
      <c r="B8115" t="inlineStr">
        <is>
          <t>Aerkomm Inc.</t>
        </is>
      </c>
      <c r="C8115" t="inlineStr">
        <is>
          <t>OTC</t>
        </is>
      </c>
      <c r="D8115" t="n">
        <v>1590496</v>
      </c>
      <c r="E8115" t="inlineStr">
        <is>
          <t>SEC</t>
        </is>
      </c>
    </row>
    <row r="8116">
      <c r="A8116" s="5">
        <f>HYPERLINK("https://finance.yahoo.com/quote/GMZP","GMZP")</f>
        <v/>
      </c>
      <c r="B8116" t="inlineStr">
        <is>
          <t>GEMZ Corp. NV</t>
        </is>
      </c>
      <c r="C8116" t="inlineStr">
        <is>
          <t>OTC</t>
        </is>
      </c>
      <c r="D8116" t="n">
        <v>1973160</v>
      </c>
      <c r="E8116" t="inlineStr">
        <is>
          <t>SEC</t>
        </is>
      </c>
    </row>
    <row r="8117">
      <c r="A8117" s="5">
        <f>HYPERLINK("https://finance.yahoo.com/quote/HBUV","HBUV")</f>
        <v/>
      </c>
      <c r="B8117" t="inlineStr">
        <is>
          <t>Hubilu Venture Corp</t>
        </is>
      </c>
      <c r="C8117" t="inlineStr">
        <is>
          <t>OTC</t>
        </is>
      </c>
      <c r="D8117" t="n">
        <v>1639068</v>
      </c>
      <c r="E8117" t="inlineStr">
        <is>
          <t>SEC</t>
        </is>
      </c>
    </row>
    <row r="8118">
      <c r="A8118" s="5">
        <f>HYPERLINK("https://finance.yahoo.com/quote/KITL","KITL")</f>
        <v/>
      </c>
      <c r="B8118" t="inlineStr">
        <is>
          <t>Kisses From Italy Inc.</t>
        </is>
      </c>
      <c r="C8118" t="inlineStr">
        <is>
          <t>OTC</t>
        </is>
      </c>
      <c r="D8118" t="n">
        <v>1608092</v>
      </c>
      <c r="E8118" t="inlineStr">
        <is>
          <t>SEC</t>
        </is>
      </c>
    </row>
    <row r="8119">
      <c r="A8119" s="5">
        <f>HYPERLINK("https://finance.yahoo.com/quote/GSFI","GSFI")</f>
        <v/>
      </c>
      <c r="B8119" t="inlineStr">
        <is>
          <t>Green Stream Holdings Inc.</t>
        </is>
      </c>
      <c r="C8119" t="inlineStr">
        <is>
          <t>OTC</t>
        </is>
      </c>
      <c r="D8119" t="n">
        <v>1437476</v>
      </c>
      <c r="E8119" t="inlineStr">
        <is>
          <t>SEC</t>
        </is>
      </c>
    </row>
    <row r="8120">
      <c r="A8120" s="5">
        <f>HYPERLINK("https://finance.yahoo.com/quote/DREM","DREM")</f>
        <v/>
      </c>
      <c r="B8120" t="inlineStr">
        <is>
          <t>Dream Homes &amp; Development Corp.</t>
        </is>
      </c>
      <c r="C8120" t="inlineStr">
        <is>
          <t>OTC</t>
        </is>
      </c>
      <c r="D8120" t="n">
        <v>1518336</v>
      </c>
      <c r="E8120" t="inlineStr">
        <is>
          <t>SEC</t>
        </is>
      </c>
    </row>
    <row r="8121">
      <c r="A8121" s="5">
        <f>HYPERLINK("https://finance.yahoo.com/quote/CDSG","CDSG")</f>
        <v/>
      </c>
      <c r="B8121" t="inlineStr">
        <is>
          <t>China Dongsheng International, Inc.</t>
        </is>
      </c>
      <c r="C8121" t="inlineStr">
        <is>
          <t>OTC</t>
        </is>
      </c>
      <c r="D8121" t="n">
        <v>946112</v>
      </c>
      <c r="E8121" t="inlineStr">
        <is>
          <t>SEC</t>
        </is>
      </c>
    </row>
    <row r="8122">
      <c r="A8122" s="5">
        <f>HYPERLINK("https://finance.yahoo.com/quote/NTRR","NTRR")</f>
        <v/>
      </c>
      <c r="B8122" t="inlineStr">
        <is>
          <t>NEUTRA CORP.</t>
        </is>
      </c>
      <c r="C8122" t="inlineStr">
        <is>
          <t>OTC</t>
        </is>
      </c>
      <c r="D8122" t="n">
        <v>1512886</v>
      </c>
      <c r="E8122" t="inlineStr">
        <is>
          <t>SEC</t>
        </is>
      </c>
    </row>
    <row r="8123">
      <c r="A8123" s="5">
        <f>HYPERLINK("https://finance.yahoo.com/quote/MDEX","MDEX")</f>
        <v/>
      </c>
      <c r="B8123" t="inlineStr">
        <is>
          <t>Madison Technologies Inc.</t>
        </is>
      </c>
      <c r="C8123" t="inlineStr">
        <is>
          <t>OTC</t>
        </is>
      </c>
      <c r="D8123" t="n">
        <v>1318268</v>
      </c>
      <c r="E8123" t="inlineStr">
        <is>
          <t>SEC</t>
        </is>
      </c>
    </row>
    <row r="8124">
      <c r="A8124" s="5">
        <f>HYPERLINK("https://finance.yahoo.com/quote/ADMG","ADMG")</f>
        <v/>
      </c>
      <c r="B8124" t="inlineStr">
        <is>
          <t>ADAMANT DRI PROCESSING &amp; MINERALS GROUP</t>
        </is>
      </c>
      <c r="C8124" t="inlineStr">
        <is>
          <t>OTC</t>
        </is>
      </c>
      <c r="D8124" t="n">
        <v>1171008</v>
      </c>
      <c r="E8124" t="inlineStr">
        <is>
          <t>SEC</t>
        </is>
      </c>
    </row>
    <row r="8125">
      <c r="A8125" s="5">
        <f>HYPERLINK("https://finance.yahoo.com/quote/SNBRQ","SNBRQ")</f>
        <v/>
      </c>
      <c r="B8125" t="inlineStr">
        <is>
          <t>Sleep Number Corp</t>
        </is>
      </c>
      <c r="C8125" t="inlineStr">
        <is>
          <t>OTC</t>
        </is>
      </c>
      <c r="D8125" t="n">
        <v>827187</v>
      </c>
      <c r="E8125" t="inlineStr">
        <is>
          <t>SEC</t>
        </is>
      </c>
    </row>
    <row r="8126">
      <c r="A8126" s="5">
        <f>HYPERLINK("https://finance.yahoo.com/quote/LRHC","LRHC")</f>
        <v/>
      </c>
      <c r="B8126" t="inlineStr">
        <is>
          <t>La Rosa Holdings Corp.</t>
        </is>
      </c>
      <c r="C8126" t="inlineStr">
        <is>
          <t>Nasdaq</t>
        </is>
      </c>
      <c r="D8126" t="n">
        <v>1879403</v>
      </c>
      <c r="E8126" t="inlineStr">
        <is>
          <t>SEC</t>
        </is>
      </c>
    </row>
    <row r="8127">
      <c r="A8127" s="5">
        <f>HYPERLINK("https://finance.yahoo.com/quote/BLPG","BLPG")</f>
        <v/>
      </c>
      <c r="B8127" t="inlineStr">
        <is>
          <t>Blue Line Protection Group, Inc.</t>
        </is>
      </c>
      <c r="C8127" t="inlineStr">
        <is>
          <t>OTC</t>
        </is>
      </c>
      <c r="D8127" t="n">
        <v>1416697</v>
      </c>
      <c r="E8127" t="inlineStr">
        <is>
          <t>SEC</t>
        </is>
      </c>
    </row>
    <row r="8128">
      <c r="A8128" s="5">
        <f>HYPERLINK("https://finance.yahoo.com/quote/KACLF","KACLF")</f>
        <v/>
      </c>
      <c r="B8128" t="inlineStr">
        <is>
          <t>Kairous Acquisition Corp. Ltd</t>
        </is>
      </c>
      <c r="C8128" t="inlineStr">
        <is>
          <t>OTC</t>
        </is>
      </c>
      <c r="D8128" t="n">
        <v>1865468</v>
      </c>
      <c r="E8128" t="inlineStr">
        <is>
          <t>SEC</t>
        </is>
      </c>
    </row>
    <row r="8129">
      <c r="A8129" s="5">
        <f>HYPERLINK("https://finance.yahoo.com/quote/EHVVF","EHVVF")</f>
        <v/>
      </c>
      <c r="B8129" t="inlineStr">
        <is>
          <t>Ehave, Inc.</t>
        </is>
      </c>
      <c r="C8129" t="inlineStr">
        <is>
          <t>OTC</t>
        </is>
      </c>
      <c r="D8129" t="n">
        <v>1653606</v>
      </c>
      <c r="E8129" t="inlineStr">
        <is>
          <t>SEC</t>
        </is>
      </c>
    </row>
    <row r="8130">
      <c r="A8130" s="5">
        <f>HYPERLINK("https://finance.yahoo.com/quote/ASII","ASII")</f>
        <v/>
      </c>
      <c r="B8130" t="inlineStr">
        <is>
          <t>Accredited Solutions, Inc.</t>
        </is>
      </c>
      <c r="C8130" t="inlineStr">
        <is>
          <t>OTC</t>
        </is>
      </c>
      <c r="D8130" t="n">
        <v>1464865</v>
      </c>
      <c r="E8130" t="inlineStr">
        <is>
          <t>SEC</t>
        </is>
      </c>
    </row>
    <row r="8131">
      <c r="A8131" s="5">
        <f>HYPERLINK("https://finance.yahoo.com/quote/RTON","RTON")</f>
        <v/>
      </c>
      <c r="B8131" t="inlineStr">
        <is>
          <t>Right On Brands, Inc.</t>
        </is>
      </c>
      <c r="C8131" t="inlineStr">
        <is>
          <t>OTC</t>
        </is>
      </c>
      <c r="D8131" t="n">
        <v>1580262</v>
      </c>
      <c r="E8131" t="inlineStr">
        <is>
          <t>SEC</t>
        </is>
      </c>
    </row>
    <row r="8132">
      <c r="A8132" s="5">
        <f>HYPERLINK("https://finance.yahoo.com/quote/CRDV","CRDV")</f>
        <v/>
      </c>
      <c r="B8132" t="inlineStr">
        <is>
          <t>Community Redevelopment Inc.</t>
        </is>
      </c>
      <c r="C8132" t="inlineStr">
        <is>
          <t>OTC</t>
        </is>
      </c>
      <c r="D8132" t="n">
        <v>1084551</v>
      </c>
      <c r="E8132" t="inlineStr">
        <is>
          <t>SEC</t>
        </is>
      </c>
    </row>
    <row r="8133">
      <c r="A8133" s="5">
        <f>HYPERLINK("https://finance.yahoo.com/quote/APSI","APSI")</f>
        <v/>
      </c>
      <c r="B8133" t="inlineStr">
        <is>
          <t>AQUA POWER SYSTEMS INC.</t>
        </is>
      </c>
      <c r="C8133" t="inlineStr">
        <is>
          <t>OTC</t>
        </is>
      </c>
      <c r="D8133" t="n">
        <v>1553264</v>
      </c>
      <c r="E8133" t="inlineStr">
        <is>
          <t>SEC</t>
        </is>
      </c>
    </row>
    <row r="8134">
      <c r="A8134" s="5">
        <f>HYPERLINK("https://finance.yahoo.com/quote/MMMW","MMMW")</f>
        <v/>
      </c>
      <c r="B8134" t="inlineStr">
        <is>
          <t>MASS MEGAWATTS WIND POWER INC</t>
        </is>
      </c>
      <c r="C8134" t="inlineStr">
        <is>
          <t>OTC</t>
        </is>
      </c>
      <c r="D8134" t="n">
        <v>1117228</v>
      </c>
      <c r="E8134" t="inlineStr">
        <is>
          <t>SEC</t>
        </is>
      </c>
    </row>
    <row r="8135">
      <c r="A8135" s="5">
        <f>HYPERLINK("https://finance.yahoo.com/quote/MAJI","MAJI")</f>
        <v/>
      </c>
      <c r="B8135" t="inlineStr">
        <is>
          <t>Nextel Medical Corp.</t>
        </is>
      </c>
      <c r="C8135" t="inlineStr">
        <is>
          <t>OTC</t>
        </is>
      </c>
      <c r="D8135" t="n">
        <v>1492448</v>
      </c>
      <c r="E8135" t="inlineStr">
        <is>
          <t>SEC</t>
        </is>
      </c>
    </row>
    <row r="8136">
      <c r="A8136" s="5">
        <f>HYPERLINK("https://finance.yahoo.com/quote/LDSN","LDSN")</f>
        <v/>
      </c>
      <c r="B8136" t="inlineStr">
        <is>
          <t>Aphoenity International Holdings Inc.</t>
        </is>
      </c>
      <c r="C8136" t="inlineStr">
        <is>
          <t>OTC</t>
        </is>
      </c>
      <c r="D8136" t="n">
        <v>1737193</v>
      </c>
      <c r="E8136" t="inlineStr">
        <is>
          <t>SEC</t>
        </is>
      </c>
    </row>
    <row r="8137">
      <c r="A8137" s="5">
        <f>HYPERLINK("https://finance.yahoo.com/quote/SHGI","SHGI")</f>
        <v/>
      </c>
      <c r="B8137" t="inlineStr">
        <is>
          <t>Sparx Holdings Group, Inc.</t>
        </is>
      </c>
      <c r="C8137" t="inlineStr">
        <is>
          <t>OTC</t>
        </is>
      </c>
      <c r="D8137" t="n">
        <v>1874138</v>
      </c>
      <c r="E8137" t="inlineStr">
        <is>
          <t>SEC</t>
        </is>
      </c>
    </row>
    <row r="8138">
      <c r="A8138" s="5">
        <f>HYPERLINK("https://finance.yahoo.com/quote/LTESF","LTESF")</f>
        <v/>
      </c>
      <c r="B8138" t="inlineStr">
        <is>
          <t>Leet INC.</t>
        </is>
      </c>
      <c r="C8138" t="inlineStr">
        <is>
          <t>OTC</t>
        </is>
      </c>
      <c r="D8138" t="n">
        <v>1946746</v>
      </c>
      <c r="E8138" t="inlineStr">
        <is>
          <t>SEC</t>
        </is>
      </c>
    </row>
    <row r="8139">
      <c r="A8139" s="5">
        <f>HYPERLINK("https://finance.yahoo.com/quote/SHMP","SHMP")</f>
        <v/>
      </c>
      <c r="B8139" t="inlineStr">
        <is>
          <t>NaturalShrimp Inc</t>
        </is>
      </c>
      <c r="C8139" t="inlineStr">
        <is>
          <t>OTC</t>
        </is>
      </c>
      <c r="D8139" t="n">
        <v>1465470</v>
      </c>
      <c r="E8139" t="inlineStr">
        <is>
          <t>SEC</t>
        </is>
      </c>
    </row>
    <row r="8140">
      <c r="A8140" s="5">
        <f>HYPERLINK("https://finance.yahoo.com/quote/GXXM","GXXM")</f>
        <v/>
      </c>
      <c r="B8140" t="inlineStr">
        <is>
          <t>GEX MANAGEMENT, INC.</t>
        </is>
      </c>
      <c r="C8140" t="inlineStr">
        <is>
          <t>OTC</t>
        </is>
      </c>
      <c r="D8140" t="n">
        <v>1681556</v>
      </c>
      <c r="E8140" t="inlineStr">
        <is>
          <t>SEC</t>
        </is>
      </c>
    </row>
    <row r="8141">
      <c r="A8141" s="5">
        <f>HYPERLINK("https://finance.yahoo.com/quote/EDGM","EDGM")</f>
        <v/>
      </c>
      <c r="B8141" t="inlineStr">
        <is>
          <t>Edgemode, Inc.</t>
        </is>
      </c>
      <c r="C8141" t="inlineStr">
        <is>
          <t>OTC</t>
        </is>
      </c>
      <c r="D8141" t="n">
        <v>1652958</v>
      </c>
      <c r="E8141" t="inlineStr">
        <is>
          <t>SEC</t>
        </is>
      </c>
    </row>
    <row r="8142">
      <c r="A8142" s="5">
        <f>HYPERLINK("https://finance.yahoo.com/quote/OXBRW","OXBRW")</f>
        <v/>
      </c>
      <c r="B8142" t="inlineStr">
        <is>
          <t>OXBRIDGE RE HOLDINGS Ltd</t>
        </is>
      </c>
      <c r="C8142" t="inlineStr">
        <is>
          <t>Nasdaq</t>
        </is>
      </c>
      <c r="D8142" t="n">
        <v>1584831</v>
      </c>
      <c r="E8142" t="inlineStr">
        <is>
          <t>SEC</t>
        </is>
      </c>
    </row>
    <row r="8143">
      <c r="A8143" s="5">
        <f>HYPERLINK("https://finance.yahoo.com/quote/YGMZF","YGMZF")</f>
        <v/>
      </c>
      <c r="B8143" t="inlineStr">
        <is>
          <t>MingZhu Logistics Holdings Ltd</t>
        </is>
      </c>
      <c r="C8143" t="inlineStr">
        <is>
          <t>OTC</t>
        </is>
      </c>
      <c r="D8143" t="n">
        <v>1782037</v>
      </c>
      <c r="E8143" t="inlineStr">
        <is>
          <t>SEC</t>
        </is>
      </c>
    </row>
    <row r="8144">
      <c r="A8144" s="5">
        <f>HYPERLINK("https://finance.yahoo.com/quote/FRQN","FRQN")</f>
        <v/>
      </c>
      <c r="B8144" t="inlineStr">
        <is>
          <t>Frequency Holdings, Inc</t>
        </is>
      </c>
      <c r="C8144" t="inlineStr">
        <is>
          <t>OTC</t>
        </is>
      </c>
      <c r="D8144" t="n">
        <v>1624517</v>
      </c>
      <c r="E8144" t="inlineStr">
        <is>
          <t>SEC</t>
        </is>
      </c>
    </row>
    <row r="8145">
      <c r="A8145" s="5">
        <f>HYPERLINK("https://finance.yahoo.com/quote/GWSO","GWSO")</f>
        <v/>
      </c>
      <c r="B8145" t="inlineStr">
        <is>
          <t>Global Warming Solutions, Inc.</t>
        </is>
      </c>
      <c r="C8145" t="inlineStr">
        <is>
          <t>OTC</t>
        </is>
      </c>
      <c r="D8145" t="n">
        <v>1430300</v>
      </c>
      <c r="E8145" t="inlineStr">
        <is>
          <t>SEC</t>
        </is>
      </c>
    </row>
    <row r="8146">
      <c r="A8146" s="5">
        <f>HYPERLINK("https://finance.yahoo.com/quote/GMBL","GMBL")</f>
        <v/>
      </c>
      <c r="B8146" t="inlineStr">
        <is>
          <t>ESPORTS ENTERTAINMENT GROUP, INC.</t>
        </is>
      </c>
      <c r="C8146" t="inlineStr">
        <is>
          <t>OTC</t>
        </is>
      </c>
      <c r="D8146" t="n">
        <v>1451448</v>
      </c>
      <c r="E8146" t="inlineStr">
        <is>
          <t>SEC</t>
        </is>
      </c>
    </row>
    <row r="8147">
      <c r="A8147" s="5">
        <f>HYPERLINK("https://finance.yahoo.com/quote/EMED","EMED")</f>
        <v/>
      </c>
      <c r="B8147" t="inlineStr">
        <is>
          <t>Electromedical Technologies, Inc</t>
        </is>
      </c>
      <c r="C8147" t="inlineStr">
        <is>
          <t>OTC</t>
        </is>
      </c>
      <c r="D8147" t="n">
        <v>1715819</v>
      </c>
      <c r="E8147" t="inlineStr">
        <is>
          <t>SEC</t>
        </is>
      </c>
    </row>
    <row r="8148">
      <c r="A8148" s="5">
        <f>HYPERLINK("https://finance.yahoo.com/quote/NICH","NICH")</f>
        <v/>
      </c>
      <c r="B8148" t="inlineStr">
        <is>
          <t>NITCHES INC</t>
        </is>
      </c>
      <c r="C8148" t="inlineStr">
        <is>
          <t>OTC</t>
        </is>
      </c>
      <c r="D8148" t="n">
        <v>772263</v>
      </c>
      <c r="E8148" t="inlineStr">
        <is>
          <t>SEC</t>
        </is>
      </c>
    </row>
    <row r="8149">
      <c r="A8149" s="5">
        <f>HYPERLINK("https://finance.yahoo.com/quote/SIGY","SIGY")</f>
        <v/>
      </c>
      <c r="B8149" t="inlineStr">
        <is>
          <t>Sigyn Therapeutics, Inc.</t>
        </is>
      </c>
      <c r="C8149" t="inlineStr">
        <is>
          <t>OTC</t>
        </is>
      </c>
      <c r="D8149" t="n">
        <v>1642159</v>
      </c>
      <c r="E8149" t="inlineStr">
        <is>
          <t>SEC</t>
        </is>
      </c>
    </row>
    <row r="8150">
      <c r="A8150" s="5">
        <f>HYPERLINK("https://finance.yahoo.com/quote/DPUI","DPUI")</f>
        <v/>
      </c>
      <c r="B8150" t="inlineStr">
        <is>
          <t>DISCOUNT PRINT USA, INC.</t>
        </is>
      </c>
      <c r="C8150" t="inlineStr">
        <is>
          <t>OTC</t>
        </is>
      </c>
      <c r="D8150" t="n">
        <v>1791929</v>
      </c>
      <c r="E8150" t="inlineStr">
        <is>
          <t>SEC</t>
        </is>
      </c>
    </row>
    <row r="8151">
      <c r="A8151" s="5">
        <f>HYPERLINK("https://finance.yahoo.com/quote/ENDV","ENDV")</f>
        <v/>
      </c>
      <c r="B8151" t="inlineStr">
        <is>
          <t>ENDONOVO THERAPEUTICS, INC.</t>
        </is>
      </c>
      <c r="C8151" t="inlineStr">
        <is>
          <t>OTC</t>
        </is>
      </c>
      <c r="D8151" t="n">
        <v>1528172</v>
      </c>
      <c r="E8151" t="inlineStr">
        <is>
          <t>SEC</t>
        </is>
      </c>
    </row>
    <row r="8152">
      <c r="A8152" s="5">
        <f>HYPERLINK("https://finance.yahoo.com/quote/NXTN","NXTN")</f>
        <v/>
      </c>
      <c r="B8152" t="inlineStr">
        <is>
          <t>NEXT10, INC</t>
        </is>
      </c>
      <c r="C8152" t="inlineStr">
        <is>
          <t>OTC</t>
        </is>
      </c>
      <c r="D8152" t="n">
        <v>1193158</v>
      </c>
      <c r="E8152" t="inlineStr">
        <is>
          <t>SEC</t>
        </is>
      </c>
    </row>
    <row r="8153">
      <c r="A8153" s="5">
        <f>HYPERLINK("https://finance.yahoo.com/quote/KOAN","KOAN")</f>
        <v/>
      </c>
      <c r="B8153" t="inlineStr">
        <is>
          <t>Resonate Blends, Inc.</t>
        </is>
      </c>
      <c r="C8153" t="inlineStr">
        <is>
          <t>OTC</t>
        </is>
      </c>
      <c r="D8153" t="n">
        <v>897078</v>
      </c>
      <c r="E8153" t="inlineStr">
        <is>
          <t>SEC</t>
        </is>
      </c>
    </row>
    <row r="8154">
      <c r="A8154" s="5">
        <f>HYPERLINK("https://finance.yahoo.com/quote/ALPE","ALPE")</f>
        <v/>
      </c>
      <c r="B8154" t="inlineStr">
        <is>
          <t>alpha-En Corp</t>
        </is>
      </c>
      <c r="C8154" t="inlineStr">
        <is>
          <t>OTC</t>
        </is>
      </c>
      <c r="D8154" t="n">
        <v>1023298</v>
      </c>
      <c r="E8154" t="inlineStr">
        <is>
          <t>SEC</t>
        </is>
      </c>
    </row>
    <row r="8155">
      <c r="A8155" s="5">
        <f>HYPERLINK("https://finance.yahoo.com/quote/GIPL","GIPL")</f>
        <v/>
      </c>
      <c r="B8155" t="inlineStr">
        <is>
          <t>Global Innovative Platforms Inc.</t>
        </is>
      </c>
      <c r="C8155" t="inlineStr">
        <is>
          <t>OTC</t>
        </is>
      </c>
      <c r="D8155" t="n">
        <v>1837774</v>
      </c>
      <c r="E8155" t="inlineStr">
        <is>
          <t>SEC</t>
        </is>
      </c>
    </row>
    <row r="8156">
      <c r="A8156" s="5">
        <f>HYPERLINK("https://finance.yahoo.com/quote/SONX","SONX")</f>
        <v/>
      </c>
      <c r="B8156" t="inlineStr">
        <is>
          <t>Sonendo, Inc.</t>
        </is>
      </c>
      <c r="C8156" t="inlineStr">
        <is>
          <t>OTC</t>
        </is>
      </c>
      <c r="D8156" t="n">
        <v>1407973</v>
      </c>
      <c r="E8156" t="inlineStr">
        <is>
          <t>SEC</t>
        </is>
      </c>
    </row>
    <row r="8157">
      <c r="A8157" s="5">
        <f>HYPERLINK("https://finance.yahoo.com/quote/NBND","NBND")</f>
        <v/>
      </c>
      <c r="B8157" t="inlineStr">
        <is>
          <t>NetBrands Corp.</t>
        </is>
      </c>
      <c r="C8157" t="inlineStr">
        <is>
          <t>OTC</t>
        </is>
      </c>
      <c r="D8157" t="n">
        <v>1725911</v>
      </c>
      <c r="E8157" t="inlineStr">
        <is>
          <t>SEC</t>
        </is>
      </c>
    </row>
    <row r="8158">
      <c r="A8158" s="5">
        <f>HYPERLINK("https://finance.yahoo.com/quote/SEII","SEII")</f>
        <v/>
      </c>
      <c r="B8158" t="inlineStr">
        <is>
          <t>SHARING ECONOMY INTERNATIONAL INC.</t>
        </is>
      </c>
      <c r="C8158" t="inlineStr">
        <is>
          <t>OTC</t>
        </is>
      </c>
      <c r="D8158" t="n">
        <v>819926</v>
      </c>
      <c r="E8158" t="inlineStr">
        <is>
          <t>SEC</t>
        </is>
      </c>
    </row>
    <row r="8159">
      <c r="A8159" s="5">
        <f>HYPERLINK("https://finance.yahoo.com/quote/DWAY","DWAY")</f>
        <v/>
      </c>
      <c r="B8159" t="inlineStr">
        <is>
          <t>Driveitaway Holdings, Inc.</t>
        </is>
      </c>
      <c r="C8159" t="inlineStr">
        <is>
          <t>OTC</t>
        </is>
      </c>
      <c r="D8159" t="n">
        <v>1394638</v>
      </c>
      <c r="E8159" t="inlineStr">
        <is>
          <t>SEC</t>
        </is>
      </c>
    </row>
    <row r="8160">
      <c r="A8160" s="5">
        <f>HYPERLINK("https://finance.yahoo.com/quote/ACBM","ACBM")</f>
        <v/>
      </c>
      <c r="B8160" t="inlineStr">
        <is>
          <t>ACRO BIOMEDICAL CO., LTD.</t>
        </is>
      </c>
      <c r="C8160" t="inlineStr">
        <is>
          <t>OTC</t>
        </is>
      </c>
      <c r="D8160" t="n">
        <v>1622996</v>
      </c>
      <c r="E8160" t="inlineStr">
        <is>
          <t>SEC</t>
        </is>
      </c>
    </row>
    <row r="8161">
      <c r="A8161" s="5">
        <f>HYPERLINK("https://finance.yahoo.com/quote/SNPW","SNPW")</f>
        <v/>
      </c>
      <c r="B8161" t="inlineStr">
        <is>
          <t>Sun Pacific Holding Corp.</t>
        </is>
      </c>
      <c r="C8161" t="inlineStr">
        <is>
          <t>OTC</t>
        </is>
      </c>
      <c r="D8161" t="n">
        <v>1343465</v>
      </c>
      <c r="E8161" t="inlineStr">
        <is>
          <t>SEC</t>
        </is>
      </c>
    </row>
    <row r="8162">
      <c r="A8162" s="5">
        <f>HYPERLINK("https://finance.yahoo.com/quote/BPTH","BPTH")</f>
        <v/>
      </c>
      <c r="B8162" t="inlineStr">
        <is>
          <t>BIO-PATH HOLDINGS, INC.</t>
        </is>
      </c>
      <c r="C8162" t="inlineStr">
        <is>
          <t>OTC</t>
        </is>
      </c>
      <c r="D8162" t="n">
        <v>1133818</v>
      </c>
      <c r="E8162" t="inlineStr">
        <is>
          <t>SEC</t>
        </is>
      </c>
    </row>
    <row r="8163">
      <c r="A8163" s="5">
        <f>HYPERLINK("https://finance.yahoo.com/quote/DLTI","DLTI")</f>
        <v/>
      </c>
      <c r="B8163" t="inlineStr">
        <is>
          <t>DLT Resolution Inc.</t>
        </is>
      </c>
      <c r="C8163" t="inlineStr">
        <is>
          <t>OTC</t>
        </is>
      </c>
      <c r="D8163" t="n">
        <v>1420368</v>
      </c>
      <c r="E8163" t="inlineStr">
        <is>
          <t>SEC</t>
        </is>
      </c>
    </row>
    <row r="8164">
      <c r="A8164" s="5">
        <f>HYPERLINK("https://finance.yahoo.com/quote/INNI","INNI")</f>
        <v/>
      </c>
      <c r="B8164" t="inlineStr">
        <is>
          <t>Innovaro, Inc.</t>
        </is>
      </c>
      <c r="C8164" t="inlineStr">
        <is>
          <t>OTC</t>
        </is>
      </c>
      <c r="D8164" t="n">
        <v>1098482</v>
      </c>
      <c r="E8164" t="inlineStr">
        <is>
          <t>SEC</t>
        </is>
      </c>
    </row>
    <row r="8165">
      <c r="A8165" s="5">
        <f>HYPERLINK("https://finance.yahoo.com/quote/SONG","SONG")</f>
        <v/>
      </c>
      <c r="B8165" t="inlineStr">
        <is>
          <t>Music Licensing Inc.</t>
        </is>
      </c>
      <c r="C8165" t="inlineStr">
        <is>
          <t>OTC</t>
        </is>
      </c>
      <c r="D8165" t="n">
        <v>1671132</v>
      </c>
      <c r="E8165" t="inlineStr">
        <is>
          <t>SEC</t>
        </is>
      </c>
    </row>
    <row r="8166">
      <c r="A8166" s="5">
        <f>HYPERLINK("https://finance.yahoo.com/quote/MGAM","MGAM")</f>
        <v/>
      </c>
      <c r="B8166" t="inlineStr">
        <is>
          <t>Mobile Global Esports, Inc.</t>
        </is>
      </c>
      <c r="C8166" t="inlineStr">
        <is>
          <t>OTC</t>
        </is>
      </c>
      <c r="D8166" t="n">
        <v>1886362</v>
      </c>
      <c r="E8166" t="inlineStr">
        <is>
          <t>SEC</t>
        </is>
      </c>
    </row>
    <row r="8167">
      <c r="A8167" s="5">
        <f>HYPERLINK("https://finance.yahoo.com/quote/BISA","BISA")</f>
        <v/>
      </c>
      <c r="B8167" t="inlineStr">
        <is>
          <t>BALTIC INTERNATIONAL USA INC</t>
        </is>
      </c>
      <c r="C8167" t="inlineStr">
        <is>
          <t>OTC</t>
        </is>
      </c>
      <c r="D8167" t="n">
        <v>918545</v>
      </c>
      <c r="E8167" t="inlineStr">
        <is>
          <t>SEC</t>
        </is>
      </c>
    </row>
    <row r="8168">
      <c r="A8168" s="5">
        <f>HYPERLINK("https://finance.yahoo.com/quote/LIPO","LIPO")</f>
        <v/>
      </c>
      <c r="B8168" t="inlineStr">
        <is>
          <t>LIPELLA PHARMACEUTICALS INC.</t>
        </is>
      </c>
      <c r="C8168" t="inlineStr">
        <is>
          <t>OTC</t>
        </is>
      </c>
      <c r="D8168" t="n">
        <v>1347242</v>
      </c>
      <c r="E8168" t="inlineStr">
        <is>
          <t>SEC</t>
        </is>
      </c>
    </row>
    <row r="8169">
      <c r="A8169" s="5">
        <f>HYPERLINK("https://finance.yahoo.com/quote/COSG","COSG")</f>
        <v/>
      </c>
      <c r="B8169" t="inlineStr">
        <is>
          <t>Cosmos Group Holdings Inc.</t>
        </is>
      </c>
      <c r="C8169" t="inlineStr">
        <is>
          <t>OTC</t>
        </is>
      </c>
      <c r="D8169" t="n">
        <v>1706509</v>
      </c>
      <c r="E8169" t="inlineStr">
        <is>
          <t>SEC</t>
        </is>
      </c>
    </row>
    <row r="8170">
      <c r="A8170" s="5">
        <f>HYPERLINK("https://finance.yahoo.com/quote/CICC","CICC")</f>
        <v/>
      </c>
      <c r="B8170" t="inlineStr">
        <is>
          <t>CION Investment Corp</t>
        </is>
      </c>
      <c r="C8170" t="inlineStr">
        <is>
          <t>NYSE</t>
        </is>
      </c>
      <c r="D8170" t="n">
        <v>1534254</v>
      </c>
      <c r="E8170" t="inlineStr">
        <is>
          <t>SEC</t>
        </is>
      </c>
    </row>
    <row r="8171">
      <c r="A8171" s="5">
        <f>HYPERLINK("https://finance.yahoo.com/quote/AHII","AHII")</f>
        <v/>
      </c>
      <c r="B8171" t="inlineStr">
        <is>
          <t>American Heritage International Inc.</t>
        </is>
      </c>
      <c r="C8171" t="inlineStr">
        <is>
          <t>OTC</t>
        </is>
      </c>
      <c r="D8171" t="n">
        <v>1545236</v>
      </c>
      <c r="E8171" t="inlineStr">
        <is>
          <t>SEC</t>
        </is>
      </c>
    </row>
    <row r="8172">
      <c r="A8172" s="5">
        <f>HYPERLINK("https://finance.yahoo.com/quote/AEMRF","AEMRF")</f>
        <v/>
      </c>
      <c r="B8172" t="inlineStr">
        <is>
          <t>AGNICO EAGLE MINES LTD</t>
        </is>
      </c>
      <c r="C8172" t="inlineStr">
        <is>
          <t>OTC</t>
        </is>
      </c>
      <c r="D8172" t="n">
        <v>2809</v>
      </c>
      <c r="E8172" t="inlineStr">
        <is>
          <t>SEC</t>
        </is>
      </c>
    </row>
    <row r="8173">
      <c r="A8173" s="5">
        <f>HYPERLINK("https://finance.yahoo.com/quote/ASBA","ASBA")</f>
        <v/>
      </c>
      <c r="B8173" t="inlineStr">
        <is>
          <t>ASSOCIATED BANC-CORP</t>
        </is>
      </c>
      <c r="C8173" t="inlineStr">
        <is>
          <t>NYSE</t>
        </is>
      </c>
      <c r="D8173" t="n">
        <v>7789</v>
      </c>
      <c r="E8173" t="inlineStr">
        <is>
          <t>SEC</t>
        </is>
      </c>
    </row>
    <row r="8174">
      <c r="A8174" s="5">
        <f>HYPERLINK("https://finance.yahoo.com/quote/ASB-PE","ASB-PE")</f>
        <v/>
      </c>
      <c r="B8174" t="inlineStr">
        <is>
          <t>ASSOCIATED BANC-CORP</t>
        </is>
      </c>
      <c r="C8174" t="inlineStr">
        <is>
          <t>NYSE</t>
        </is>
      </c>
      <c r="D8174" t="n">
        <v>7789</v>
      </c>
      <c r="E8174" t="inlineStr">
        <is>
          <t>SEC</t>
        </is>
      </c>
    </row>
    <row r="8175">
      <c r="A8175" s="5">
        <f>HYPERLINK("https://finance.yahoo.com/quote/ASB-PF","ASB-PF")</f>
        <v/>
      </c>
      <c r="B8175" t="inlineStr">
        <is>
          <t>ASSOCIATED BANC-CORP</t>
        </is>
      </c>
      <c r="C8175" t="inlineStr">
        <is>
          <t>NYSE</t>
        </is>
      </c>
      <c r="D8175" t="n">
        <v>7789</v>
      </c>
      <c r="E8175" t="inlineStr">
        <is>
          <t>SEC</t>
        </is>
      </c>
    </row>
    <row r="8176">
      <c r="A8176" s="5">
        <f>HYPERLINK("https://finance.yahoo.com/quote/WRB-PF","WRB-PF")</f>
        <v/>
      </c>
      <c r="B8176" t="inlineStr">
        <is>
          <t>BERKLEY W R CORP</t>
        </is>
      </c>
      <c r="C8176" t="inlineStr">
        <is>
          <t>NYSE</t>
        </is>
      </c>
      <c r="D8176" t="n">
        <v>11544</v>
      </c>
      <c r="E8176" t="inlineStr">
        <is>
          <t>SEC</t>
        </is>
      </c>
    </row>
    <row r="8177">
      <c r="A8177" s="5">
        <f>HYPERLINK("https://finance.yahoo.com/quote/WRB-PG","WRB-PG")</f>
        <v/>
      </c>
      <c r="B8177" t="inlineStr">
        <is>
          <t>BERKLEY W R CORP</t>
        </is>
      </c>
      <c r="C8177" t="inlineStr">
        <is>
          <t>NYSE</t>
        </is>
      </c>
      <c r="D8177" t="n">
        <v>11544</v>
      </c>
      <c r="E8177" t="inlineStr">
        <is>
          <t>SEC</t>
        </is>
      </c>
    </row>
    <row r="8178">
      <c r="A8178" s="5">
        <f>HYPERLINK("https://finance.yahoo.com/quote/WRB-PH","WRB-PH")</f>
        <v/>
      </c>
      <c r="B8178" t="inlineStr">
        <is>
          <t>BERKLEY W R CORP</t>
        </is>
      </c>
      <c r="C8178" t="inlineStr">
        <is>
          <t>NYSE</t>
        </is>
      </c>
      <c r="D8178" t="n">
        <v>11544</v>
      </c>
      <c r="E8178" t="inlineStr">
        <is>
          <t>SEC</t>
        </is>
      </c>
    </row>
    <row r="8179">
      <c r="A8179" s="5">
        <f>HYPERLINK("https://finance.yahoo.com/quote/BA-PA","BA-PA")</f>
        <v/>
      </c>
      <c r="B8179" t="inlineStr">
        <is>
          <t>BOEING CO</t>
        </is>
      </c>
      <c r="C8179" t="inlineStr">
        <is>
          <t>NYSE</t>
        </is>
      </c>
      <c r="D8179" t="n">
        <v>12927</v>
      </c>
      <c r="E8179" t="inlineStr">
        <is>
          <t>SEC</t>
        </is>
      </c>
    </row>
    <row r="8180">
      <c r="A8180" s="5">
        <f>HYPERLINK("https://finance.yahoo.com/quote/NSARO","NSARO")</f>
        <v/>
      </c>
      <c r="B8180" t="inlineStr">
        <is>
          <t>NSTAR ELECTRIC CO</t>
        </is>
      </c>
      <c r="C8180" t="inlineStr">
        <is>
          <t>OTC</t>
        </is>
      </c>
      <c r="D8180" t="n">
        <v>13372</v>
      </c>
      <c r="E8180" t="inlineStr">
        <is>
          <t>SEC</t>
        </is>
      </c>
    </row>
    <row r="8181">
      <c r="A8181" s="5">
        <f>HYPERLINK("https://finance.yahoo.com/quote/NSARP","NSARP")</f>
        <v/>
      </c>
      <c r="B8181" t="inlineStr">
        <is>
          <t>NSTAR ELECTRIC CO</t>
        </is>
      </c>
      <c r="C8181" t="inlineStr">
        <is>
          <t>OTC</t>
        </is>
      </c>
      <c r="D8181" t="n">
        <v>13372</v>
      </c>
      <c r="E8181" t="inlineStr">
        <is>
          <t>SEC</t>
        </is>
      </c>
    </row>
    <row r="8182">
      <c r="A8182" s="5">
        <f>HYPERLINK("https://finance.yahoo.com/quote/CELG-RI","CELG-RI")</f>
        <v/>
      </c>
      <c r="B8182" t="inlineStr">
        <is>
          <t>BRISTOL MYERS SQUIBB CO</t>
        </is>
      </c>
      <c r="C8182" t="inlineStr">
        <is>
          <t>NYSE</t>
        </is>
      </c>
      <c r="D8182" t="n">
        <v>14272</v>
      </c>
      <c r="E8182" t="inlineStr">
        <is>
          <t>SEC</t>
        </is>
      </c>
    </row>
    <row r="8183">
      <c r="A8183" s="5">
        <f>HYPERLINK("https://finance.yahoo.com/quote/BC-PC","BC-PC")</f>
        <v/>
      </c>
      <c r="B8183" t="inlineStr">
        <is>
          <t>BRUNSWICK CORP</t>
        </is>
      </c>
      <c r="C8183" t="inlineStr">
        <is>
          <t>NYSE</t>
        </is>
      </c>
      <c r="D8183" t="n">
        <v>14930</v>
      </c>
      <c r="E8183" t="inlineStr">
        <is>
          <t>SEC</t>
        </is>
      </c>
    </row>
    <row r="8184">
      <c r="A8184" s="5">
        <f>HYPERLINK("https://finance.yahoo.com/quote/AILIO","AILIO")</f>
        <v/>
      </c>
      <c r="B8184" t="inlineStr">
        <is>
          <t>Ameren Illinois Co</t>
        </is>
      </c>
      <c r="C8184" t="inlineStr">
        <is>
          <t>OTC</t>
        </is>
      </c>
      <c r="D8184" t="n">
        <v>18654</v>
      </c>
      <c r="E8184" t="inlineStr">
        <is>
          <t>SEC</t>
        </is>
      </c>
    </row>
    <row r="8185">
      <c r="A8185" s="5">
        <f>HYPERLINK("https://finance.yahoo.com/quote/AILIP","AILIP")</f>
        <v/>
      </c>
      <c r="B8185" t="inlineStr">
        <is>
          <t>Ameren Illinois Co</t>
        </is>
      </c>
      <c r="C8185" t="inlineStr">
        <is>
          <t>OTC</t>
        </is>
      </c>
      <c r="D8185" t="n">
        <v>18654</v>
      </c>
      <c r="E8185" t="inlineStr">
        <is>
          <t>SEC</t>
        </is>
      </c>
    </row>
    <row r="8186">
      <c r="A8186" s="5">
        <f>HYPERLINK("https://finance.yahoo.com/quote/AMJB","AMJB")</f>
        <v/>
      </c>
      <c r="B8186" t="inlineStr">
        <is>
          <t>JPMORGAN CHASE &amp; CO</t>
        </is>
      </c>
      <c r="C8186" t="inlineStr">
        <is>
          <t>NYSE</t>
        </is>
      </c>
      <c r="D8186" t="n">
        <v>19617</v>
      </c>
      <c r="E8186" t="inlineStr">
        <is>
          <t>SEC</t>
        </is>
      </c>
    </row>
    <row r="8187">
      <c r="A8187" s="5">
        <f>HYPERLINK("https://finance.yahoo.com/quote/JPM-PD","JPM-PD")</f>
        <v/>
      </c>
      <c r="B8187" t="inlineStr">
        <is>
          <t>JPMORGAN CHASE &amp; CO</t>
        </is>
      </c>
      <c r="C8187" t="inlineStr">
        <is>
          <t>NYSE</t>
        </is>
      </c>
      <c r="D8187" t="n">
        <v>19617</v>
      </c>
      <c r="E8187" t="inlineStr">
        <is>
          <t>SEC</t>
        </is>
      </c>
    </row>
    <row r="8188">
      <c r="A8188" s="5">
        <f>HYPERLINK("https://finance.yahoo.com/quote/JPM-PJ","JPM-PJ")</f>
        <v/>
      </c>
      <c r="B8188" t="inlineStr">
        <is>
          <t>JPMORGAN CHASE &amp; CO</t>
        </is>
      </c>
      <c r="C8188" t="inlineStr">
        <is>
          <t>NYSE</t>
        </is>
      </c>
      <c r="D8188" t="n">
        <v>19617</v>
      </c>
      <c r="E8188" t="inlineStr">
        <is>
          <t>SEC</t>
        </is>
      </c>
    </row>
    <row r="8189">
      <c r="A8189" s="5">
        <f>HYPERLINK("https://finance.yahoo.com/quote/JPM-PK","JPM-PK")</f>
        <v/>
      </c>
      <c r="B8189" t="inlineStr">
        <is>
          <t>JPMORGAN CHASE &amp; CO</t>
        </is>
      </c>
      <c r="C8189" t="inlineStr">
        <is>
          <t>NYSE</t>
        </is>
      </c>
      <c r="D8189" t="n">
        <v>19617</v>
      </c>
      <c r="E8189" t="inlineStr">
        <is>
          <t>SEC</t>
        </is>
      </c>
    </row>
    <row r="8190">
      <c r="A8190" s="5">
        <f>HYPERLINK("https://finance.yahoo.com/quote/JPM-PL","JPM-PL")</f>
        <v/>
      </c>
      <c r="B8190" t="inlineStr">
        <is>
          <t>JPMORGAN CHASE &amp; CO</t>
        </is>
      </c>
      <c r="C8190" t="inlineStr">
        <is>
          <t>NYSE</t>
        </is>
      </c>
      <c r="D8190" t="n">
        <v>19617</v>
      </c>
      <c r="E8190" t="inlineStr">
        <is>
          <t>SEC</t>
        </is>
      </c>
    </row>
    <row r="8191">
      <c r="A8191" s="5">
        <f>HYPERLINK("https://finance.yahoo.com/quote/JPM-PM","JPM-PM")</f>
        <v/>
      </c>
      <c r="B8191" t="inlineStr">
        <is>
          <t>JPMORGAN CHASE &amp; CO</t>
        </is>
      </c>
      <c r="C8191" t="inlineStr">
        <is>
          <t>NYSE</t>
        </is>
      </c>
      <c r="D8191" t="n">
        <v>19617</v>
      </c>
      <c r="E8191" t="inlineStr">
        <is>
          <t>SEC</t>
        </is>
      </c>
    </row>
    <row r="8192">
      <c r="A8192" s="5">
        <f>HYPERLINK("https://finance.yahoo.com/quote/VYLD","VYLD")</f>
        <v/>
      </c>
      <c r="B8192" t="inlineStr">
        <is>
          <t>JPMORGAN CHASE &amp; CO</t>
        </is>
      </c>
      <c r="C8192" t="inlineStr">
        <is>
          <t>NYSE</t>
        </is>
      </c>
      <c r="D8192" t="n">
        <v>19617</v>
      </c>
      <c r="E8192" t="inlineStr">
        <is>
          <t>SEC</t>
        </is>
      </c>
    </row>
    <row r="8193">
      <c r="A8193" s="5">
        <f>HYPERLINK("https://finance.yahoo.com/quote/CTO-PA","CTO-PA")</f>
        <v/>
      </c>
      <c r="B8193" t="inlineStr">
        <is>
          <t>CTO Realty Growth, Inc.</t>
        </is>
      </c>
      <c r="C8193" t="inlineStr">
        <is>
          <t>NYSE</t>
        </is>
      </c>
      <c r="D8193" t="n">
        <v>23795</v>
      </c>
      <c r="E8193" t="inlineStr">
        <is>
          <t>SEC</t>
        </is>
      </c>
    </row>
    <row r="8194">
      <c r="A8194" s="5">
        <f>HYPERLINK("https://finance.yahoo.com/quote/DDT","DDT")</f>
        <v/>
      </c>
      <c r="B8194" t="inlineStr">
        <is>
          <t>DILLARD'S, INC.</t>
        </is>
      </c>
      <c r="C8194" t="inlineStr">
        <is>
          <t>TXSE</t>
        </is>
      </c>
      <c r="D8194" t="n">
        <v>28917</v>
      </c>
      <c r="E8194" t="inlineStr">
        <is>
          <t>SEC</t>
        </is>
      </c>
    </row>
    <row r="8195">
      <c r="A8195" s="5">
        <f>HYPERLINK("https://finance.yahoo.com/quote/FRT-PC","FRT-PC")</f>
        <v/>
      </c>
      <c r="B8195" t="inlineStr">
        <is>
          <t>FEDERAL REALTY INVESTMENT TRUST</t>
        </is>
      </c>
      <c r="C8195" t="inlineStr">
        <is>
          <t>NYSE</t>
        </is>
      </c>
      <c r="D8195" t="n">
        <v>34903</v>
      </c>
      <c r="E8195" t="inlineStr">
        <is>
          <t>SEC</t>
        </is>
      </c>
    </row>
    <row r="8196">
      <c r="A8196" s="5">
        <f>HYPERLINK("https://finance.yahoo.com/quote/FITB-PA","FITB-PA")</f>
        <v/>
      </c>
      <c r="B8196" t="inlineStr">
        <is>
          <t>FIFTH THIRD BANCORP</t>
        </is>
      </c>
      <c r="C8196" t="inlineStr">
        <is>
          <t>NYSE</t>
        </is>
      </c>
      <c r="D8196" t="n">
        <v>35527</v>
      </c>
      <c r="E8196" t="inlineStr">
        <is>
          <t>SEC</t>
        </is>
      </c>
    </row>
    <row r="8197">
      <c r="A8197" s="5">
        <f>HYPERLINK("https://finance.yahoo.com/quote/FITB-PI","FITB-PI")</f>
        <v/>
      </c>
      <c r="B8197" t="inlineStr">
        <is>
          <t>FIFTH THIRD BANCORP</t>
        </is>
      </c>
      <c r="C8197" t="inlineStr">
        <is>
          <t>NYSE</t>
        </is>
      </c>
      <c r="D8197" t="n">
        <v>35527</v>
      </c>
      <c r="E8197" t="inlineStr">
        <is>
          <t>SEC</t>
        </is>
      </c>
    </row>
    <row r="8198">
      <c r="A8198" s="5">
        <f>HYPERLINK("https://finance.yahoo.com/quote/FITB-PK","FITB-PK")</f>
        <v/>
      </c>
      <c r="B8198" t="inlineStr">
        <is>
          <t>FIFTH THIRD BANCORP</t>
        </is>
      </c>
      <c r="C8198" t="inlineStr">
        <is>
          <t>NYSE</t>
        </is>
      </c>
      <c r="D8198" t="n">
        <v>35527</v>
      </c>
      <c r="E8198" t="inlineStr">
        <is>
          <t>SEC</t>
        </is>
      </c>
    </row>
    <row r="8199">
      <c r="A8199" s="5">
        <f>HYPERLINK("https://finance.yahoo.com/quote/FITB-PM","FITB-PM")</f>
        <v/>
      </c>
      <c r="B8199" t="inlineStr">
        <is>
          <t>FIFTH THIRD BANCORP</t>
        </is>
      </c>
      <c r="C8199" t="inlineStr">
        <is>
          <t>NYSE</t>
        </is>
      </c>
      <c r="D8199" t="n">
        <v>35527</v>
      </c>
      <c r="E8199" t="inlineStr">
        <is>
          <t>SEC</t>
        </is>
      </c>
    </row>
    <row r="8200">
      <c r="A8200" s="5">
        <f>HYPERLINK("https://finance.yahoo.com/quote/USB-PQ","USB-PQ")</f>
        <v/>
      </c>
      <c r="B8200" t="inlineStr">
        <is>
          <t>US BANCORP DE</t>
        </is>
      </c>
      <c r="C8200" t="inlineStr">
        <is>
          <t>NYSE</t>
        </is>
      </c>
      <c r="D8200" t="n">
        <v>36104</v>
      </c>
      <c r="E8200" t="inlineStr">
        <is>
          <t>SEC</t>
        </is>
      </c>
    </row>
    <row r="8201">
      <c r="A8201" s="5">
        <f>HYPERLINK("https://finance.yahoo.com/quote/USB-PR","USB-PR")</f>
        <v/>
      </c>
      <c r="B8201" t="inlineStr">
        <is>
          <t>US BANCORP DE</t>
        </is>
      </c>
      <c r="C8201" t="inlineStr">
        <is>
          <t>NYSE</t>
        </is>
      </c>
      <c r="D8201" t="n">
        <v>36104</v>
      </c>
      <c r="E8201" t="inlineStr">
        <is>
          <t>SEC</t>
        </is>
      </c>
    </row>
    <row r="8202">
      <c r="A8202" s="5">
        <f>HYPERLINK("https://finance.yahoo.com/quote/USB-PS","USB-PS")</f>
        <v/>
      </c>
      <c r="B8202" t="inlineStr">
        <is>
          <t>US BANCORP DE</t>
        </is>
      </c>
      <c r="C8202" t="inlineStr">
        <is>
          <t>NYSE</t>
        </is>
      </c>
      <c r="D8202" t="n">
        <v>36104</v>
      </c>
      <c r="E8202" t="inlineStr">
        <is>
          <t>SEC</t>
        </is>
      </c>
    </row>
    <row r="8203">
      <c r="A8203" s="5">
        <f>HYPERLINK("https://finance.yahoo.com/quote/MTB-PH","MTB-PH")</f>
        <v/>
      </c>
      <c r="B8203" t="inlineStr">
        <is>
          <t>M&amp;T BANK CORP</t>
        </is>
      </c>
      <c r="C8203" t="inlineStr">
        <is>
          <t>NYSE</t>
        </is>
      </c>
      <c r="D8203" t="n">
        <v>36270</v>
      </c>
      <c r="E8203" t="inlineStr">
        <is>
          <t>SEC</t>
        </is>
      </c>
    </row>
    <row r="8204">
      <c r="A8204" s="5">
        <f>HYPERLINK("https://finance.yahoo.com/quote/MTB-PJ","MTB-PJ")</f>
        <v/>
      </c>
      <c r="B8204" t="inlineStr">
        <is>
          <t>M&amp;T BANK CORP</t>
        </is>
      </c>
      <c r="C8204" t="inlineStr">
        <is>
          <t>NYSE</t>
        </is>
      </c>
      <c r="D8204" t="n">
        <v>36270</v>
      </c>
      <c r="E8204" t="inlineStr">
        <is>
          <t>SEC</t>
        </is>
      </c>
    </row>
    <row r="8205">
      <c r="A8205" s="5">
        <f>HYPERLINK("https://finance.yahoo.com/quote/MTB-PK","MTB-PK")</f>
        <v/>
      </c>
      <c r="B8205" t="inlineStr">
        <is>
          <t>M&amp;T BANK CORP</t>
        </is>
      </c>
      <c r="C8205" t="inlineStr">
        <is>
          <t>NYSE</t>
        </is>
      </c>
      <c r="D8205" t="n">
        <v>36270</v>
      </c>
      <c r="E8205" t="inlineStr">
        <is>
          <t>SEC</t>
        </is>
      </c>
    </row>
    <row r="8206">
      <c r="A8206" s="5">
        <f>HYPERLINK("https://finance.yahoo.com/quote/MTB-PL","MTB-PL")</f>
        <v/>
      </c>
      <c r="B8206" t="inlineStr">
        <is>
          <t>M&amp;T BANK CORP</t>
        </is>
      </c>
      <c r="C8206" t="inlineStr">
        <is>
          <t>NYSE</t>
        </is>
      </c>
      <c r="D8206" t="n">
        <v>36270</v>
      </c>
      <c r="E8206" t="inlineStr">
        <is>
          <t>SEC</t>
        </is>
      </c>
    </row>
    <row r="8207">
      <c r="A8207" s="5">
        <f>HYPERLINK("https://finance.yahoo.com/quote/FHN-PE","FHN-PE")</f>
        <v/>
      </c>
      <c r="B8207" t="inlineStr">
        <is>
          <t>FIRST HORIZON CORP</t>
        </is>
      </c>
      <c r="C8207" t="inlineStr">
        <is>
          <t>NYSE</t>
        </is>
      </c>
      <c r="D8207" t="n">
        <v>36966</v>
      </c>
      <c r="E8207" t="inlineStr">
        <is>
          <t>SEC</t>
        </is>
      </c>
    </row>
    <row r="8208">
      <c r="A8208" s="5">
        <f>HYPERLINK("https://finance.yahoo.com/quote/FHN-PF","FHN-PF")</f>
        <v/>
      </c>
      <c r="B8208" t="inlineStr">
        <is>
          <t>FIRST HORIZON CORP</t>
        </is>
      </c>
      <c r="C8208" t="inlineStr">
        <is>
          <t>NYSE</t>
        </is>
      </c>
      <c r="D8208" t="n">
        <v>36966</v>
      </c>
      <c r="E8208" t="inlineStr">
        <is>
          <t>SEC</t>
        </is>
      </c>
    </row>
    <row r="8209">
      <c r="A8209" s="5">
        <f>HYPERLINK("https://finance.yahoo.com/quote/FHN-PH","FHN-PH")</f>
        <v/>
      </c>
      <c r="B8209" t="inlineStr">
        <is>
          <t>FIRST HORIZON CORP</t>
        </is>
      </c>
      <c r="C8209" t="inlineStr">
        <is>
          <t>NYSE</t>
        </is>
      </c>
      <c r="D8209" t="n">
        <v>36966</v>
      </c>
      <c r="E8209" t="inlineStr">
        <is>
          <t>SEC</t>
        </is>
      </c>
    </row>
    <row r="8210">
      <c r="A8210" s="5">
        <f>HYPERLINK("https://finance.yahoo.com/quote/F-PB","F-PB")</f>
        <v/>
      </c>
      <c r="B8210" t="inlineStr">
        <is>
          <t>FORD MOTOR CO</t>
        </is>
      </c>
      <c r="C8210" t="inlineStr">
        <is>
          <t>NYSE</t>
        </is>
      </c>
      <c r="D8210" t="n">
        <v>37996</v>
      </c>
      <c r="E8210" t="inlineStr">
        <is>
          <t>SEC</t>
        </is>
      </c>
    </row>
    <row r="8211">
      <c r="A8211" s="5">
        <f>HYPERLINK("https://finance.yahoo.com/quote/F-PC","F-PC")</f>
        <v/>
      </c>
      <c r="B8211" t="inlineStr">
        <is>
          <t>FORD MOTOR CO</t>
        </is>
      </c>
      <c r="C8211" t="inlineStr">
        <is>
          <t>NYSE</t>
        </is>
      </c>
      <c r="D8211" t="n">
        <v>37996</v>
      </c>
      <c r="E8211" t="inlineStr">
        <is>
          <t>SEC</t>
        </is>
      </c>
    </row>
    <row r="8212">
      <c r="A8212" s="5">
        <f>HYPERLINK("https://finance.yahoo.com/quote/F-PD","F-PD")</f>
        <v/>
      </c>
      <c r="B8212" t="inlineStr">
        <is>
          <t>FORD MOTOR CO</t>
        </is>
      </c>
      <c r="C8212" t="inlineStr">
        <is>
          <t>NYSE</t>
        </is>
      </c>
      <c r="D8212" t="n">
        <v>37996</v>
      </c>
      <c r="E8212" t="inlineStr">
        <is>
          <t>SEC</t>
        </is>
      </c>
    </row>
    <row r="8213">
      <c r="A8213" s="5">
        <f>HYPERLINK("https://finance.yahoo.com/quote/CFR-PB","CFR-PB")</f>
        <v/>
      </c>
      <c r="B8213" t="inlineStr">
        <is>
          <t>CULLEN/FROST BANKERS, INC.</t>
        </is>
      </c>
      <c r="C8213" t="inlineStr">
        <is>
          <t>NYSE</t>
        </is>
      </c>
      <c r="D8213" t="n">
        <v>39263</v>
      </c>
      <c r="E8213" t="inlineStr">
        <is>
          <t>SEC</t>
        </is>
      </c>
    </row>
    <row r="8214">
      <c r="A8214" s="5">
        <f>HYPERLINK("https://finance.yahoo.com/quote/GAM-PB","GAM-PB")</f>
        <v/>
      </c>
      <c r="B8214" t="inlineStr">
        <is>
          <t>GENERAL AMERICAN INVESTORS CO INC</t>
        </is>
      </c>
      <c r="C8214" t="inlineStr">
        <is>
          <t>NYSE</t>
        </is>
      </c>
      <c r="D8214" t="n">
        <v>40417</v>
      </c>
      <c r="E8214" t="inlineStr">
        <is>
          <t>SEC</t>
        </is>
      </c>
    </row>
    <row r="8215">
      <c r="A8215" s="5">
        <f>HYPERLINK("https://finance.yahoo.com/quote/BOH-PA","BOH-PA")</f>
        <v/>
      </c>
      <c r="B8215" t="inlineStr">
        <is>
          <t>BANK OF HAWAII CORP</t>
        </is>
      </c>
      <c r="C8215" t="inlineStr">
        <is>
          <t>NYSE</t>
        </is>
      </c>
      <c r="D8215" t="n">
        <v>46195</v>
      </c>
      <c r="E8215" t="inlineStr">
        <is>
          <t>SEC</t>
        </is>
      </c>
    </row>
    <row r="8216">
      <c r="A8216" s="5">
        <f>HYPERLINK("https://finance.yahoo.com/quote/BOH-PB","BOH-PB")</f>
        <v/>
      </c>
      <c r="B8216" t="inlineStr">
        <is>
          <t>BANK OF HAWAII CORP</t>
        </is>
      </c>
      <c r="C8216" t="inlineStr">
        <is>
          <t>NYSE</t>
        </is>
      </c>
      <c r="D8216" t="n">
        <v>46195</v>
      </c>
      <c r="E8216" t="inlineStr">
        <is>
          <t>SEC</t>
        </is>
      </c>
    </row>
    <row r="8217">
      <c r="A8217" s="5">
        <f>HYPERLINK("https://finance.yahoo.com/quote/HBANL","HBANL")</f>
        <v/>
      </c>
      <c r="B8217" t="inlineStr">
        <is>
          <t>HUNTINGTON BANCSHARES INC /MD/</t>
        </is>
      </c>
      <c r="C8217" t="inlineStr">
        <is>
          <t>Nasdaq</t>
        </is>
      </c>
      <c r="D8217" t="n">
        <v>49196</v>
      </c>
      <c r="E8217" t="inlineStr">
        <is>
          <t>SEC</t>
        </is>
      </c>
    </row>
    <row r="8218">
      <c r="A8218" s="5">
        <f>HYPERLINK("https://finance.yahoo.com/quote/HBANM","HBANM")</f>
        <v/>
      </c>
      <c r="B8218" t="inlineStr">
        <is>
          <t>HUNTINGTON BANCSHARES INC /MD/</t>
        </is>
      </c>
      <c r="C8218" t="inlineStr">
        <is>
          <t>Nasdaq</t>
        </is>
      </c>
      <c r="D8218" t="n">
        <v>49196</v>
      </c>
      <c r="E8218" t="inlineStr">
        <is>
          <t>SEC</t>
        </is>
      </c>
    </row>
    <row r="8219">
      <c r="A8219" s="5">
        <f>HYPERLINK("https://finance.yahoo.com/quote/HBANP","HBANP")</f>
        <v/>
      </c>
      <c r="B8219" t="inlineStr">
        <is>
          <t>HUNTINGTON BANCSHARES INC /MD/</t>
        </is>
      </c>
      <c r="C8219" t="inlineStr">
        <is>
          <t>Nasdaq</t>
        </is>
      </c>
      <c r="D8219" t="n">
        <v>49196</v>
      </c>
      <c r="E8219" t="inlineStr">
        <is>
          <t>SEC</t>
        </is>
      </c>
    </row>
    <row r="8220">
      <c r="A8220" s="5">
        <f>HYPERLINK("https://finance.yahoo.com/quote/HBANZ","HBANZ")</f>
        <v/>
      </c>
      <c r="B8220" t="inlineStr">
        <is>
          <t>HUNTINGTON BANCSHARES INC /MD/</t>
        </is>
      </c>
      <c r="C8220" t="inlineStr">
        <is>
          <t>Nasdaq</t>
        </is>
      </c>
      <c r="D8220" t="n">
        <v>49196</v>
      </c>
      <c r="E8220" t="inlineStr">
        <is>
          <t>SEC</t>
        </is>
      </c>
    </row>
    <row r="8221">
      <c r="A8221" s="5">
        <f>HYPERLINK("https://finance.yahoo.com/quote/INPAP","INPAP")</f>
        <v/>
      </c>
      <c r="B8221" t="inlineStr">
        <is>
          <t>INTERNATIONAL PAPER CO /NEW/</t>
        </is>
      </c>
      <c r="C8221" t="inlineStr">
        <is>
          <t>OTC</t>
        </is>
      </c>
      <c r="D8221" t="n">
        <v>51434</v>
      </c>
      <c r="E8221" t="inlineStr">
        <is>
          <t>SEC</t>
        </is>
      </c>
    </row>
    <row r="8222">
      <c r="A8222" s="5">
        <f>HYPERLINK("https://finance.yahoo.com/quote/KYOAY","KYOAY")</f>
        <v/>
      </c>
      <c r="B8222" t="inlineStr">
        <is>
          <t>KYOCERA CORP</t>
        </is>
      </c>
      <c r="C8222" t="inlineStr">
        <is>
          <t>OTC</t>
        </is>
      </c>
      <c r="D8222" t="n">
        <v>57083</v>
      </c>
      <c r="E8222" t="inlineStr">
        <is>
          <t>SEC</t>
        </is>
      </c>
    </row>
    <row r="8223">
      <c r="A8223" s="5">
        <f>HYPERLINK("https://finance.yahoo.com/quote/LNC-PD","LNC-PD")</f>
        <v/>
      </c>
      <c r="B8223" t="inlineStr">
        <is>
          <t>LINCOLN NATIONAL CORP</t>
        </is>
      </c>
      <c r="C8223" t="inlineStr">
        <is>
          <t>NYSE</t>
        </is>
      </c>
      <c r="D8223" t="n">
        <v>59558</v>
      </c>
      <c r="E8223" t="inlineStr">
        <is>
          <t>SEC</t>
        </is>
      </c>
    </row>
    <row r="8224">
      <c r="A8224" s="5">
        <f>HYPERLINK("https://finance.yahoo.com/quote/SLNHP","SLNHP")</f>
        <v/>
      </c>
      <c r="B8224" t="inlineStr">
        <is>
          <t>Soluna Holdings, Inc</t>
        </is>
      </c>
      <c r="C8224" t="inlineStr">
        <is>
          <t>Nasdaq</t>
        </is>
      </c>
      <c r="D8224" t="n">
        <v>64463</v>
      </c>
      <c r="E8224" t="inlineStr">
        <is>
          <t>SEC</t>
        </is>
      </c>
    </row>
    <row r="8225">
      <c r="A8225" s="5">
        <f>HYPERLINK("https://finance.yahoo.com/quote/MSEXP","MSEXP")</f>
        <v/>
      </c>
      <c r="B8225" t="inlineStr">
        <is>
          <t>MIDDLESEX WATER CO</t>
        </is>
      </c>
      <c r="C8225" t="inlineStr">
        <is>
          <t>OTC</t>
        </is>
      </c>
      <c r="D8225" t="n">
        <v>66004</v>
      </c>
      <c r="E8225" t="inlineStr">
        <is>
          <t>SEC</t>
        </is>
      </c>
    </row>
    <row r="8226">
      <c r="A8226" s="5">
        <f>HYPERLINK("https://finance.yahoo.com/quote/MNESP","MNESP")</f>
        <v/>
      </c>
      <c r="B8226" t="inlineStr">
        <is>
          <t>MSA Safety Inc</t>
        </is>
      </c>
      <c r="C8226" t="inlineStr">
        <is>
          <t>OTC</t>
        </is>
      </c>
      <c r="D8226" t="n">
        <v>66570</v>
      </c>
      <c r="E8226" t="inlineStr">
        <is>
          <t>SEC</t>
        </is>
      </c>
    </row>
    <row r="8227">
      <c r="A8227" s="5">
        <f>HYPERLINK("https://finance.yahoo.com/quote/CTGG","CTGG")</f>
        <v/>
      </c>
      <c r="B8227" t="inlineStr">
        <is>
          <t>QWEST CORP</t>
        </is>
      </c>
      <c r="C8227" t="inlineStr">
        <is>
          <t>Nasdaq</t>
        </is>
      </c>
      <c r="D8227" t="n">
        <v>68622</v>
      </c>
      <c r="E8227" t="inlineStr">
        <is>
          <t>SEC</t>
        </is>
      </c>
    </row>
    <row r="8228">
      <c r="A8228" s="5">
        <f>HYPERLINK("https://finance.yahoo.com/quote/CTHH","CTHH")</f>
        <v/>
      </c>
      <c r="B8228" t="inlineStr">
        <is>
          <t>QWEST CORP</t>
        </is>
      </c>
      <c r="C8228" t="inlineStr">
        <is>
          <t>Nasdaq</t>
        </is>
      </c>
      <c r="D8228" t="n">
        <v>68622</v>
      </c>
      <c r="E8228" t="inlineStr">
        <is>
          <t>SEC</t>
        </is>
      </c>
    </row>
    <row r="8229">
      <c r="A8229" s="5">
        <f>HYPERLINK("https://finance.yahoo.com/quote/BAC-PE","BAC-PE")</f>
        <v/>
      </c>
      <c r="B8229" t="inlineStr">
        <is>
          <t>BANK OF AMERICA CORP /DE/</t>
        </is>
      </c>
      <c r="C8229" t="inlineStr">
        <is>
          <t>NYSE</t>
        </is>
      </c>
      <c r="D8229" t="n">
        <v>70858</v>
      </c>
      <c r="E8229" t="inlineStr">
        <is>
          <t>SEC</t>
        </is>
      </c>
    </row>
    <row r="8230">
      <c r="A8230" s="5">
        <f>HYPERLINK("https://finance.yahoo.com/quote/BAC-PL","BAC-PL")</f>
        <v/>
      </c>
      <c r="B8230" t="inlineStr">
        <is>
          <t>BANK OF AMERICA CORP /DE/</t>
        </is>
      </c>
      <c r="C8230" t="inlineStr">
        <is>
          <t>NYSE</t>
        </is>
      </c>
      <c r="D8230" t="n">
        <v>70858</v>
      </c>
      <c r="E8230" t="inlineStr">
        <is>
          <t>SEC</t>
        </is>
      </c>
    </row>
    <row r="8231">
      <c r="A8231" s="5">
        <f>HYPERLINK("https://finance.yahoo.com/quote/BAC-PM","BAC-PM")</f>
        <v/>
      </c>
      <c r="B8231" t="inlineStr">
        <is>
          <t>BANK OF AMERICA CORP /DE/</t>
        </is>
      </c>
      <c r="C8231" t="inlineStr">
        <is>
          <t>NYSE</t>
        </is>
      </c>
      <c r="D8231" t="n">
        <v>70858</v>
      </c>
      <c r="E8231" t="inlineStr">
        <is>
          <t>SEC</t>
        </is>
      </c>
    </row>
    <row r="8232">
      <c r="A8232" s="5">
        <f>HYPERLINK("https://finance.yahoo.com/quote/BAC-PN","BAC-PN")</f>
        <v/>
      </c>
      <c r="B8232" t="inlineStr">
        <is>
          <t>BANK OF AMERICA CORP /DE/</t>
        </is>
      </c>
      <c r="C8232" t="inlineStr">
        <is>
          <t>NYSE</t>
        </is>
      </c>
      <c r="D8232" t="n">
        <v>70858</v>
      </c>
      <c r="E8232" t="inlineStr">
        <is>
          <t>SEC</t>
        </is>
      </c>
    </row>
    <row r="8233">
      <c r="A8233" s="5">
        <f>HYPERLINK("https://finance.yahoo.com/quote/BAC-PO","BAC-PO")</f>
        <v/>
      </c>
      <c r="B8233" t="inlineStr">
        <is>
          <t>BANK OF AMERICA CORP /DE/</t>
        </is>
      </c>
      <c r="C8233" t="inlineStr">
        <is>
          <t>NYSE</t>
        </is>
      </c>
      <c r="D8233" t="n">
        <v>70858</v>
      </c>
      <c r="E8233" t="inlineStr">
        <is>
          <t>SEC</t>
        </is>
      </c>
    </row>
    <row r="8234">
      <c r="A8234" s="5">
        <f>HYPERLINK("https://finance.yahoo.com/quote/BAC-PP","BAC-PP")</f>
        <v/>
      </c>
      <c r="B8234" t="inlineStr">
        <is>
          <t>BANK OF AMERICA CORP /DE/</t>
        </is>
      </c>
      <c r="C8234" t="inlineStr">
        <is>
          <t>NYSE</t>
        </is>
      </c>
      <c r="D8234" t="n">
        <v>70858</v>
      </c>
      <c r="E8234" t="inlineStr">
        <is>
          <t>SEC</t>
        </is>
      </c>
    </row>
    <row r="8235">
      <c r="A8235" s="5">
        <f>HYPERLINK("https://finance.yahoo.com/quote/BAC-PQ","BAC-PQ")</f>
        <v/>
      </c>
      <c r="B8235" t="inlineStr">
        <is>
          <t>BANK OF AMERICA CORP /DE/</t>
        </is>
      </c>
      <c r="C8235" t="inlineStr">
        <is>
          <t>NYSE</t>
        </is>
      </c>
      <c r="D8235" t="n">
        <v>70858</v>
      </c>
      <c r="E8235" t="inlineStr">
        <is>
          <t>SEC</t>
        </is>
      </c>
    </row>
    <row r="8236">
      <c r="A8236" s="5">
        <f>HYPERLINK("https://finance.yahoo.com/quote/BAC-PS","BAC-PS")</f>
        <v/>
      </c>
      <c r="B8236" t="inlineStr">
        <is>
          <t>BANK OF AMERICA CORP /DE/</t>
        </is>
      </c>
      <c r="C8236" t="inlineStr">
        <is>
          <t>NYSE</t>
        </is>
      </c>
      <c r="D8236" t="n">
        <v>70858</v>
      </c>
      <c r="E8236" t="inlineStr">
        <is>
          <t>SEC</t>
        </is>
      </c>
    </row>
    <row r="8237">
      <c r="A8237" s="5">
        <f>HYPERLINK("https://finance.yahoo.com/quote/BACRP","BACRP")</f>
        <v/>
      </c>
      <c r="B8237" t="inlineStr">
        <is>
          <t>BANK OF AMERICA CORP /DE/</t>
        </is>
      </c>
      <c r="C8237" t="inlineStr">
        <is>
          <t>OTC</t>
        </is>
      </c>
      <c r="D8237" t="n">
        <v>70858</v>
      </c>
      <c r="E8237" t="inlineStr">
        <is>
          <t>SEC</t>
        </is>
      </c>
    </row>
    <row r="8238">
      <c r="A8238" s="5">
        <f>HYPERLINK("https://finance.yahoo.com/quote/BML-PH","BML-PH")</f>
        <v/>
      </c>
      <c r="B8238" t="inlineStr">
        <is>
          <t>BANK OF AMERICA CORP /DE/</t>
        </is>
      </c>
      <c r="C8238" t="inlineStr">
        <is>
          <t>NYSE</t>
        </is>
      </c>
      <c r="D8238" t="n">
        <v>70858</v>
      </c>
      <c r="E8238" t="inlineStr">
        <is>
          <t>SEC</t>
        </is>
      </c>
    </row>
    <row r="8239">
      <c r="A8239" s="5">
        <f>HYPERLINK("https://finance.yahoo.com/quote/BML-PJ","BML-PJ")</f>
        <v/>
      </c>
      <c r="B8239" t="inlineStr">
        <is>
          <t>BANK OF AMERICA CORP /DE/</t>
        </is>
      </c>
      <c r="C8239" t="inlineStr">
        <is>
          <t>NYSE</t>
        </is>
      </c>
      <c r="D8239" t="n">
        <v>70858</v>
      </c>
      <c r="E8239" t="inlineStr">
        <is>
          <t>SEC</t>
        </is>
      </c>
    </row>
    <row r="8240">
      <c r="A8240" s="5">
        <f>HYPERLINK("https://finance.yahoo.com/quote/MER-PK","MER-PK")</f>
        <v/>
      </c>
      <c r="B8240" t="inlineStr">
        <is>
          <t>BANK OF AMERICA CORP /DE/</t>
        </is>
      </c>
      <c r="C8240" t="inlineStr">
        <is>
          <t>NYSE</t>
        </is>
      </c>
      <c r="D8240" t="n">
        <v>70858</v>
      </c>
      <c r="E8240" t="inlineStr">
        <is>
          <t>SEC</t>
        </is>
      </c>
    </row>
    <row r="8241">
      <c r="A8241" s="5">
        <f>HYPERLINK("https://finance.yahoo.com/quote/MOVAA","MOVAA")</f>
        <v/>
      </c>
      <c r="B8241" t="inlineStr">
        <is>
          <t>MOVADO GROUP INC</t>
        </is>
      </c>
      <c r="C8241" t="inlineStr">
        <is>
          <t>OTC</t>
        </is>
      </c>
      <c r="D8241" t="n">
        <v>72573</v>
      </c>
      <c r="E8241" t="inlineStr">
        <is>
          <t>SEC</t>
        </is>
      </c>
    </row>
    <row r="8242">
      <c r="A8242" s="5">
        <f>HYPERLINK("https://finance.yahoo.com/quote/XELLL","XELLL")</f>
        <v/>
      </c>
      <c r="B8242" t="inlineStr">
        <is>
          <t>XCEL ENERGY INC</t>
        </is>
      </c>
      <c r="C8242" t="inlineStr">
        <is>
          <t>Nasdaq</t>
        </is>
      </c>
      <c r="D8242" t="n">
        <v>72903</v>
      </c>
      <c r="E8242" t="inlineStr">
        <is>
          <t>SEC</t>
        </is>
      </c>
    </row>
    <row r="8243">
      <c r="A8243" s="5">
        <f>HYPERLINK("https://finance.yahoo.com/quote/WFCNP","WFCNP")</f>
        <v/>
      </c>
      <c r="B8243" t="inlineStr">
        <is>
          <t>WELLS FARGO &amp; COMPANY/MN</t>
        </is>
      </c>
      <c r="C8243" t="inlineStr">
        <is>
          <t>OTC</t>
        </is>
      </c>
      <c r="D8243" t="n">
        <v>72971</v>
      </c>
      <c r="E8243" t="inlineStr">
        <is>
          <t>SEC</t>
        </is>
      </c>
    </row>
    <row r="8244">
      <c r="A8244" s="5">
        <f>HYPERLINK("https://finance.yahoo.com/quote/WFC-PA","WFC-PA")</f>
        <v/>
      </c>
      <c r="B8244" t="inlineStr">
        <is>
          <t>WELLS FARGO &amp; COMPANY/MN</t>
        </is>
      </c>
      <c r="C8244" t="inlineStr">
        <is>
          <t>NYSE</t>
        </is>
      </c>
      <c r="D8244" t="n">
        <v>72971</v>
      </c>
      <c r="E8244" t="inlineStr">
        <is>
          <t>SEC</t>
        </is>
      </c>
    </row>
    <row r="8245">
      <c r="A8245" s="5">
        <f>HYPERLINK("https://finance.yahoo.com/quote/WFC-PD","WFC-PD")</f>
        <v/>
      </c>
      <c r="B8245" t="inlineStr">
        <is>
          <t>WELLS FARGO &amp; COMPANY/MN</t>
        </is>
      </c>
      <c r="C8245" t="inlineStr">
        <is>
          <t>NYSE</t>
        </is>
      </c>
      <c r="D8245" t="n">
        <v>72971</v>
      </c>
      <c r="E8245" t="inlineStr">
        <is>
          <t>SEC</t>
        </is>
      </c>
    </row>
    <row r="8246">
      <c r="A8246" s="5">
        <f>HYPERLINK("https://finance.yahoo.com/quote/WFC-PZ","WFC-PZ")</f>
        <v/>
      </c>
      <c r="B8246" t="inlineStr">
        <is>
          <t>WELLS FARGO &amp; COMPANY/MN</t>
        </is>
      </c>
      <c r="C8246" t="inlineStr">
        <is>
          <t>NYSE</t>
        </is>
      </c>
      <c r="D8246" t="n">
        <v>72971</v>
      </c>
      <c r="E8246" t="inlineStr">
        <is>
          <t>SEC</t>
        </is>
      </c>
    </row>
    <row r="8247">
      <c r="A8247" s="5">
        <f>HYPERLINK("https://finance.yahoo.com/quote/NTRSO","NTRSO")</f>
        <v/>
      </c>
      <c r="B8247" t="inlineStr">
        <is>
          <t>NORTHERN TRUST CORP</t>
        </is>
      </c>
      <c r="C8247" t="inlineStr">
        <is>
          <t>Nasdaq</t>
        </is>
      </c>
      <c r="D8247" t="n">
        <v>73124</v>
      </c>
      <c r="E8247" t="inlineStr">
        <is>
          <t>SEC</t>
        </is>
      </c>
    </row>
    <row r="8248">
      <c r="A8248" s="5">
        <f>HYPERLINK("https://finance.yahoo.com/quote/PBI-PB","PBI-PB")</f>
        <v/>
      </c>
      <c r="B8248" t="inlineStr">
        <is>
          <t>PITNEY BOWES INC /DE/</t>
        </is>
      </c>
      <c r="C8248" t="inlineStr">
        <is>
          <t>NYSE</t>
        </is>
      </c>
      <c r="D8248" t="n">
        <v>78814</v>
      </c>
      <c r="E8248" t="inlineStr">
        <is>
          <t>SEC</t>
        </is>
      </c>
    </row>
    <row r="8249">
      <c r="A8249" s="5">
        <f>HYPERLINK("https://finance.yahoo.com/quote/PNMXO","PNMXO")</f>
        <v/>
      </c>
      <c r="B8249" t="inlineStr">
        <is>
          <t>PUBLIC SERVICE CO OF NEW MEXICO</t>
        </is>
      </c>
      <c r="C8249" t="inlineStr">
        <is>
          <t>OTC</t>
        </is>
      </c>
      <c r="D8249" t="n">
        <v>81023</v>
      </c>
      <c r="E8249" t="inlineStr">
        <is>
          <t>SEC</t>
        </is>
      </c>
    </row>
    <row r="8250">
      <c r="A8250" s="5">
        <f>HYPERLINK("https://finance.yahoo.com/quote/SENEL","SENEL")</f>
        <v/>
      </c>
      <c r="B8250" t="inlineStr">
        <is>
          <t>Seneca Foods Corp</t>
        </is>
      </c>
      <c r="C8250" t="inlineStr">
        <is>
          <t>OTC</t>
        </is>
      </c>
      <c r="D8250" t="n">
        <v>88948</v>
      </c>
      <c r="E8250" t="inlineStr">
        <is>
          <t>SEC</t>
        </is>
      </c>
    </row>
    <row r="8251">
      <c r="A8251" s="5">
        <f>HYPERLINK("https://finance.yahoo.com/quote/SENEM","SENEM")</f>
        <v/>
      </c>
      <c r="B8251" t="inlineStr">
        <is>
          <t>Seneca Foods Corp</t>
        </is>
      </c>
      <c r="C8251" t="inlineStr">
        <is>
          <t>OTC</t>
        </is>
      </c>
      <c r="D8251" t="n">
        <v>88948</v>
      </c>
      <c r="E8251" t="inlineStr">
        <is>
          <t>SEC</t>
        </is>
      </c>
    </row>
    <row r="8252">
      <c r="A8252" s="5">
        <f>HYPERLINK("https://finance.yahoo.com/quote/KEY-PJ","KEY-PJ")</f>
        <v/>
      </c>
      <c r="B8252" t="inlineStr">
        <is>
          <t>KEYCORP /NEW/</t>
        </is>
      </c>
      <c r="C8252" t="inlineStr">
        <is>
          <t>NYSE</t>
        </is>
      </c>
      <c r="D8252" t="n">
        <v>91576</v>
      </c>
      <c r="E8252" t="inlineStr">
        <is>
          <t>SEC</t>
        </is>
      </c>
    </row>
    <row r="8253">
      <c r="A8253" s="5">
        <f>HYPERLINK("https://finance.yahoo.com/quote/KEY-PL","KEY-PL")</f>
        <v/>
      </c>
      <c r="B8253" t="inlineStr">
        <is>
          <t>KEYCORP /NEW/</t>
        </is>
      </c>
      <c r="C8253" t="inlineStr">
        <is>
          <t>NYSE</t>
        </is>
      </c>
      <c r="D8253" t="n">
        <v>91576</v>
      </c>
      <c r="E8253" t="inlineStr">
        <is>
          <t>SEC</t>
        </is>
      </c>
    </row>
    <row r="8254">
      <c r="A8254" s="5">
        <f>HYPERLINK("https://finance.yahoo.com/quote/SCE-PG","SCE-PG")</f>
        <v/>
      </c>
      <c r="B8254" t="inlineStr">
        <is>
          <t>SOUTHERN CALIFORNIA EDISON Co</t>
        </is>
      </c>
      <c r="C8254" t="inlineStr">
        <is>
          <t>NYSE</t>
        </is>
      </c>
      <c r="D8254" t="n">
        <v>92103</v>
      </c>
      <c r="E8254" t="inlineStr">
        <is>
          <t>SEC</t>
        </is>
      </c>
    </row>
    <row r="8255">
      <c r="A8255" s="5">
        <f>HYPERLINK("https://finance.yahoo.com/quote/SCE-PL","SCE-PL")</f>
        <v/>
      </c>
      <c r="B8255" t="inlineStr">
        <is>
          <t>SOUTHERN CALIFORNIA EDISON Co</t>
        </is>
      </c>
      <c r="C8255" t="inlineStr">
        <is>
          <t>NYSE</t>
        </is>
      </c>
      <c r="D8255" t="n">
        <v>92103</v>
      </c>
      <c r="E8255" t="inlineStr">
        <is>
          <t>SEC</t>
        </is>
      </c>
    </row>
    <row r="8256">
      <c r="A8256" s="5">
        <f>HYPERLINK("https://finance.yahoo.com/quote/SCE-PM","SCE-PM")</f>
        <v/>
      </c>
      <c r="B8256" t="inlineStr">
        <is>
          <t>SOUTHERN CALIFORNIA EDISON Co</t>
        </is>
      </c>
      <c r="C8256" t="inlineStr">
        <is>
          <t>NYSE</t>
        </is>
      </c>
      <c r="D8256" t="n">
        <v>92103</v>
      </c>
      <c r="E8256" t="inlineStr">
        <is>
          <t>SEC</t>
        </is>
      </c>
    </row>
    <row r="8257">
      <c r="A8257" s="5">
        <f>HYPERLINK("https://finance.yahoo.com/quote/SCE-PN","SCE-PN")</f>
        <v/>
      </c>
      <c r="B8257" t="inlineStr">
        <is>
          <t>SOUTHERN CALIFORNIA EDISON Co</t>
        </is>
      </c>
      <c r="C8257" t="inlineStr">
        <is>
          <t>NYSE</t>
        </is>
      </c>
      <c r="D8257" t="n">
        <v>92103</v>
      </c>
      <c r="E8257" t="inlineStr">
        <is>
          <t>SEC</t>
        </is>
      </c>
    </row>
    <row r="8258">
      <c r="A8258" s="5">
        <f>HYPERLINK("https://finance.yahoo.com/quote/SOJD","SOJD")</f>
        <v/>
      </c>
      <c r="B8258" t="inlineStr">
        <is>
          <t>SOUTHERN CO</t>
        </is>
      </c>
      <c r="C8258" t="inlineStr">
        <is>
          <t>NYSE</t>
        </is>
      </c>
      <c r="D8258" t="n">
        <v>92122</v>
      </c>
      <c r="E8258" t="inlineStr">
        <is>
          <t>SEC</t>
        </is>
      </c>
    </row>
    <row r="8259">
      <c r="A8259" s="5">
        <f>HYPERLINK("https://finance.yahoo.com/quote/SOJE","SOJE")</f>
        <v/>
      </c>
      <c r="B8259" t="inlineStr">
        <is>
          <t>SOUTHERN CO</t>
        </is>
      </c>
      <c r="C8259" t="inlineStr">
        <is>
          <t>NYSE</t>
        </is>
      </c>
      <c r="D8259" t="n">
        <v>92122</v>
      </c>
      <c r="E8259" t="inlineStr">
        <is>
          <t>SEC</t>
        </is>
      </c>
    </row>
    <row r="8260">
      <c r="A8260" s="5">
        <f>HYPERLINK("https://finance.yahoo.com/quote/SOJF","SOJF")</f>
        <v/>
      </c>
      <c r="B8260" t="inlineStr">
        <is>
          <t>SOUTHERN CO</t>
        </is>
      </c>
      <c r="C8260" t="inlineStr">
        <is>
          <t>NYSE</t>
        </is>
      </c>
      <c r="D8260" t="n">
        <v>92122</v>
      </c>
      <c r="E8260" t="inlineStr">
        <is>
          <t>SEC</t>
        </is>
      </c>
    </row>
    <row r="8261">
      <c r="A8261" s="5">
        <f>HYPERLINK("https://finance.yahoo.com/quote/SOMN","SOMN")</f>
        <v/>
      </c>
      <c r="B8261" t="inlineStr">
        <is>
          <t>SOUTHERN CO</t>
        </is>
      </c>
      <c r="C8261" t="inlineStr">
        <is>
          <t>NYSE</t>
        </is>
      </c>
      <c r="D8261" t="n">
        <v>92122</v>
      </c>
      <c r="E8261" t="inlineStr">
        <is>
          <t>SEC</t>
        </is>
      </c>
    </row>
    <row r="8262">
      <c r="A8262" s="5">
        <f>HYPERLINK("https://finance.yahoo.com/quote/TFC-PI","TFC-PI")</f>
        <v/>
      </c>
      <c r="B8262" t="inlineStr">
        <is>
          <t>TRUIST FINANCIAL CORP</t>
        </is>
      </c>
      <c r="C8262" t="inlineStr">
        <is>
          <t>NYSE</t>
        </is>
      </c>
      <c r="D8262" t="n">
        <v>92230</v>
      </c>
      <c r="E8262" t="inlineStr">
        <is>
          <t>SEC</t>
        </is>
      </c>
    </row>
    <row r="8263">
      <c r="A8263" s="5">
        <f>HYPERLINK("https://finance.yahoo.com/quote/TFC-PO","TFC-PO")</f>
        <v/>
      </c>
      <c r="B8263" t="inlineStr">
        <is>
          <t>TRUIST FINANCIAL CORP</t>
        </is>
      </c>
      <c r="C8263" t="inlineStr">
        <is>
          <t>NYSE</t>
        </is>
      </c>
      <c r="D8263" t="n">
        <v>92230</v>
      </c>
      <c r="E8263" t="inlineStr">
        <is>
          <t>SEC</t>
        </is>
      </c>
    </row>
    <row r="8264">
      <c r="A8264" s="5">
        <f>HYPERLINK("https://finance.yahoo.com/quote/TFC-PR","TFC-PR")</f>
        <v/>
      </c>
      <c r="B8264" t="inlineStr">
        <is>
          <t>TRUIST FINANCIAL CORP</t>
        </is>
      </c>
      <c r="C8264" t="inlineStr">
        <is>
          <t>NYSE</t>
        </is>
      </c>
      <c r="D8264" t="n">
        <v>92230</v>
      </c>
      <c r="E8264" t="inlineStr">
        <is>
          <t>SEC</t>
        </is>
      </c>
    </row>
    <row r="8265">
      <c r="A8265" s="5">
        <f>HYPERLINK("https://finance.yahoo.com/quote/SRGBF","SRGBF")</f>
        <v/>
      </c>
      <c r="B8265" t="inlineStr">
        <is>
          <t>SURUGA BANK LTD/ADR/</t>
        </is>
      </c>
      <c r="C8265" t="inlineStr">
        <is>
          <t>OTC</t>
        </is>
      </c>
      <c r="D8265" t="n">
        <v>95666</v>
      </c>
      <c r="E8265" t="inlineStr">
        <is>
          <t>SEC</t>
        </is>
      </c>
    </row>
    <row r="8266">
      <c r="A8266" s="5">
        <f>HYPERLINK("https://finance.yahoo.com/quote/TDDWW","TDDWW")</f>
        <v/>
      </c>
      <c r="B8266" t="inlineStr">
        <is>
          <t>TIDEWATER INC</t>
        </is>
      </c>
      <c r="C8266" t="inlineStr">
        <is>
          <t>OTC</t>
        </is>
      </c>
      <c r="D8266" t="n">
        <v>98222</v>
      </c>
      <c r="E8266" t="inlineStr">
        <is>
          <t>SEC</t>
        </is>
      </c>
    </row>
    <row r="8267">
      <c r="A8267" s="5">
        <f>HYPERLINK("https://finance.yahoo.com/quote/TDGMW","TDGMW")</f>
        <v/>
      </c>
      <c r="B8267" t="inlineStr">
        <is>
          <t>TIDEWATER INC</t>
        </is>
      </c>
      <c r="C8267" t="inlineStr">
        <is>
          <t>OTC</t>
        </is>
      </c>
      <c r="D8267" t="n">
        <v>98222</v>
      </c>
      <c r="E8267" t="inlineStr">
        <is>
          <t>SEC</t>
        </is>
      </c>
    </row>
    <row r="8268">
      <c r="A8268" s="5">
        <f>HYPERLINK("https://finance.yahoo.com/quote/TCPA","TCPA")</f>
        <v/>
      </c>
      <c r="B8268" t="inlineStr">
        <is>
          <t>TRANSCANADA PIPELINES LTD</t>
        </is>
      </c>
      <c r="C8268" t="inlineStr">
        <is>
          <t>NYSE</t>
        </is>
      </c>
      <c r="D8268" t="n">
        <v>99070</v>
      </c>
      <c r="E8268" t="inlineStr">
        <is>
          <t>SEC</t>
        </is>
      </c>
    </row>
    <row r="8269">
      <c r="A8269" s="5">
        <f>HYPERLINK("https://finance.yahoo.com/quote/UEPCO","UEPCO")</f>
        <v/>
      </c>
      <c r="B8269" t="inlineStr">
        <is>
          <t>UNION ELECTRIC CO</t>
        </is>
      </c>
      <c r="C8269" t="inlineStr">
        <is>
          <t>OTC</t>
        </is>
      </c>
      <c r="D8269" t="n">
        <v>100826</v>
      </c>
      <c r="E8269" t="inlineStr">
        <is>
          <t>SEC</t>
        </is>
      </c>
    </row>
    <row r="8270">
      <c r="A8270" s="5">
        <f>HYPERLINK("https://finance.yahoo.com/quote/UEPEM","UEPEM")</f>
        <v/>
      </c>
      <c r="B8270" t="inlineStr">
        <is>
          <t>UNION ELECTRIC CO</t>
        </is>
      </c>
      <c r="C8270" t="inlineStr">
        <is>
          <t>OTC</t>
        </is>
      </c>
      <c r="D8270" t="n">
        <v>100826</v>
      </c>
      <c r="E8270" t="inlineStr">
        <is>
          <t>SEC</t>
        </is>
      </c>
    </row>
    <row r="8271">
      <c r="A8271" s="5">
        <f>HYPERLINK("https://finance.yahoo.com/quote/UMBFO","UMBFO")</f>
        <v/>
      </c>
      <c r="B8271" t="inlineStr">
        <is>
          <t>UMB FINANCIAL CORP</t>
        </is>
      </c>
      <c r="C8271" t="inlineStr">
        <is>
          <t>Nasdaq</t>
        </is>
      </c>
      <c r="D8271" t="n">
        <v>101382</v>
      </c>
      <c r="E8271" t="inlineStr">
        <is>
          <t>SEC</t>
        </is>
      </c>
    </row>
    <row r="8272">
      <c r="A8272" s="5">
        <f>HYPERLINK("https://finance.yahoo.com/quote/UUU","UUU")</f>
        <v/>
      </c>
      <c r="B8272" t="inlineStr">
        <is>
          <t>DeFi Capital Markets, Inc.</t>
        </is>
      </c>
      <c r="C8272" t="inlineStr">
        <is>
          <t>NYSE</t>
        </is>
      </c>
      <c r="D8272" t="n">
        <v>102109</v>
      </c>
      <c r="E8272" t="inlineStr">
        <is>
          <t>SEC</t>
        </is>
      </c>
    </row>
    <row r="8273">
      <c r="A8273" s="5">
        <f>HYPERLINK("https://finance.yahoo.com/quote/VSECU","VSECU")</f>
        <v/>
      </c>
      <c r="B8273" t="inlineStr">
        <is>
          <t>VSE CORP</t>
        </is>
      </c>
      <c r="C8273" t="inlineStr">
        <is>
          <t>Nasdaq</t>
        </is>
      </c>
      <c r="D8273" t="n">
        <v>102752</v>
      </c>
      <c r="E8273" t="inlineStr">
        <is>
          <t>SEC</t>
        </is>
      </c>
    </row>
    <row r="8274">
      <c r="A8274" s="5">
        <f>HYPERLINK("https://finance.yahoo.com/quote/WHR-PA","WHR-PA")</f>
        <v/>
      </c>
      <c r="B8274" t="inlineStr">
        <is>
          <t>WHIRLPOOL CORP /DE/</t>
        </is>
      </c>
      <c r="C8274" t="inlineStr">
        <is>
          <t>NYSE</t>
        </is>
      </c>
      <c r="D8274" t="n">
        <v>106640</v>
      </c>
      <c r="E8274" t="inlineStr">
        <is>
          <t>SEC</t>
        </is>
      </c>
    </row>
    <row r="8275">
      <c r="A8275" s="5">
        <f>HYPERLINK("https://finance.yahoo.com/quote/WELPM","WELPM")</f>
        <v/>
      </c>
      <c r="B8275" t="inlineStr">
        <is>
          <t>WISCONSIN ELECTRIC POWER CO</t>
        </is>
      </c>
      <c r="C8275" t="inlineStr">
        <is>
          <t>OTC</t>
        </is>
      </c>
      <c r="D8275" t="n">
        <v>107815</v>
      </c>
      <c r="E8275" t="inlineStr">
        <is>
          <t>SEC</t>
        </is>
      </c>
    </row>
    <row r="8276">
      <c r="A8276" s="5">
        <f>HYPERLINK("https://finance.yahoo.com/quote/ZIONP","ZIONP")</f>
        <v/>
      </c>
      <c r="B8276" t="inlineStr">
        <is>
          <t>ZIONS BANCORPORATION, NATIONAL ASSOCIATION /UT/</t>
        </is>
      </c>
      <c r="C8276" t="inlineStr">
        <is>
          <t>Nasdaq</t>
        </is>
      </c>
      <c r="D8276" t="n">
        <v>109380</v>
      </c>
      <c r="E8276" t="inlineStr">
        <is>
          <t>SEC</t>
        </is>
      </c>
    </row>
    <row r="8277">
      <c r="A8277" s="5">
        <f>HYPERLINK("https://finance.yahoo.com/quote/WSBCO","WSBCO")</f>
        <v/>
      </c>
      <c r="B8277" t="inlineStr">
        <is>
          <t>WESBANCO INC</t>
        </is>
      </c>
      <c r="C8277" t="inlineStr">
        <is>
          <t>Nasdaq</t>
        </is>
      </c>
      <c r="D8277" t="n">
        <v>203596</v>
      </c>
      <c r="E8277" t="inlineStr">
        <is>
          <t>SEC</t>
        </is>
      </c>
    </row>
    <row r="8278">
      <c r="A8278" s="5">
        <f>HYPERLINK("https://finance.yahoo.com/quote/SIGIP","SIGIP")</f>
        <v/>
      </c>
      <c r="B8278" t="inlineStr">
        <is>
          <t>SELECTIVE INSURANCE GROUP INC</t>
        </is>
      </c>
      <c r="C8278" t="inlineStr">
        <is>
          <t>Nasdaq</t>
        </is>
      </c>
      <c r="D8278" t="n">
        <v>230557</v>
      </c>
      <c r="E8278" t="inlineStr">
        <is>
          <t>SEC</t>
        </is>
      </c>
    </row>
    <row r="8279">
      <c r="A8279" s="5">
        <f>HYPERLINK("https://finance.yahoo.com/quote/FNMAH","FNMAH")</f>
        <v/>
      </c>
      <c r="B8279" t="inlineStr">
        <is>
          <t>FEDERAL NATIONAL MORTGAGE ASSOCIATION FANNIE MAE</t>
        </is>
      </c>
      <c r="C8279" t="inlineStr">
        <is>
          <t>OTC</t>
        </is>
      </c>
      <c r="D8279" t="n">
        <v>310522</v>
      </c>
      <c r="E8279" t="inlineStr">
        <is>
          <t>SEC</t>
        </is>
      </c>
    </row>
    <row r="8280">
      <c r="A8280" s="5">
        <f>HYPERLINK("https://finance.yahoo.com/quote/FNMAJ","FNMAJ")</f>
        <v/>
      </c>
      <c r="B8280" t="inlineStr">
        <is>
          <t>FEDERAL NATIONAL MORTGAGE ASSOCIATION FANNIE MAE</t>
        </is>
      </c>
      <c r="C8280" t="inlineStr">
        <is>
          <t>OTC</t>
        </is>
      </c>
      <c r="D8280" t="n">
        <v>310522</v>
      </c>
      <c r="E8280" t="inlineStr">
        <is>
          <t>SEC</t>
        </is>
      </c>
    </row>
    <row r="8281">
      <c r="A8281" s="5">
        <f>HYPERLINK("https://finance.yahoo.com/quote/FNMAP","FNMAP")</f>
        <v/>
      </c>
      <c r="B8281" t="inlineStr">
        <is>
          <t>FEDERAL NATIONAL MORTGAGE ASSOCIATION FANNIE MAE</t>
        </is>
      </c>
      <c r="C8281" t="inlineStr">
        <is>
          <t>OTC</t>
        </is>
      </c>
      <c r="D8281" t="n">
        <v>310522</v>
      </c>
      <c r="E8281" t="inlineStr">
        <is>
          <t>SEC</t>
        </is>
      </c>
    </row>
    <row r="8282">
      <c r="A8282" s="5">
        <f>HYPERLINK("https://finance.yahoo.com/quote/FNMAS","FNMAS")</f>
        <v/>
      </c>
      <c r="B8282" t="inlineStr">
        <is>
          <t>FEDERAL NATIONAL MORTGAGE ASSOCIATION FANNIE MAE</t>
        </is>
      </c>
      <c r="C8282" t="inlineStr">
        <is>
          <t>OTC</t>
        </is>
      </c>
      <c r="D8282" t="n">
        <v>310522</v>
      </c>
      <c r="E8282" t="inlineStr">
        <is>
          <t>SEC</t>
        </is>
      </c>
    </row>
    <row r="8283">
      <c r="A8283" s="5">
        <f>HYPERLINK("https://finance.yahoo.com/quote/ATMP","ATMP")</f>
        <v/>
      </c>
      <c r="B8283" t="inlineStr">
        <is>
          <t>BARCLAYS BANK PLC</t>
        </is>
      </c>
      <c r="C8283" t="inlineStr">
        <is>
          <t>CBOE</t>
        </is>
      </c>
      <c r="D8283" t="n">
        <v>312070</v>
      </c>
      <c r="E8283" t="inlineStr">
        <is>
          <t>SEC</t>
        </is>
      </c>
    </row>
    <row r="8284">
      <c r="A8284" s="5">
        <f>HYPERLINK("https://finance.yahoo.com/quote/BWVTF","BWVTF")</f>
        <v/>
      </c>
      <c r="B8284" t="inlineStr">
        <is>
          <t>BARCLAYS BANK PLC</t>
        </is>
      </c>
      <c r="C8284" t="inlineStr">
        <is>
          <t>OTC</t>
        </is>
      </c>
      <c r="D8284" t="n">
        <v>312070</v>
      </c>
      <c r="E8284" t="inlineStr">
        <is>
          <t>SEC</t>
        </is>
      </c>
    </row>
    <row r="8285">
      <c r="A8285" s="5">
        <f>HYPERLINK("https://finance.yahoo.com/quote/DJP","DJP")</f>
        <v/>
      </c>
      <c r="B8285" t="inlineStr">
        <is>
          <t>BARCLAYS BANK PLC</t>
        </is>
      </c>
      <c r="C8285" t="inlineStr">
        <is>
          <t>NYSE</t>
        </is>
      </c>
      <c r="D8285" t="n">
        <v>312070</v>
      </c>
      <c r="E8285" t="inlineStr">
        <is>
          <t>SEC</t>
        </is>
      </c>
    </row>
    <row r="8286">
      <c r="A8286" s="5">
        <f>HYPERLINK("https://finance.yahoo.com/quote/GBUG","GBUG")</f>
        <v/>
      </c>
      <c r="B8286" t="inlineStr">
        <is>
          <t>BARCLAYS BANK PLC</t>
        </is>
      </c>
      <c r="C8286" t="inlineStr">
        <is>
          <t>Nasdaq</t>
        </is>
      </c>
      <c r="D8286" t="n">
        <v>312070</v>
      </c>
      <c r="E8286" t="inlineStr">
        <is>
          <t>SEC</t>
        </is>
      </c>
    </row>
    <row r="8287">
      <c r="A8287" s="5">
        <f>HYPERLINK("https://finance.yahoo.com/quote/GRN","GRN")</f>
        <v/>
      </c>
      <c r="B8287" t="inlineStr">
        <is>
          <t>BARCLAYS BANK PLC</t>
        </is>
      </c>
      <c r="C8287" t="inlineStr">
        <is>
          <t>NYSE</t>
        </is>
      </c>
      <c r="D8287" t="n">
        <v>312070</v>
      </c>
      <c r="E8287" t="inlineStr">
        <is>
          <t>SEC</t>
        </is>
      </c>
    </row>
    <row r="8288">
      <c r="A8288" s="5">
        <f>HYPERLINK("https://finance.yahoo.com/quote/JJETF","JJETF")</f>
        <v/>
      </c>
      <c r="B8288" t="inlineStr">
        <is>
          <t>BARCLAYS BANK PLC</t>
        </is>
      </c>
      <c r="C8288" t="inlineStr">
        <is>
          <t>OTC</t>
        </is>
      </c>
      <c r="D8288" t="n">
        <v>312070</v>
      </c>
      <c r="E8288" t="inlineStr">
        <is>
          <t>SEC</t>
        </is>
      </c>
    </row>
    <row r="8289">
      <c r="A8289" s="5">
        <f>HYPERLINK("https://finance.yahoo.com/quote/TAPR","TAPR")</f>
        <v/>
      </c>
      <c r="B8289" t="inlineStr">
        <is>
          <t>BARCLAYS BANK PLC</t>
        </is>
      </c>
      <c r="C8289" t="inlineStr">
        <is>
          <t>CBOE</t>
        </is>
      </c>
      <c r="D8289" t="n">
        <v>312070</v>
      </c>
      <c r="E8289" t="inlineStr">
        <is>
          <t>SEC</t>
        </is>
      </c>
    </row>
    <row r="8290">
      <c r="A8290" s="5">
        <f>HYPERLINK("https://finance.yahoo.com/quote/VXX","VXX")</f>
        <v/>
      </c>
      <c r="B8290" t="inlineStr">
        <is>
          <t>BARCLAYS BANK PLC</t>
        </is>
      </c>
      <c r="C8290" t="inlineStr">
        <is>
          <t>CBOE</t>
        </is>
      </c>
      <c r="D8290" t="n">
        <v>312070</v>
      </c>
      <c r="E8290" t="inlineStr">
        <is>
          <t>SEC</t>
        </is>
      </c>
    </row>
    <row r="8291">
      <c r="A8291" s="5">
        <f>HYPERLINK("https://finance.yahoo.com/quote/VXZ","VXZ")</f>
        <v/>
      </c>
      <c r="B8291" t="inlineStr">
        <is>
          <t>BARCLAYS BANK PLC</t>
        </is>
      </c>
      <c r="C8291" t="inlineStr">
        <is>
          <t>CBOE</t>
        </is>
      </c>
      <c r="D8291" t="n">
        <v>312070</v>
      </c>
      <c r="E8291" t="inlineStr">
        <is>
          <t>SEC</t>
        </is>
      </c>
    </row>
    <row r="8292">
      <c r="A8292" s="5">
        <f>HYPERLINK("https://finance.yahoo.com/quote/BPPFF","BPPFF")</f>
        <v/>
      </c>
      <c r="B8292" t="inlineStr">
        <is>
          <t>BP PLC</t>
        </is>
      </c>
      <c r="C8292" t="inlineStr">
        <is>
          <t>OTC</t>
        </is>
      </c>
      <c r="D8292" t="n">
        <v>313807</v>
      </c>
      <c r="E8292" t="inlineStr">
        <is>
          <t>SEC</t>
        </is>
      </c>
    </row>
    <row r="8293">
      <c r="A8293" s="5">
        <f>HYPERLINK("https://finance.yahoo.com/quote/BUSEP","BUSEP")</f>
        <v/>
      </c>
      <c r="B8293" t="inlineStr">
        <is>
          <t>FIRST BUSEY CORP /NV/</t>
        </is>
      </c>
      <c r="C8293" t="inlineStr">
        <is>
          <t>Nasdaq</t>
        </is>
      </c>
      <c r="D8293" t="n">
        <v>314489</v>
      </c>
      <c r="E8293" t="inlineStr">
        <is>
          <t>SEC</t>
        </is>
      </c>
    </row>
    <row r="8294">
      <c r="A8294" s="5">
        <f>HYPERLINK("https://finance.yahoo.com/quote/VAL-WT","VAL-WT")</f>
        <v/>
      </c>
      <c r="B8294" t="inlineStr">
        <is>
          <t>Valaris Ltd</t>
        </is>
      </c>
      <c r="C8294" t="inlineStr">
        <is>
          <t>NYSE</t>
        </is>
      </c>
      <c r="D8294" t="n">
        <v>314808</v>
      </c>
      <c r="E8294" t="inlineStr">
        <is>
          <t>SEC</t>
        </is>
      </c>
    </row>
    <row r="8295">
      <c r="A8295" s="5">
        <f>HYPERLINK("https://finance.yahoo.com/quote/SCHW-PD","SCHW-PD")</f>
        <v/>
      </c>
      <c r="B8295" t="inlineStr">
        <is>
          <t>SCHWAB CHARLES CORP</t>
        </is>
      </c>
      <c r="C8295" t="inlineStr">
        <is>
          <t>NYSE</t>
        </is>
      </c>
      <c r="D8295" t="n">
        <v>316709</v>
      </c>
      <c r="E8295" t="inlineStr">
        <is>
          <t>SEC</t>
        </is>
      </c>
    </row>
    <row r="8296">
      <c r="A8296" s="5">
        <f>HYPERLINK("https://finance.yahoo.com/quote/SCHW-PJ","SCHW-PJ")</f>
        <v/>
      </c>
      <c r="B8296" t="inlineStr">
        <is>
          <t>SCHWAB CHARLES CORP</t>
        </is>
      </c>
      <c r="C8296" t="inlineStr">
        <is>
          <t>NYSE</t>
        </is>
      </c>
      <c r="D8296" t="n">
        <v>316709</v>
      </c>
      <c r="E8296" t="inlineStr">
        <is>
          <t>SEC</t>
        </is>
      </c>
    </row>
    <row r="8297">
      <c r="A8297" s="5">
        <f>HYPERLINK("https://finance.yahoo.com/quote/GL-PD","GL-PD")</f>
        <v/>
      </c>
      <c r="B8297" t="inlineStr">
        <is>
          <t>GLOBE LIFE INC.</t>
        </is>
      </c>
      <c r="C8297" t="inlineStr">
        <is>
          <t>NYSE</t>
        </is>
      </c>
      <c r="D8297" t="n">
        <v>320335</v>
      </c>
      <c r="E8297" t="inlineStr">
        <is>
          <t>SEC</t>
        </is>
      </c>
    </row>
    <row r="8298">
      <c r="A8298" s="5">
        <f>HYPERLINK("https://finance.yahoo.com/quote/AIRTP","AIRTP")</f>
        <v/>
      </c>
      <c r="B8298" t="inlineStr">
        <is>
          <t>AIR T INC</t>
        </is>
      </c>
      <c r="C8298" t="inlineStr">
        <is>
          <t>Nasdaq</t>
        </is>
      </c>
      <c r="D8298" t="n">
        <v>353184</v>
      </c>
      <c r="E8298" t="inlineStr">
        <is>
          <t>SEC</t>
        </is>
      </c>
    </row>
    <row r="8299">
      <c r="A8299" s="5">
        <f>HYPERLINK("https://finance.yahoo.com/quote/TYOYF","TYOYF")</f>
        <v/>
      </c>
      <c r="B8299" t="inlineStr">
        <is>
          <t>TAIYO YUDEN CO LTD /ADR/</t>
        </is>
      </c>
      <c r="C8299" t="inlineStr">
        <is>
          <t>OTC</t>
        </is>
      </c>
      <c r="D8299" t="n">
        <v>354516</v>
      </c>
      <c r="E8299" t="inlineStr">
        <is>
          <t>SEC</t>
        </is>
      </c>
    </row>
    <row r="8300">
      <c r="A8300" s="5">
        <f>HYPERLINK("https://finance.yahoo.com/quote/HOVNP","HOVNP")</f>
        <v/>
      </c>
      <c r="B8300" t="inlineStr">
        <is>
          <t>HOVNANIAN ENTERPRISES INC</t>
        </is>
      </c>
      <c r="C8300" t="inlineStr">
        <is>
          <t>Nasdaq</t>
        </is>
      </c>
      <c r="D8300" t="n">
        <v>357294</v>
      </c>
      <c r="E8300" t="inlineStr">
        <is>
          <t>SEC</t>
        </is>
      </c>
    </row>
    <row r="8301">
      <c r="A8301" s="5">
        <f>HYPERLINK("https://finance.yahoo.com/quote/FULTP","FULTP")</f>
        <v/>
      </c>
      <c r="B8301" t="inlineStr">
        <is>
          <t>FULTON FINANCIAL CORP</t>
        </is>
      </c>
      <c r="C8301" t="inlineStr">
        <is>
          <t>Nasdaq</t>
        </is>
      </c>
      <c r="D8301" t="n">
        <v>700564</v>
      </c>
      <c r="E8301" t="inlineStr">
        <is>
          <t>SEC</t>
        </is>
      </c>
    </row>
    <row r="8302">
      <c r="A8302" s="5">
        <f>HYPERLINK("https://finance.yahoo.com/quote/KGCRF","KGCRF")</f>
        <v/>
      </c>
      <c r="B8302" t="inlineStr">
        <is>
          <t>KINROSS GOLD CORP</t>
        </is>
      </c>
      <c r="C8302" t="inlineStr">
        <is>
          <t>OTC</t>
        </is>
      </c>
      <c r="D8302" t="n">
        <v>701818</v>
      </c>
      <c r="E8302" t="inlineStr">
        <is>
          <t>SEC</t>
        </is>
      </c>
    </row>
    <row r="8303">
      <c r="A8303" s="5">
        <f>HYPERLINK("https://finance.yahoo.com/quote/ONBPO","ONBPO")</f>
        <v/>
      </c>
      <c r="B8303" t="inlineStr">
        <is>
          <t>OLD NATIONAL BANCORP /IN/</t>
        </is>
      </c>
      <c r="C8303" t="inlineStr">
        <is>
          <t>Nasdaq</t>
        </is>
      </c>
      <c r="D8303" t="n">
        <v>707179</v>
      </c>
      <c r="E8303" t="inlineStr">
        <is>
          <t>SEC</t>
        </is>
      </c>
    </row>
    <row r="8304">
      <c r="A8304" s="5">
        <f>HYPERLINK("https://finance.yahoo.com/quote/ONBPP","ONBPP")</f>
        <v/>
      </c>
      <c r="B8304" t="inlineStr">
        <is>
          <t>OLD NATIONAL BANCORP /IN/</t>
        </is>
      </c>
      <c r="C8304" t="inlineStr">
        <is>
          <t>Nasdaq</t>
        </is>
      </c>
      <c r="D8304" t="n">
        <v>707179</v>
      </c>
      <c r="E8304" t="inlineStr">
        <is>
          <t>SEC</t>
        </is>
      </c>
    </row>
    <row r="8305">
      <c r="A8305" s="5">
        <f>HYPERLINK("https://finance.yahoo.com/quote/FRMEP","FRMEP")</f>
        <v/>
      </c>
      <c r="B8305" t="inlineStr">
        <is>
          <t>FIRST MERCHANTS CORP</t>
        </is>
      </c>
      <c r="C8305" t="inlineStr">
        <is>
          <t>Nasdaq</t>
        </is>
      </c>
      <c r="D8305" t="n">
        <v>712534</v>
      </c>
      <c r="E8305" t="inlineStr">
        <is>
          <t>SEC</t>
        </is>
      </c>
    </row>
    <row r="8306">
      <c r="A8306" s="5">
        <f>HYPERLINK("https://finance.yahoo.com/quote/CNOBP","CNOBP")</f>
        <v/>
      </c>
      <c r="B8306" t="inlineStr">
        <is>
          <t>ConnectOne Bancorp, Inc.</t>
        </is>
      </c>
      <c r="C8306" t="inlineStr">
        <is>
          <t>Nasdaq</t>
        </is>
      </c>
      <c r="D8306" t="n">
        <v>712771</v>
      </c>
      <c r="E8306" t="inlineStr">
        <is>
          <t>SEC</t>
        </is>
      </c>
    </row>
    <row r="8307">
      <c r="A8307" s="5">
        <f>HYPERLINK("https://finance.yahoo.com/quote/VLYPN","VLYPN")</f>
        <v/>
      </c>
      <c r="B8307" t="inlineStr">
        <is>
          <t>VALLEY NATIONAL BANCORP</t>
        </is>
      </c>
      <c r="C8307" t="inlineStr">
        <is>
          <t>Nasdaq</t>
        </is>
      </c>
      <c r="D8307" t="n">
        <v>714310</v>
      </c>
      <c r="E8307" t="inlineStr">
        <is>
          <t>SEC</t>
        </is>
      </c>
    </row>
    <row r="8308">
      <c r="A8308" s="5">
        <f>HYPERLINK("https://finance.yahoo.com/quote/BCAEF","BCAEF")</f>
        <v/>
      </c>
      <c r="B8308" t="inlineStr">
        <is>
          <t>BCE INC</t>
        </is>
      </c>
      <c r="C8308" t="inlineStr">
        <is>
          <t>OTC</t>
        </is>
      </c>
      <c r="D8308" t="n">
        <v>718940</v>
      </c>
      <c r="E8308" t="inlineStr">
        <is>
          <t>SEC</t>
        </is>
      </c>
    </row>
    <row r="8309">
      <c r="A8309" s="5">
        <f>HYPERLINK("https://finance.yahoo.com/quote/BCEFF","BCEFF")</f>
        <v/>
      </c>
      <c r="B8309" t="inlineStr">
        <is>
          <t>BCE INC</t>
        </is>
      </c>
      <c r="C8309" t="inlineStr">
        <is>
          <t>OTC</t>
        </is>
      </c>
      <c r="D8309" t="n">
        <v>718940</v>
      </c>
      <c r="E8309" t="inlineStr">
        <is>
          <t>SEC</t>
        </is>
      </c>
    </row>
    <row r="8310">
      <c r="A8310" s="5">
        <f>HYPERLINK("https://finance.yahoo.com/quote/BCEIF","BCEIF")</f>
        <v/>
      </c>
      <c r="B8310" t="inlineStr">
        <is>
          <t>BCE INC</t>
        </is>
      </c>
      <c r="C8310" t="inlineStr">
        <is>
          <t>OTC</t>
        </is>
      </c>
      <c r="D8310" t="n">
        <v>718940</v>
      </c>
      <c r="E8310" t="inlineStr">
        <is>
          <t>SEC</t>
        </is>
      </c>
    </row>
    <row r="8311">
      <c r="A8311" s="5">
        <f>HYPERLINK("https://finance.yahoo.com/quote/BCENF","BCENF")</f>
        <v/>
      </c>
      <c r="B8311" t="inlineStr">
        <is>
          <t>BCE INC</t>
        </is>
      </c>
      <c r="C8311" t="inlineStr">
        <is>
          <t>OTC</t>
        </is>
      </c>
      <c r="D8311" t="n">
        <v>718940</v>
      </c>
      <c r="E8311" t="inlineStr">
        <is>
          <t>SEC</t>
        </is>
      </c>
    </row>
    <row r="8312">
      <c r="A8312" s="5">
        <f>HYPERLINK("https://finance.yahoo.com/quote/BCEPF","BCEPF")</f>
        <v/>
      </c>
      <c r="B8312" t="inlineStr">
        <is>
          <t>BCE INC</t>
        </is>
      </c>
      <c r="C8312" t="inlineStr">
        <is>
          <t>OTC</t>
        </is>
      </c>
      <c r="D8312" t="n">
        <v>718940</v>
      </c>
      <c r="E8312" t="inlineStr">
        <is>
          <t>SEC</t>
        </is>
      </c>
    </row>
    <row r="8313">
      <c r="A8313" s="5">
        <f>HYPERLINK("https://finance.yahoo.com/quote/BCEXF","BCEXF")</f>
        <v/>
      </c>
      <c r="B8313" t="inlineStr">
        <is>
          <t>BCE INC</t>
        </is>
      </c>
      <c r="C8313" t="inlineStr">
        <is>
          <t>OTC</t>
        </is>
      </c>
      <c r="D8313" t="n">
        <v>718940</v>
      </c>
      <c r="E8313" t="inlineStr">
        <is>
          <t>SEC</t>
        </is>
      </c>
    </row>
    <row r="8314">
      <c r="A8314" s="5">
        <f>HYPERLINK("https://finance.yahoo.com/quote/BCPPF","BCPPF")</f>
        <v/>
      </c>
      <c r="B8314" t="inlineStr">
        <is>
          <t>BCE INC</t>
        </is>
      </c>
      <c r="C8314" t="inlineStr">
        <is>
          <t>OTC</t>
        </is>
      </c>
      <c r="D8314" t="n">
        <v>718940</v>
      </c>
      <c r="E8314" t="inlineStr">
        <is>
          <t>SEC</t>
        </is>
      </c>
    </row>
    <row r="8315">
      <c r="A8315" s="5">
        <f>HYPERLINK("https://finance.yahoo.com/quote/WBKCY","WBKCY")</f>
        <v/>
      </c>
      <c r="B8315" t="inlineStr">
        <is>
          <t>WESTPAC BANKING CORP</t>
        </is>
      </c>
      <c r="C8315" t="inlineStr">
        <is>
          <t>OTC</t>
        </is>
      </c>
      <c r="D8315" t="n">
        <v>719245</v>
      </c>
      <c r="E8315" t="inlineStr">
        <is>
          <t>SEC</t>
        </is>
      </c>
    </row>
    <row r="8316">
      <c r="A8316" s="5">
        <f>HYPERLINK("https://finance.yahoo.com/quote/SFB","SFB")</f>
        <v/>
      </c>
      <c r="B8316" t="inlineStr">
        <is>
          <t>STIFEL FINANCIAL CORP</t>
        </is>
      </c>
      <c r="C8316" t="inlineStr">
        <is>
          <t>NYSE</t>
        </is>
      </c>
      <c r="D8316" t="n">
        <v>720672</v>
      </c>
      <c r="E8316" t="inlineStr">
        <is>
          <t>SEC</t>
        </is>
      </c>
    </row>
    <row r="8317">
      <c r="A8317" s="5">
        <f>HYPERLINK("https://finance.yahoo.com/quote/SF-PC","SF-PC")</f>
        <v/>
      </c>
      <c r="B8317" t="inlineStr">
        <is>
          <t>STIFEL FINANCIAL CORP</t>
        </is>
      </c>
      <c r="C8317" t="inlineStr">
        <is>
          <t>NYSE</t>
        </is>
      </c>
      <c r="D8317" t="n">
        <v>720672</v>
      </c>
      <c r="E8317" t="inlineStr">
        <is>
          <t>SEC</t>
        </is>
      </c>
    </row>
    <row r="8318">
      <c r="A8318" s="5">
        <f>HYPERLINK("https://finance.yahoo.com/quote/SF-PD","SF-PD")</f>
        <v/>
      </c>
      <c r="B8318" t="inlineStr">
        <is>
          <t>STIFEL FINANCIAL CORP</t>
        </is>
      </c>
      <c r="C8318" t="inlineStr">
        <is>
          <t>NYSE</t>
        </is>
      </c>
      <c r="D8318" t="n">
        <v>720672</v>
      </c>
      <c r="E8318" t="inlineStr">
        <is>
          <t>SEC</t>
        </is>
      </c>
    </row>
    <row r="8319">
      <c r="A8319" s="5">
        <f>HYPERLINK("https://finance.yahoo.com/quote/DHTI","DHTI")</f>
        <v/>
      </c>
      <c r="B8319" t="inlineStr">
        <is>
          <t>Dalrada Technology Group, Inc.</t>
        </is>
      </c>
      <c r="C8319" t="inlineStr">
        <is>
          <t>OTC</t>
        </is>
      </c>
      <c r="D8319" t="n">
        <v>725394</v>
      </c>
      <c r="E8319" t="inlineStr">
        <is>
          <t>SEC</t>
        </is>
      </c>
    </row>
    <row r="8320">
      <c r="A8320" s="5">
        <f>HYPERLINK("https://finance.yahoo.com/quote/CDZIP","CDZIP")</f>
        <v/>
      </c>
      <c r="B8320" t="inlineStr">
        <is>
          <t>CADIZ INC</t>
        </is>
      </c>
      <c r="C8320" t="inlineStr">
        <is>
          <t>Nasdaq</t>
        </is>
      </c>
      <c r="D8320" t="n">
        <v>727273</v>
      </c>
      <c r="E8320" t="inlineStr">
        <is>
          <t>SEC</t>
        </is>
      </c>
    </row>
    <row r="8321">
      <c r="A8321" s="5">
        <f>HYPERLINK("https://finance.yahoo.com/quote/T-PA","T-PA")</f>
        <v/>
      </c>
      <c r="B8321" t="inlineStr">
        <is>
          <t>AT&amp;T INC.</t>
        </is>
      </c>
      <c r="C8321" t="inlineStr">
        <is>
          <t>NYSE</t>
        </is>
      </c>
      <c r="D8321" t="n">
        <v>732717</v>
      </c>
      <c r="E8321" t="inlineStr">
        <is>
          <t>SEC</t>
        </is>
      </c>
    </row>
    <row r="8322">
      <c r="A8322" s="5">
        <f>HYPERLINK("https://finance.yahoo.com/quote/T-PC","T-PC")</f>
        <v/>
      </c>
      <c r="B8322" t="inlineStr">
        <is>
          <t>AT&amp;T INC.</t>
        </is>
      </c>
      <c r="C8322" t="inlineStr">
        <is>
          <t>NYSE</t>
        </is>
      </c>
      <c r="D8322" t="n">
        <v>732717</v>
      </c>
      <c r="E8322" t="inlineStr">
        <is>
          <t>SEC</t>
        </is>
      </c>
    </row>
    <row r="8323">
      <c r="A8323" s="5">
        <f>HYPERLINK("https://finance.yahoo.com/quote/CCNEP","CCNEP")</f>
        <v/>
      </c>
      <c r="B8323" t="inlineStr">
        <is>
          <t>CNB FINANCIAL CORP/PA</t>
        </is>
      </c>
      <c r="C8323" t="inlineStr">
        <is>
          <t>Nasdaq</t>
        </is>
      </c>
      <c r="D8323" t="n">
        <v>736772</v>
      </c>
      <c r="E8323" t="inlineStr">
        <is>
          <t>SEC</t>
        </is>
      </c>
    </row>
    <row r="8324">
      <c r="A8324" s="5">
        <f>HYPERLINK("https://finance.yahoo.com/quote/ERNAW","ERNAW")</f>
        <v/>
      </c>
      <c r="B8324" t="inlineStr">
        <is>
          <t>Ernexa Therapeutics Inc.</t>
        </is>
      </c>
      <c r="C8324" t="inlineStr">
        <is>
          <t>Nasdaq</t>
        </is>
      </c>
      <c r="D8324" t="n">
        <v>748592</v>
      </c>
      <c r="E8324" t="inlineStr">
        <is>
          <t>SEC</t>
        </is>
      </c>
    </row>
    <row r="8325">
      <c r="A8325" s="5">
        <f>HYPERLINK("https://finance.yahoo.com/quote/LAWIL","LAWIL")</f>
        <v/>
      </c>
      <c r="B8325" t="inlineStr">
        <is>
          <t>Light &amp; Wonder, Inc.</t>
        </is>
      </c>
      <c r="C8325" t="inlineStr">
        <is>
          <t>OTC</t>
        </is>
      </c>
      <c r="D8325" t="n">
        <v>750004</v>
      </c>
      <c r="E8325" t="inlineStr">
        <is>
          <t>SEC</t>
        </is>
      </c>
    </row>
    <row r="8326">
      <c r="A8326" s="5">
        <f>HYPERLINK("https://finance.yahoo.com/quote/LNWO","LNWO")</f>
        <v/>
      </c>
      <c r="B8326" t="inlineStr">
        <is>
          <t>Light &amp; Wonder, Inc.</t>
        </is>
      </c>
      <c r="C8326" t="inlineStr">
        <is>
          <t>OTC</t>
        </is>
      </c>
      <c r="D8326" t="n">
        <v>750004</v>
      </c>
      <c r="E8326" t="inlineStr">
        <is>
          <t>SEC</t>
        </is>
      </c>
    </row>
    <row r="8327">
      <c r="A8327" s="5">
        <f>HYPERLINK("https://finance.yahoo.com/quote/HWCPZ","HWCPZ")</f>
        <v/>
      </c>
      <c r="B8327" t="inlineStr">
        <is>
          <t>HANCOCK WHITNEY CORP</t>
        </is>
      </c>
      <c r="C8327" t="inlineStr">
        <is>
          <t>Nasdaq</t>
        </is>
      </c>
      <c r="D8327" t="n">
        <v>750577</v>
      </c>
      <c r="E8327" t="inlineStr">
        <is>
          <t>SEC</t>
        </is>
      </c>
    </row>
    <row r="8328">
      <c r="A8328" s="5">
        <f>HYPERLINK("https://finance.yahoo.com/quote/NEE-PN","NEE-PN")</f>
        <v/>
      </c>
      <c r="B8328" t="inlineStr">
        <is>
          <t>NEXTERA ENERGY INC</t>
        </is>
      </c>
      <c r="C8328" t="inlineStr">
        <is>
          <t>NYSE</t>
        </is>
      </c>
      <c r="D8328" t="n">
        <v>753308</v>
      </c>
      <c r="E8328" t="inlineStr">
        <is>
          <t>SEC</t>
        </is>
      </c>
    </row>
    <row r="8329">
      <c r="A8329" s="5">
        <f>HYPERLINK("https://finance.yahoo.com/quote/NEE-PS","NEE-PS")</f>
        <v/>
      </c>
      <c r="B8329" t="inlineStr">
        <is>
          <t>NEXTERA ENERGY INC</t>
        </is>
      </c>
      <c r="C8329" t="inlineStr">
        <is>
          <t>NYSE</t>
        </is>
      </c>
      <c r="D8329" t="n">
        <v>753308</v>
      </c>
      <c r="E8329" t="inlineStr">
        <is>
          <t>SEC</t>
        </is>
      </c>
    </row>
    <row r="8330">
      <c r="A8330" s="5">
        <f>HYPERLINK("https://finance.yahoo.com/quote/NEE-PT","NEE-PT")</f>
        <v/>
      </c>
      <c r="B8330" t="inlineStr">
        <is>
          <t>NEXTERA ENERGY INC</t>
        </is>
      </c>
      <c r="C8330" t="inlineStr">
        <is>
          <t>NYSE</t>
        </is>
      </c>
      <c r="D8330" t="n">
        <v>753308</v>
      </c>
      <c r="E8330" t="inlineStr">
        <is>
          <t>SEC</t>
        </is>
      </c>
    </row>
    <row r="8331">
      <c r="A8331" s="5">
        <f>HYPERLINK("https://finance.yahoo.com/quote/NEE-PU","NEE-PU")</f>
        <v/>
      </c>
      <c r="B8331" t="inlineStr">
        <is>
          <t>NEXTERA ENERGY INC</t>
        </is>
      </c>
      <c r="C8331" t="inlineStr">
        <is>
          <t>NYSE</t>
        </is>
      </c>
      <c r="D8331" t="n">
        <v>753308</v>
      </c>
      <c r="E8331" t="inlineStr">
        <is>
          <t>SEC</t>
        </is>
      </c>
    </row>
    <row r="8332">
      <c r="A8332" s="5">
        <f>HYPERLINK("https://finance.yahoo.com/quote/NEE-PV","NEE-PV")</f>
        <v/>
      </c>
      <c r="B8332" t="inlineStr">
        <is>
          <t>NEXTERA ENERGY INC</t>
        </is>
      </c>
      <c r="C8332" t="inlineStr">
        <is>
          <t>NYSE</t>
        </is>
      </c>
      <c r="D8332" t="n">
        <v>753308</v>
      </c>
      <c r="E8332" t="inlineStr">
        <is>
          <t>SEC</t>
        </is>
      </c>
    </row>
    <row r="8333">
      <c r="A8333" s="5">
        <f>HYPERLINK("https://finance.yahoo.com/quote/NEE-PW","NEE-PW")</f>
        <v/>
      </c>
      <c r="B8333" t="inlineStr">
        <is>
          <t>NEXTERA ENERGY INC</t>
        </is>
      </c>
      <c r="C8333" t="inlineStr">
        <is>
          <t>NYSE</t>
        </is>
      </c>
      <c r="D8333" t="n">
        <v>753308</v>
      </c>
      <c r="E8333" t="inlineStr">
        <is>
          <t>SEC</t>
        </is>
      </c>
    </row>
    <row r="8334">
      <c r="A8334" s="5">
        <f>HYPERLINK("https://finance.yahoo.com/quote/CFG-PE","CFG-PE")</f>
        <v/>
      </c>
      <c r="B8334" t="inlineStr">
        <is>
          <t>CITIZENS FINANCIAL GROUP INC/RI</t>
        </is>
      </c>
      <c r="C8334" t="inlineStr">
        <is>
          <t>NYSE</t>
        </is>
      </c>
      <c r="D8334" t="n">
        <v>759944</v>
      </c>
      <c r="E8334" t="inlineStr">
        <is>
          <t>SEC</t>
        </is>
      </c>
    </row>
    <row r="8335">
      <c r="A8335" s="5">
        <f>HYPERLINK("https://finance.yahoo.com/quote/CFG-PH","CFG-PH")</f>
        <v/>
      </c>
      <c r="B8335" t="inlineStr">
        <is>
          <t>CITIZENS FINANCIAL GROUP INC/RI</t>
        </is>
      </c>
      <c r="C8335" t="inlineStr">
        <is>
          <t>NYSE</t>
        </is>
      </c>
      <c r="D8335" t="n">
        <v>759944</v>
      </c>
      <c r="E8335" t="inlineStr">
        <is>
          <t>SEC</t>
        </is>
      </c>
    </row>
    <row r="8336">
      <c r="A8336" s="5">
        <f>HYPERLINK("https://finance.yahoo.com/quote/CFG-PI","CFG-PI")</f>
        <v/>
      </c>
      <c r="B8336" t="inlineStr">
        <is>
          <t>CITIZENS FINANCIAL GROUP INC/RI</t>
        </is>
      </c>
      <c r="C8336" t="inlineStr">
        <is>
          <t>NYSE</t>
        </is>
      </c>
      <c r="D8336" t="n">
        <v>759944</v>
      </c>
      <c r="E8336" t="inlineStr">
        <is>
          <t>SEC</t>
        </is>
      </c>
    </row>
    <row r="8337">
      <c r="A8337" s="5">
        <f>HYPERLINK("https://finance.yahoo.com/quote/BANFP","BANFP")</f>
        <v/>
      </c>
      <c r="B8337" t="inlineStr">
        <is>
          <t>BANCFIRST CORP /OK/</t>
        </is>
      </c>
      <c r="C8337" t="inlineStr">
        <is>
          <t>Nasdaq</t>
        </is>
      </c>
      <c r="D8337" t="n">
        <v>760498</v>
      </c>
      <c r="E8337" t="inlineStr">
        <is>
          <t>SEC</t>
        </is>
      </c>
    </row>
    <row r="8338">
      <c r="A8338" s="5">
        <f>HYPERLINK("https://finance.yahoo.com/quote/CDR-PB","CDR-PB")</f>
        <v/>
      </c>
      <c r="B8338" t="inlineStr">
        <is>
          <t>CEDAR REALTY TRUST, INC.</t>
        </is>
      </c>
      <c r="C8338" t="inlineStr">
        <is>
          <t>NYSE</t>
        </is>
      </c>
      <c r="D8338" t="n">
        <v>761648</v>
      </c>
      <c r="E8338" t="inlineStr">
        <is>
          <t>SEC</t>
        </is>
      </c>
    </row>
    <row r="8339">
      <c r="A8339" s="5">
        <f>HYPERLINK("https://finance.yahoo.com/quote/CDR-PC","CDR-PC")</f>
        <v/>
      </c>
      <c r="B8339" t="inlineStr">
        <is>
          <t>CEDAR REALTY TRUST, INC.</t>
        </is>
      </c>
      <c r="C8339" t="inlineStr">
        <is>
          <t>NYSE</t>
        </is>
      </c>
      <c r="D8339" t="n">
        <v>761648</v>
      </c>
      <c r="E8339" t="inlineStr">
        <is>
          <t>SEC</t>
        </is>
      </c>
    </row>
    <row r="8340">
      <c r="A8340" s="5">
        <f>HYPERLINK("https://finance.yahoo.com/quote/BPOPM","BPOPM")</f>
        <v/>
      </c>
      <c r="B8340" t="inlineStr">
        <is>
          <t>POPULAR, INC.</t>
        </is>
      </c>
      <c r="C8340" t="inlineStr">
        <is>
          <t>Nasdaq</t>
        </is>
      </c>
      <c r="D8340" t="n">
        <v>763901</v>
      </c>
      <c r="E8340" t="inlineStr">
        <is>
          <t>SEC</t>
        </is>
      </c>
    </row>
    <row r="8341">
      <c r="A8341" s="5">
        <f>HYPERLINK("https://finance.yahoo.com/quote/AEFC","AEFC")</f>
        <v/>
      </c>
      <c r="B8341" t="inlineStr">
        <is>
          <t>AEGON LTD.</t>
        </is>
      </c>
      <c r="C8341" t="inlineStr">
        <is>
          <t>NYSE</t>
        </is>
      </c>
      <c r="D8341" t="n">
        <v>769218</v>
      </c>
      <c r="E8341" t="inlineStr">
        <is>
          <t>SEC</t>
        </is>
      </c>
    </row>
    <row r="8342">
      <c r="A8342" s="5">
        <f>HYPERLINK("https://finance.yahoo.com/quote/NPPXF","NPPXF")</f>
        <v/>
      </c>
      <c r="B8342" t="inlineStr">
        <is>
          <t>NIPPON TELEGRAPH &amp; TELEPHONE CORP</t>
        </is>
      </c>
      <c r="C8342" t="inlineStr">
        <is>
          <t>OTC</t>
        </is>
      </c>
      <c r="D8342" t="n">
        <v>769594</v>
      </c>
      <c r="E8342" t="inlineStr">
        <is>
          <t>SEC</t>
        </is>
      </c>
    </row>
    <row r="8343">
      <c r="A8343" s="5">
        <f>HYPERLINK("https://finance.yahoo.com/quote/PAASF","PAASF")</f>
        <v/>
      </c>
      <c r="B8343" t="inlineStr">
        <is>
          <t>PAN AMERICAN SILVER CORP</t>
        </is>
      </c>
      <c r="C8343" t="inlineStr">
        <is>
          <t>OTC</t>
        </is>
      </c>
      <c r="D8343" t="n">
        <v>771992</v>
      </c>
      <c r="E8343" t="inlineStr">
        <is>
          <t>SEC</t>
        </is>
      </c>
    </row>
    <row r="8344">
      <c r="A8344" s="5">
        <f>HYPERLINK("https://finance.yahoo.com/quote/ABAKF","ABAKF")</f>
        <v/>
      </c>
      <c r="B8344" t="inlineStr">
        <is>
          <t>ABRDN ASIA-PACIFIC INCOME FUND, INC.</t>
        </is>
      </c>
      <c r="C8344" t="inlineStr">
        <is>
          <t>OTC</t>
        </is>
      </c>
      <c r="D8344" t="n">
        <v>790500</v>
      </c>
      <c r="E8344" t="inlineStr">
        <is>
          <t>SEC</t>
        </is>
      </c>
    </row>
    <row r="8345">
      <c r="A8345" s="5">
        <f>HYPERLINK("https://finance.yahoo.com/quote/ECF-PA","ECF-PA")</f>
        <v/>
      </c>
      <c r="B8345" t="inlineStr">
        <is>
          <t>ELLSWORTH GROWTH &amp; INCOME FUND LTD</t>
        </is>
      </c>
      <c r="C8345" t="inlineStr">
        <is>
          <t>NYSE</t>
        </is>
      </c>
      <c r="D8345" t="n">
        <v>793040</v>
      </c>
      <c r="E8345" t="inlineStr">
        <is>
          <t>SEC</t>
        </is>
      </c>
    </row>
    <row r="8346">
      <c r="A8346" s="5">
        <f>HYPERLINK("https://finance.yahoo.com/quote/HACBF","HACBF")</f>
        <v/>
      </c>
      <c r="B8346" t="inlineStr">
        <is>
          <t>HACHIJUNI BANK LTD</t>
        </is>
      </c>
      <c r="C8346" t="inlineStr">
        <is>
          <t>OTC</t>
        </is>
      </c>
      <c r="D8346" t="n">
        <v>793742</v>
      </c>
      <c r="E8346" t="inlineStr">
        <is>
          <t>SEC</t>
        </is>
      </c>
    </row>
    <row r="8347">
      <c r="A8347" s="5">
        <f>HYPERLINK("https://finance.yahoo.com/quote/GAB-PG","GAB-PG")</f>
        <v/>
      </c>
      <c r="B8347" t="inlineStr">
        <is>
          <t>GABELLI EQUITY TRUST INC</t>
        </is>
      </c>
      <c r="C8347" t="inlineStr">
        <is>
          <t>NYSE</t>
        </is>
      </c>
      <c r="D8347" t="n">
        <v>794685</v>
      </c>
      <c r="E8347" t="inlineStr">
        <is>
          <t>SEC</t>
        </is>
      </c>
    </row>
    <row r="8348">
      <c r="A8348" s="5">
        <f>HYPERLINK("https://finance.yahoo.com/quote/GAB-PH","GAB-PH")</f>
        <v/>
      </c>
      <c r="B8348" t="inlineStr">
        <is>
          <t>GABELLI EQUITY TRUST INC</t>
        </is>
      </c>
      <c r="C8348" t="inlineStr">
        <is>
          <t>NYSE</t>
        </is>
      </c>
      <c r="D8348" t="n">
        <v>794685</v>
      </c>
      <c r="E8348" t="inlineStr">
        <is>
          <t>SEC</t>
        </is>
      </c>
    </row>
    <row r="8349">
      <c r="A8349" s="5">
        <f>HYPERLINK("https://finance.yahoo.com/quote/GAB-PK","GAB-PK")</f>
        <v/>
      </c>
      <c r="B8349" t="inlineStr">
        <is>
          <t>GABELLI EQUITY TRUST INC</t>
        </is>
      </c>
      <c r="C8349" t="inlineStr">
        <is>
          <t>NYSE</t>
        </is>
      </c>
      <c r="D8349" t="n">
        <v>794685</v>
      </c>
      <c r="E8349" t="inlineStr">
        <is>
          <t>SEC</t>
        </is>
      </c>
    </row>
    <row r="8350">
      <c r="A8350" s="5">
        <f>HYPERLINK("https://finance.yahoo.com/quote/OXY-WT","OXY-WT")</f>
        <v/>
      </c>
      <c r="B8350" t="inlineStr">
        <is>
          <t>OCCIDENTAL PETROLEUM CORP /DE/</t>
        </is>
      </c>
      <c r="C8350" t="inlineStr">
        <is>
          <t>NYSE</t>
        </is>
      </c>
      <c r="D8350" t="n">
        <v>797468</v>
      </c>
      <c r="E8350" t="inlineStr">
        <is>
          <t>SEC</t>
        </is>
      </c>
    </row>
    <row r="8351">
      <c r="A8351" s="5">
        <f>HYPERLINK("https://finance.yahoo.com/quote/FCNCN","FCNCN")</f>
        <v/>
      </c>
      <c r="B8351" t="inlineStr">
        <is>
          <t>FIRST CITIZENS BANCSHARES INC /DE/</t>
        </is>
      </c>
      <c r="C8351" t="inlineStr">
        <is>
          <t>Nasdaq</t>
        </is>
      </c>
      <c r="D8351" t="n">
        <v>798941</v>
      </c>
      <c r="E8351" t="inlineStr">
        <is>
          <t>SEC</t>
        </is>
      </c>
    </row>
    <row r="8352">
      <c r="A8352" s="5">
        <f>HYPERLINK("https://finance.yahoo.com/quote/FCNCO","FCNCO")</f>
        <v/>
      </c>
      <c r="B8352" t="inlineStr">
        <is>
          <t>FIRST CITIZENS BANCSHARES INC /DE/</t>
        </is>
      </c>
      <c r="C8352" t="inlineStr">
        <is>
          <t>Nasdaq</t>
        </is>
      </c>
      <c r="D8352" t="n">
        <v>798941</v>
      </c>
      <c r="E8352" t="inlineStr">
        <is>
          <t>SEC</t>
        </is>
      </c>
    </row>
    <row r="8353">
      <c r="A8353" s="5">
        <f>HYPERLINK("https://finance.yahoo.com/quote/FCNCP","FCNCP")</f>
        <v/>
      </c>
      <c r="B8353" t="inlineStr">
        <is>
          <t>FIRST CITIZENS BANCSHARES INC /DE/</t>
        </is>
      </c>
      <c r="C8353" t="inlineStr">
        <is>
          <t>Nasdaq</t>
        </is>
      </c>
      <c r="D8353" t="n">
        <v>798941</v>
      </c>
      <c r="E8353" t="inlineStr">
        <is>
          <t>SEC</t>
        </is>
      </c>
    </row>
    <row r="8354">
      <c r="A8354" s="5">
        <f>HYPERLINK("https://finance.yahoo.com/quote/SPQSD","SPQSD")</f>
        <v/>
      </c>
      <c r="B8354" t="inlineStr">
        <is>
          <t>SportsQuest, Inc.</t>
        </is>
      </c>
      <c r="C8354" t="inlineStr"/>
      <c r="D8354" t="n">
        <v>803097</v>
      </c>
      <c r="E8354" t="inlineStr">
        <is>
          <t>SEC</t>
        </is>
      </c>
    </row>
    <row r="8355">
      <c r="A8355" s="5">
        <f>HYPERLINK("https://finance.yahoo.com/quote/SPXR","SPXR")</f>
        <v/>
      </c>
      <c r="B8355" t="inlineStr">
        <is>
          <t>SportsQuest, Inc.</t>
        </is>
      </c>
      <c r="C8355" t="inlineStr">
        <is>
          <t>OTC</t>
        </is>
      </c>
      <c r="D8355" t="n">
        <v>803097</v>
      </c>
      <c r="E8355" t="inlineStr">
        <is>
          <t>SEC</t>
        </is>
      </c>
    </row>
    <row r="8356">
      <c r="A8356" s="5">
        <f>HYPERLINK("https://finance.yahoo.com/quote/CMSC","CMSC")</f>
        <v/>
      </c>
      <c r="B8356" t="inlineStr">
        <is>
          <t>CMS ENERGY CORP</t>
        </is>
      </c>
      <c r="C8356" t="inlineStr">
        <is>
          <t>NYSE</t>
        </is>
      </c>
      <c r="D8356" t="n">
        <v>811156</v>
      </c>
      <c r="E8356" t="inlineStr">
        <is>
          <t>SEC</t>
        </is>
      </c>
    </row>
    <row r="8357">
      <c r="A8357" s="5">
        <f>HYPERLINK("https://finance.yahoo.com/quote/CMSD","CMSD")</f>
        <v/>
      </c>
      <c r="B8357" t="inlineStr">
        <is>
          <t>CMS ENERGY CORP</t>
        </is>
      </c>
      <c r="C8357" t="inlineStr">
        <is>
          <t>NYSE</t>
        </is>
      </c>
      <c r="D8357" t="n">
        <v>811156</v>
      </c>
      <c r="E8357" t="inlineStr">
        <is>
          <t>SEC</t>
        </is>
      </c>
    </row>
    <row r="8358">
      <c r="A8358" s="5">
        <f>HYPERLINK("https://finance.yahoo.com/quote/CMS-PC","CMS-PC")</f>
        <v/>
      </c>
      <c r="B8358" t="inlineStr">
        <is>
          <t>CMS ENERGY CORP</t>
        </is>
      </c>
      <c r="C8358" t="inlineStr">
        <is>
          <t>NYSE</t>
        </is>
      </c>
      <c r="D8358" t="n">
        <v>811156</v>
      </c>
      <c r="E8358" t="inlineStr">
        <is>
          <t>SEC</t>
        </is>
      </c>
    </row>
    <row r="8359">
      <c r="A8359" s="5">
        <f>HYPERLINK("https://finance.yahoo.com/quote/SNUS-PH","SNUS-PH")</f>
        <v/>
      </c>
      <c r="B8359" t="inlineStr">
        <is>
          <t>Santander Holdings USA, Inc.</t>
        </is>
      </c>
      <c r="C8359" t="inlineStr">
        <is>
          <t>NYSE</t>
        </is>
      </c>
      <c r="D8359" t="n">
        <v>811830</v>
      </c>
      <c r="E8359" t="inlineStr">
        <is>
          <t>SEC</t>
        </is>
      </c>
    </row>
    <row r="8360">
      <c r="A8360" s="5">
        <f>HYPERLINK("https://finance.yahoo.com/quote/TELFY","TELFY")</f>
        <v/>
      </c>
      <c r="B8360" t="inlineStr">
        <is>
          <t>TELEFONICA S A</t>
        </is>
      </c>
      <c r="C8360" t="inlineStr">
        <is>
          <t>OTC</t>
        </is>
      </c>
      <c r="D8360" t="n">
        <v>814052</v>
      </c>
      <c r="E8360" t="inlineStr">
        <is>
          <t>SEC</t>
        </is>
      </c>
    </row>
    <row r="8361">
      <c r="A8361" s="5">
        <f>HYPERLINK("https://finance.yahoo.com/quote/UZD","UZD")</f>
        <v/>
      </c>
      <c r="B8361" t="inlineStr">
        <is>
          <t>ARRAY DIGITAL INFRASTRUCTURE, INC.</t>
        </is>
      </c>
      <c r="C8361" t="inlineStr">
        <is>
          <t>NYSE</t>
        </is>
      </c>
      <c r="D8361" t="n">
        <v>821130</v>
      </c>
      <c r="E8361" t="inlineStr">
        <is>
          <t>SEC</t>
        </is>
      </c>
    </row>
    <row r="8362">
      <c r="A8362" s="5">
        <f>HYPERLINK("https://finance.yahoo.com/quote/UZE","UZE")</f>
        <v/>
      </c>
      <c r="B8362" t="inlineStr">
        <is>
          <t>ARRAY DIGITAL INFRASTRUCTURE, INC.</t>
        </is>
      </c>
      <c r="C8362" t="inlineStr">
        <is>
          <t>NYSE</t>
        </is>
      </c>
      <c r="D8362" t="n">
        <v>821130</v>
      </c>
      <c r="E8362" t="inlineStr">
        <is>
          <t>SEC</t>
        </is>
      </c>
    </row>
    <row r="8363">
      <c r="A8363" s="5">
        <f>HYPERLINK("https://finance.yahoo.com/quote/UZF","UZF")</f>
        <v/>
      </c>
      <c r="B8363" t="inlineStr">
        <is>
          <t>ARRAY DIGITAL INFRASTRUCTURE, INC.</t>
        </is>
      </c>
      <c r="C8363" t="inlineStr">
        <is>
          <t>NYSE</t>
        </is>
      </c>
      <c r="D8363" t="n">
        <v>821130</v>
      </c>
      <c r="E8363" t="inlineStr">
        <is>
          <t>SEC</t>
        </is>
      </c>
    </row>
    <row r="8364">
      <c r="A8364" s="5">
        <f>HYPERLINK("https://finance.yahoo.com/quote/CHSCL","CHSCL")</f>
        <v/>
      </c>
      <c r="B8364" t="inlineStr">
        <is>
          <t>CHS INC</t>
        </is>
      </c>
      <c r="C8364" t="inlineStr">
        <is>
          <t>Nasdaq</t>
        </is>
      </c>
      <c r="D8364" t="n">
        <v>823277</v>
      </c>
      <c r="E8364" t="inlineStr">
        <is>
          <t>SEC</t>
        </is>
      </c>
    </row>
    <row r="8365">
      <c r="A8365" s="5">
        <f>HYPERLINK("https://finance.yahoo.com/quote/CHSCM","CHSCM")</f>
        <v/>
      </c>
      <c r="B8365" t="inlineStr">
        <is>
          <t>CHS INC</t>
        </is>
      </c>
      <c r="C8365" t="inlineStr">
        <is>
          <t>Nasdaq</t>
        </is>
      </c>
      <c r="D8365" t="n">
        <v>823277</v>
      </c>
      <c r="E8365" t="inlineStr">
        <is>
          <t>SEC</t>
        </is>
      </c>
    </row>
    <row r="8366">
      <c r="A8366" s="5">
        <f>HYPERLINK("https://finance.yahoo.com/quote/CHSCN","CHSCN")</f>
        <v/>
      </c>
      <c r="B8366" t="inlineStr">
        <is>
          <t>CHS INC</t>
        </is>
      </c>
      <c r="C8366" t="inlineStr">
        <is>
          <t>Nasdaq</t>
        </is>
      </c>
      <c r="D8366" t="n">
        <v>823277</v>
      </c>
      <c r="E8366" t="inlineStr">
        <is>
          <t>SEC</t>
        </is>
      </c>
    </row>
    <row r="8367">
      <c r="A8367" s="5">
        <f>HYPERLINK("https://finance.yahoo.com/quote/CHSCO","CHSCO")</f>
        <v/>
      </c>
      <c r="B8367" t="inlineStr">
        <is>
          <t>CHS INC</t>
        </is>
      </c>
      <c r="C8367" t="inlineStr">
        <is>
          <t>Nasdaq</t>
        </is>
      </c>
      <c r="D8367" t="n">
        <v>823277</v>
      </c>
      <c r="E8367" t="inlineStr">
        <is>
          <t>SEC</t>
        </is>
      </c>
    </row>
    <row r="8368">
      <c r="A8368" s="5">
        <f>HYPERLINK("https://finance.yahoo.com/quote/DX-PC","DX-PC")</f>
        <v/>
      </c>
      <c r="B8368" t="inlineStr">
        <is>
          <t>DYNEX CAPITAL INC</t>
        </is>
      </c>
      <c r="C8368" t="inlineStr">
        <is>
          <t>NYSE</t>
        </is>
      </c>
      <c r="D8368" t="n">
        <v>826675</v>
      </c>
      <c r="E8368" t="inlineStr">
        <is>
          <t>SEC</t>
        </is>
      </c>
    </row>
    <row r="8369">
      <c r="A8369" s="5">
        <f>HYPERLINK("https://finance.yahoo.com/quote/DX-PD","DX-PD")</f>
        <v/>
      </c>
      <c r="B8369" t="inlineStr">
        <is>
          <t>DYNEX CAPITAL INC</t>
        </is>
      </c>
      <c r="C8369" t="inlineStr">
        <is>
          <t>NYSE</t>
        </is>
      </c>
      <c r="D8369" t="n">
        <v>826675</v>
      </c>
      <c r="E8369" t="inlineStr">
        <is>
          <t>SEC</t>
        </is>
      </c>
    </row>
    <row r="8370">
      <c r="A8370" s="5">
        <f>HYPERLINK("https://finance.yahoo.com/quote/MCHPP","MCHPP")</f>
        <v/>
      </c>
      <c r="B8370" t="inlineStr">
        <is>
          <t>MICROCHIP TECHNOLOGY INC</t>
        </is>
      </c>
      <c r="C8370" t="inlineStr">
        <is>
          <t>Nasdaq</t>
        </is>
      </c>
      <c r="D8370" t="n">
        <v>827054</v>
      </c>
      <c r="E8370" t="inlineStr">
        <is>
          <t>SEC</t>
        </is>
      </c>
    </row>
    <row r="8371">
      <c r="A8371" s="5">
        <f>HYPERLINK("https://finance.yahoo.com/quote/CLSKW","CLSKW")</f>
        <v/>
      </c>
      <c r="B8371" t="inlineStr">
        <is>
          <t>CLEANSPARK, INC.</t>
        </is>
      </c>
      <c r="C8371" t="inlineStr">
        <is>
          <t>Nasdaq</t>
        </is>
      </c>
      <c r="D8371" t="n">
        <v>827876</v>
      </c>
      <c r="E8371" t="inlineStr">
        <is>
          <t>SEC</t>
        </is>
      </c>
    </row>
    <row r="8372">
      <c r="A8372" s="5">
        <f>HYPERLINK("https://finance.yahoo.com/quote/C-PN","C-PN")</f>
        <v/>
      </c>
      <c r="B8372" t="inlineStr">
        <is>
          <t>CITIGROUP INC</t>
        </is>
      </c>
      <c r="C8372" t="inlineStr">
        <is>
          <t>NYSE</t>
        </is>
      </c>
      <c r="D8372" t="n">
        <v>831001</v>
      </c>
      <c r="E8372" t="inlineStr">
        <is>
          <t>SEC</t>
        </is>
      </c>
    </row>
    <row r="8373">
      <c r="A8373" s="5">
        <f>HYPERLINK("https://finance.yahoo.com/quote/C-PR","C-PR")</f>
        <v/>
      </c>
      <c r="B8373" t="inlineStr">
        <is>
          <t>CITIGROUP INC</t>
        </is>
      </c>
      <c r="C8373" t="inlineStr">
        <is>
          <t>NYSE</t>
        </is>
      </c>
      <c r="D8373" t="n">
        <v>831001</v>
      </c>
      <c r="E8373" t="inlineStr">
        <is>
          <t>SEC</t>
        </is>
      </c>
    </row>
    <row r="8374">
      <c r="A8374" s="5">
        <f>HYPERLINK("https://finance.yahoo.com/quote/CWLXF","CWLXF")</f>
        <v/>
      </c>
      <c r="B8374" t="inlineStr">
        <is>
          <t>C21 Investments Inc.</t>
        </is>
      </c>
      <c r="C8374" t="inlineStr">
        <is>
          <t>OTC</t>
        </is>
      </c>
      <c r="D8374" t="n">
        <v>831609</v>
      </c>
      <c r="E8374" t="inlineStr">
        <is>
          <t>SEC</t>
        </is>
      </c>
    </row>
    <row r="8375">
      <c r="A8375" s="5">
        <f>HYPERLINK("https://finance.yahoo.com/quote/WEXPF","WEXPF")</f>
        <v/>
      </c>
      <c r="B8375" t="inlineStr">
        <is>
          <t>WESTERN EXPLORATION INC.</t>
        </is>
      </c>
      <c r="C8375" t="inlineStr">
        <is>
          <t>OTC</t>
        </is>
      </c>
      <c r="D8375" t="n">
        <v>842622</v>
      </c>
      <c r="E8375" t="inlineStr">
        <is>
          <t>SEC</t>
        </is>
      </c>
    </row>
    <row r="8376">
      <c r="A8376" s="5">
        <f>HYPERLINK("https://finance.yahoo.com/quote/AGM-PD","AGM-PD")</f>
        <v/>
      </c>
      <c r="B8376" t="inlineStr">
        <is>
          <t>FEDERAL AGRICULTURAL MORTGAGE CORP</t>
        </is>
      </c>
      <c r="C8376" t="inlineStr">
        <is>
          <t>NYSE</t>
        </is>
      </c>
      <c r="D8376" t="n">
        <v>845877</v>
      </c>
      <c r="E8376" t="inlineStr">
        <is>
          <t>SEC</t>
        </is>
      </c>
    </row>
    <row r="8377">
      <c r="A8377" s="5">
        <f>HYPERLINK("https://finance.yahoo.com/quote/AGM-PE","AGM-PE")</f>
        <v/>
      </c>
      <c r="B8377" t="inlineStr">
        <is>
          <t>FEDERAL AGRICULTURAL MORTGAGE CORP</t>
        </is>
      </c>
      <c r="C8377" t="inlineStr">
        <is>
          <t>NYSE</t>
        </is>
      </c>
      <c r="D8377" t="n">
        <v>845877</v>
      </c>
      <c r="E8377" t="inlineStr">
        <is>
          <t>SEC</t>
        </is>
      </c>
    </row>
    <row r="8378">
      <c r="A8378" s="5">
        <f>HYPERLINK("https://finance.yahoo.com/quote/AGM-PF","AGM-PF")</f>
        <v/>
      </c>
      <c r="B8378" t="inlineStr">
        <is>
          <t>FEDERAL AGRICULTURAL MORTGAGE CORP</t>
        </is>
      </c>
      <c r="C8378" t="inlineStr">
        <is>
          <t>NYSE</t>
        </is>
      </c>
      <c r="D8378" t="n">
        <v>845877</v>
      </c>
      <c r="E8378" t="inlineStr">
        <is>
          <t>SEC</t>
        </is>
      </c>
    </row>
    <row r="8379">
      <c r="A8379" s="5">
        <f>HYPERLINK("https://finance.yahoo.com/quote/AGM-PG","AGM-PG")</f>
        <v/>
      </c>
      <c r="B8379" t="inlineStr">
        <is>
          <t>FEDERAL AGRICULTURAL MORTGAGE CORP</t>
        </is>
      </c>
      <c r="C8379" t="inlineStr">
        <is>
          <t>NYSE</t>
        </is>
      </c>
      <c r="D8379" t="n">
        <v>845877</v>
      </c>
      <c r="E8379" t="inlineStr">
        <is>
          <t>SEC</t>
        </is>
      </c>
    </row>
    <row r="8380">
      <c r="A8380" s="5">
        <f>HYPERLINK("https://finance.yahoo.com/quote/AGM-PH","AGM-PH")</f>
        <v/>
      </c>
      <c r="B8380" t="inlineStr">
        <is>
          <t>FEDERAL AGRICULTURAL MORTGAGE CORP</t>
        </is>
      </c>
      <c r="C8380" t="inlineStr">
        <is>
          <t>NYSE</t>
        </is>
      </c>
      <c r="D8380" t="n">
        <v>845877</v>
      </c>
      <c r="E8380" t="inlineStr">
        <is>
          <t>SEC</t>
        </is>
      </c>
    </row>
    <row r="8381">
      <c r="A8381" s="5">
        <f>HYPERLINK("https://finance.yahoo.com/quote/AGM-PI","AGM-PI")</f>
        <v/>
      </c>
      <c r="B8381" t="inlineStr">
        <is>
          <t>FEDERAL AGRICULTURAL MORTGAGE CORP</t>
        </is>
      </c>
      <c r="C8381" t="inlineStr">
        <is>
          <t>NYSE</t>
        </is>
      </c>
      <c r="D8381" t="n">
        <v>845877</v>
      </c>
      <c r="E8381" t="inlineStr">
        <is>
          <t>SEC</t>
        </is>
      </c>
    </row>
    <row r="8382">
      <c r="A8382" s="5">
        <f>HYPERLINK("https://finance.yahoo.com/quote/DCBG","DCBG")</f>
        <v/>
      </c>
      <c r="B8382" t="inlineStr">
        <is>
          <t>Dime Commercial Bancshares, Inc. /NY/</t>
        </is>
      </c>
      <c r="C8382" t="inlineStr">
        <is>
          <t>NYSE</t>
        </is>
      </c>
      <c r="D8382" t="n">
        <v>846617</v>
      </c>
      <c r="E8382" t="inlineStr">
        <is>
          <t>SEC</t>
        </is>
      </c>
    </row>
    <row r="8383">
      <c r="A8383" s="5">
        <f>HYPERLINK("https://finance.yahoo.com/quote/DCOM-P","DCOM-P")</f>
        <v/>
      </c>
      <c r="B8383" t="inlineStr">
        <is>
          <t>Dime Commercial Bancshares, Inc. /NY/</t>
        </is>
      </c>
      <c r="C8383" t="inlineStr">
        <is>
          <t>NYSE</t>
        </is>
      </c>
      <c r="D8383" t="n">
        <v>846617</v>
      </c>
      <c r="E8383" t="inlineStr">
        <is>
          <t>SEC</t>
        </is>
      </c>
    </row>
    <row r="8384">
      <c r="A8384" s="5">
        <f>HYPERLINK("https://finance.yahoo.com/quote/GENVR","GENVR")</f>
        <v/>
      </c>
      <c r="B8384" t="inlineStr">
        <is>
          <t>Gen Digital Inc.</t>
        </is>
      </c>
      <c r="C8384" t="inlineStr">
        <is>
          <t>Nasdaq</t>
        </is>
      </c>
      <c r="D8384" t="n">
        <v>849399</v>
      </c>
      <c r="E8384" t="inlineStr">
        <is>
          <t>SEC</t>
        </is>
      </c>
    </row>
    <row r="8385">
      <c r="A8385" s="5">
        <f>HYPERLINK("https://finance.yahoo.com/quote/GRWLF","GRWLF")</f>
        <v/>
      </c>
      <c r="B8385" t="inlineStr">
        <is>
          <t>GREAT-WEST LIFECO INC.</t>
        </is>
      </c>
      <c r="C8385" t="inlineStr">
        <is>
          <t>OTC</t>
        </is>
      </c>
      <c r="D8385" t="n">
        <v>850918</v>
      </c>
      <c r="E8385" t="inlineStr">
        <is>
          <t>SEC</t>
        </is>
      </c>
    </row>
    <row r="8386">
      <c r="A8386" s="5">
        <f>HYPERLINK("https://finance.yahoo.com/quote/GRWTF","GRWTF")</f>
        <v/>
      </c>
      <c r="B8386" t="inlineStr">
        <is>
          <t>GREAT-WEST LIFECO INC.</t>
        </is>
      </c>
      <c r="C8386" t="inlineStr">
        <is>
          <t>OTC</t>
        </is>
      </c>
      <c r="D8386" t="n">
        <v>850918</v>
      </c>
      <c r="E8386" t="inlineStr">
        <is>
          <t>SEC</t>
        </is>
      </c>
    </row>
    <row r="8387">
      <c r="A8387" s="5">
        <f>HYPERLINK("https://finance.yahoo.com/quote/GWLPF","GWLPF")</f>
        <v/>
      </c>
      <c r="B8387" t="inlineStr">
        <is>
          <t>GREAT-WEST LIFECO INC.</t>
        </is>
      </c>
      <c r="C8387" t="inlineStr">
        <is>
          <t>OTC</t>
        </is>
      </c>
      <c r="D8387" t="n">
        <v>850918</v>
      </c>
      <c r="E8387" t="inlineStr">
        <is>
          <t>SEC</t>
        </is>
      </c>
    </row>
    <row r="8388">
      <c r="A8388" s="5">
        <f>HYPERLINK("https://finance.yahoo.com/quote/KMPB","KMPB")</f>
        <v/>
      </c>
      <c r="B8388" t="inlineStr">
        <is>
          <t>KEMPER Corp</t>
        </is>
      </c>
      <c r="C8388" t="inlineStr">
        <is>
          <t>NYSE</t>
        </is>
      </c>
      <c r="D8388" t="n">
        <v>860748</v>
      </c>
      <c r="E8388" t="inlineStr">
        <is>
          <t>SEC</t>
        </is>
      </c>
    </row>
    <row r="8389">
      <c r="A8389" s="5">
        <f>HYPERLINK("https://finance.yahoo.com/quote/WOLTF","WOLTF")</f>
        <v/>
      </c>
      <c r="B8389" t="inlineStr">
        <is>
          <t>WOLTERS KLUWER N V /FI</t>
        </is>
      </c>
      <c r="C8389" t="inlineStr">
        <is>
          <t>OTC</t>
        </is>
      </c>
      <c r="D8389" t="n">
        <v>861967</v>
      </c>
      <c r="E8389" t="inlineStr">
        <is>
          <t>SEC</t>
        </is>
      </c>
    </row>
    <row r="8390">
      <c r="A8390" s="5">
        <f>HYPERLINK("https://finance.yahoo.com/quote/INVUP","INVUP")</f>
        <v/>
      </c>
      <c r="B8390" t="inlineStr">
        <is>
          <t>Investview, Inc.</t>
        </is>
      </c>
      <c r="C8390" t="inlineStr">
        <is>
          <t>OTC</t>
        </is>
      </c>
      <c r="D8390" t="n">
        <v>862651</v>
      </c>
      <c r="E8390" t="inlineStr">
        <is>
          <t>SEC</t>
        </is>
      </c>
    </row>
    <row r="8391">
      <c r="A8391" s="5">
        <f>HYPERLINK("https://finance.yahoo.com/quote/FIISO","FIISO")</f>
        <v/>
      </c>
      <c r="B8391" t="inlineStr">
        <is>
          <t>FINANCIAL INSTITUTIONS INC</t>
        </is>
      </c>
      <c r="C8391" t="inlineStr">
        <is>
          <t>OTC</t>
        </is>
      </c>
      <c r="D8391" t="n">
        <v>862831</v>
      </c>
      <c r="E8391" t="inlineStr">
        <is>
          <t>SEC</t>
        </is>
      </c>
    </row>
    <row r="8392">
      <c r="A8392" s="5">
        <f>HYPERLINK("https://finance.yahoo.com/quote/FIISP","FIISP")</f>
        <v/>
      </c>
      <c r="B8392" t="inlineStr">
        <is>
          <t>FINANCIAL INSTITUTIONS INC</t>
        </is>
      </c>
      <c r="C8392" t="inlineStr">
        <is>
          <t>OTC</t>
        </is>
      </c>
      <c r="D8392" t="n">
        <v>862831</v>
      </c>
      <c r="E8392" t="inlineStr">
        <is>
          <t>SEC</t>
        </is>
      </c>
    </row>
    <row r="8393">
      <c r="A8393" s="5">
        <f>HYPERLINK("https://finance.yahoo.com/quote/HIG-PG","HIG-PG")</f>
        <v/>
      </c>
      <c r="B8393" t="inlineStr">
        <is>
          <t>HARTFORD INSURANCE GROUP, INC.</t>
        </is>
      </c>
      <c r="C8393" t="inlineStr">
        <is>
          <t>NYSE</t>
        </is>
      </c>
      <c r="D8393" t="n">
        <v>874766</v>
      </c>
      <c r="E8393" t="inlineStr">
        <is>
          <t>SEC</t>
        </is>
      </c>
    </row>
    <row r="8394">
      <c r="A8394" s="5">
        <f>HYPERLINK("https://finance.yahoo.com/quote/RMTHF","RMTHF")</f>
        <v/>
      </c>
      <c r="B8394" t="inlineStr">
        <is>
          <t>MAGIC SOFTWARE ENTERPRISES LTD</t>
        </is>
      </c>
      <c r="C8394" t="inlineStr">
        <is>
          <t>OTC</t>
        </is>
      </c>
      <c r="D8394" t="n">
        <v>876779</v>
      </c>
      <c r="E8394" t="inlineStr">
        <is>
          <t>SEC</t>
        </is>
      </c>
    </row>
    <row r="8395">
      <c r="A8395" s="5">
        <f>HYPERLINK("https://finance.yahoo.com/quote/KIM-PL","KIM-PL")</f>
        <v/>
      </c>
      <c r="B8395" t="inlineStr">
        <is>
          <t>KIMCO REALTY CORP</t>
        </is>
      </c>
      <c r="C8395" t="inlineStr">
        <is>
          <t>NYSE</t>
        </is>
      </c>
      <c r="D8395" t="n">
        <v>879101</v>
      </c>
      <c r="E8395" t="inlineStr">
        <is>
          <t>SEC</t>
        </is>
      </c>
    </row>
    <row r="8396">
      <c r="A8396" s="5">
        <f>HYPERLINK("https://finance.yahoo.com/quote/KIM-PM","KIM-PM")</f>
        <v/>
      </c>
      <c r="B8396" t="inlineStr">
        <is>
          <t>KIMCO REALTY CORP</t>
        </is>
      </c>
      <c r="C8396" t="inlineStr">
        <is>
          <t>NYSE</t>
        </is>
      </c>
      <c r="D8396" t="n">
        <v>879101</v>
      </c>
      <c r="E8396" t="inlineStr">
        <is>
          <t>SEC</t>
        </is>
      </c>
    </row>
    <row r="8397">
      <c r="A8397" s="5">
        <f>HYPERLINK("https://finance.yahoo.com/quote/KIM-PN","KIM-PN")</f>
        <v/>
      </c>
      <c r="B8397" t="inlineStr">
        <is>
          <t>KIMCO REALTY CORP</t>
        </is>
      </c>
      <c r="C8397" t="inlineStr">
        <is>
          <t>NYSE</t>
        </is>
      </c>
      <c r="D8397" t="n">
        <v>879101</v>
      </c>
      <c r="E8397" t="inlineStr">
        <is>
          <t>SEC</t>
        </is>
      </c>
    </row>
    <row r="8398">
      <c r="A8398" s="5">
        <f>HYPERLINK("https://finance.yahoo.com/quote/AERGP","AERGP")</f>
        <v/>
      </c>
      <c r="B8398" t="inlineStr">
        <is>
          <t>APPLIED ENERGETICS, INC.</t>
        </is>
      </c>
      <c r="C8398" t="inlineStr">
        <is>
          <t>OTC</t>
        </is>
      </c>
      <c r="D8398" t="n">
        <v>879911</v>
      </c>
      <c r="E8398" t="inlineStr">
        <is>
          <t>SEC</t>
        </is>
      </c>
    </row>
    <row r="8399">
      <c r="A8399" s="5">
        <f>HYPERLINK("https://finance.yahoo.com/quote/AUB-PA","AUB-PA")</f>
        <v/>
      </c>
      <c r="B8399" t="inlineStr">
        <is>
          <t>Atlantic Union Bankshares Corp</t>
        </is>
      </c>
      <c r="C8399" t="inlineStr">
        <is>
          <t>NYSE</t>
        </is>
      </c>
      <c r="D8399" t="n">
        <v>883948</v>
      </c>
      <c r="E8399" t="inlineStr">
        <is>
          <t>SEC</t>
        </is>
      </c>
    </row>
    <row r="8400">
      <c r="A8400" s="5">
        <f>HYPERLINK("https://finance.yahoo.com/quote/FCELB","FCELB")</f>
        <v/>
      </c>
      <c r="B8400" t="inlineStr">
        <is>
          <t>FUELCELL ENERGY INC</t>
        </is>
      </c>
      <c r="C8400" t="inlineStr">
        <is>
          <t>OTC</t>
        </is>
      </c>
      <c r="D8400" t="n">
        <v>886128</v>
      </c>
      <c r="E8400" t="inlineStr">
        <is>
          <t>SEC</t>
        </is>
      </c>
    </row>
    <row r="8401">
      <c r="A8401" s="5">
        <f>HYPERLINK("https://finance.yahoo.com/quote/LGNDZ","LGNDZ")</f>
        <v/>
      </c>
      <c r="B8401" t="inlineStr">
        <is>
          <t>LIGAND PHARMACEUTICALS INC</t>
        </is>
      </c>
      <c r="C8401" t="inlineStr">
        <is>
          <t>OTC</t>
        </is>
      </c>
      <c r="D8401" t="n">
        <v>886163</v>
      </c>
      <c r="E8401" t="inlineStr">
        <is>
          <t>SEC</t>
        </is>
      </c>
    </row>
    <row r="8402">
      <c r="A8402" s="5">
        <f>HYPERLINK("https://finance.yahoo.com/quote/LGNXZ","LGNXZ")</f>
        <v/>
      </c>
      <c r="B8402" t="inlineStr">
        <is>
          <t>LIGAND PHARMACEUTICALS INC</t>
        </is>
      </c>
      <c r="C8402" t="inlineStr">
        <is>
          <t>OTC</t>
        </is>
      </c>
      <c r="D8402" t="n">
        <v>886163</v>
      </c>
      <c r="E8402" t="inlineStr">
        <is>
          <t>SEC</t>
        </is>
      </c>
    </row>
    <row r="8403">
      <c r="A8403" s="5">
        <f>HYPERLINK("https://finance.yahoo.com/quote/LGNYZ","LGNYZ")</f>
        <v/>
      </c>
      <c r="B8403" t="inlineStr">
        <is>
          <t>LIGAND PHARMACEUTICALS INC</t>
        </is>
      </c>
      <c r="C8403" t="inlineStr">
        <is>
          <t>OTC</t>
        </is>
      </c>
      <c r="D8403" t="n">
        <v>886163</v>
      </c>
      <c r="E8403" t="inlineStr">
        <is>
          <t>SEC</t>
        </is>
      </c>
    </row>
    <row r="8404">
      <c r="A8404" s="5">
        <f>HYPERLINK("https://finance.yahoo.com/quote/LGNZZ","LGNZZ")</f>
        <v/>
      </c>
      <c r="B8404" t="inlineStr">
        <is>
          <t>LIGAND PHARMACEUTICALS INC</t>
        </is>
      </c>
      <c r="C8404" t="inlineStr">
        <is>
          <t>OTC</t>
        </is>
      </c>
      <c r="D8404" t="n">
        <v>886163</v>
      </c>
      <c r="E8404" t="inlineStr">
        <is>
          <t>SEC</t>
        </is>
      </c>
    </row>
    <row r="8405">
      <c r="A8405" s="5">
        <f>HYPERLINK("https://finance.yahoo.com/quote/GSCE","GSCE")</f>
        <v/>
      </c>
      <c r="B8405" t="inlineStr">
        <is>
          <t>GOLDMAN SACHS GROUP INC</t>
        </is>
      </c>
      <c r="C8405" t="inlineStr">
        <is>
          <t>OTC</t>
        </is>
      </c>
      <c r="D8405" t="n">
        <v>886982</v>
      </c>
      <c r="E8405" t="inlineStr">
        <is>
          <t>SEC</t>
        </is>
      </c>
    </row>
    <row r="8406">
      <c r="A8406" s="5">
        <f>HYPERLINK("https://finance.yahoo.com/quote/GS-PA","GS-PA")</f>
        <v/>
      </c>
      <c r="B8406" t="inlineStr">
        <is>
          <t>GOLDMAN SACHS GROUP INC</t>
        </is>
      </c>
      <c r="C8406" t="inlineStr">
        <is>
          <t>NYSE</t>
        </is>
      </c>
      <c r="D8406" t="n">
        <v>886982</v>
      </c>
      <c r="E8406" t="inlineStr">
        <is>
          <t>SEC</t>
        </is>
      </c>
    </row>
    <row r="8407">
      <c r="A8407" s="5">
        <f>HYPERLINK("https://finance.yahoo.com/quote/GS-PC","GS-PC")</f>
        <v/>
      </c>
      <c r="B8407" t="inlineStr">
        <is>
          <t>GOLDMAN SACHS GROUP INC</t>
        </is>
      </c>
      <c r="C8407" t="inlineStr">
        <is>
          <t>NYSE</t>
        </is>
      </c>
      <c r="D8407" t="n">
        <v>886982</v>
      </c>
      <c r="E8407" t="inlineStr">
        <is>
          <t>SEC</t>
        </is>
      </c>
    </row>
    <row r="8408">
      <c r="A8408" s="5">
        <f>HYPERLINK("https://finance.yahoo.com/quote/GS-PD","GS-PD")</f>
        <v/>
      </c>
      <c r="B8408" t="inlineStr">
        <is>
          <t>GOLDMAN SACHS GROUP INC</t>
        </is>
      </c>
      <c r="C8408" t="inlineStr">
        <is>
          <t>NYSE</t>
        </is>
      </c>
      <c r="D8408" t="n">
        <v>886982</v>
      </c>
      <c r="E8408" t="inlineStr">
        <is>
          <t>SEC</t>
        </is>
      </c>
    </row>
    <row r="8409">
      <c r="A8409" s="5">
        <f>HYPERLINK("https://finance.yahoo.com/quote/CREAY","CREAY")</f>
        <v/>
      </c>
      <c r="B8409" t="inlineStr">
        <is>
          <t>CREATIVE TECHNOLOGY LTD</t>
        </is>
      </c>
      <c r="C8409" t="inlineStr">
        <is>
          <t>OTC</t>
        </is>
      </c>
      <c r="D8409" t="n">
        <v>888295</v>
      </c>
      <c r="E8409" t="inlineStr">
        <is>
          <t>SEC</t>
        </is>
      </c>
    </row>
    <row r="8410">
      <c r="A8410" s="5">
        <f>HYPERLINK("https://finance.yahoo.com/quote/MS-PA","MS-PA")</f>
        <v/>
      </c>
      <c r="B8410" t="inlineStr">
        <is>
          <t>MORGAN STANLEY</t>
        </is>
      </c>
      <c r="C8410" t="inlineStr">
        <is>
          <t>NYSE</t>
        </is>
      </c>
      <c r="D8410" t="n">
        <v>895421</v>
      </c>
      <c r="E8410" t="inlineStr">
        <is>
          <t>SEC</t>
        </is>
      </c>
    </row>
    <row r="8411">
      <c r="A8411" s="5">
        <f>HYPERLINK("https://finance.yahoo.com/quote/MS-PF","MS-PF")</f>
        <v/>
      </c>
      <c r="B8411" t="inlineStr">
        <is>
          <t>MORGAN STANLEY</t>
        </is>
      </c>
      <c r="C8411" t="inlineStr">
        <is>
          <t>NYSE</t>
        </is>
      </c>
      <c r="D8411" t="n">
        <v>895421</v>
      </c>
      <c r="E8411" t="inlineStr">
        <is>
          <t>SEC</t>
        </is>
      </c>
    </row>
    <row r="8412">
      <c r="A8412" s="5">
        <f>HYPERLINK("https://finance.yahoo.com/quote/MS-PI","MS-PI")</f>
        <v/>
      </c>
      <c r="B8412" t="inlineStr">
        <is>
          <t>MORGAN STANLEY</t>
        </is>
      </c>
      <c r="C8412" t="inlineStr">
        <is>
          <t>NYSE</t>
        </is>
      </c>
      <c r="D8412" t="n">
        <v>895421</v>
      </c>
      <c r="E8412" t="inlineStr">
        <is>
          <t>SEC</t>
        </is>
      </c>
    </row>
    <row r="8413">
      <c r="A8413" s="5">
        <f>HYPERLINK("https://finance.yahoo.com/quote/MS-PL","MS-PL")</f>
        <v/>
      </c>
      <c r="B8413" t="inlineStr">
        <is>
          <t>MORGAN STANLEY</t>
        </is>
      </c>
      <c r="C8413" t="inlineStr">
        <is>
          <t>NYSE</t>
        </is>
      </c>
      <c r="D8413" t="n">
        <v>895421</v>
      </c>
      <c r="E8413" t="inlineStr">
        <is>
          <t>SEC</t>
        </is>
      </c>
    </row>
    <row r="8414">
      <c r="A8414" s="5">
        <f>HYPERLINK("https://finance.yahoo.com/quote/MS-PO","MS-PO")</f>
        <v/>
      </c>
      <c r="B8414" t="inlineStr">
        <is>
          <t>MORGAN STANLEY</t>
        </is>
      </c>
      <c r="C8414" t="inlineStr">
        <is>
          <t>NYSE</t>
        </is>
      </c>
      <c r="D8414" t="n">
        <v>895421</v>
      </c>
      <c r="E8414" t="inlineStr">
        <is>
          <t>SEC</t>
        </is>
      </c>
    </row>
    <row r="8415">
      <c r="A8415" s="5">
        <f>HYPERLINK("https://finance.yahoo.com/quote/MS-PP","MS-PP")</f>
        <v/>
      </c>
      <c r="B8415" t="inlineStr">
        <is>
          <t>MORGAN STANLEY</t>
        </is>
      </c>
      <c r="C8415" t="inlineStr">
        <is>
          <t>NYSE</t>
        </is>
      </c>
      <c r="D8415" t="n">
        <v>895421</v>
      </c>
      <c r="E8415" t="inlineStr">
        <is>
          <t>SEC</t>
        </is>
      </c>
    </row>
    <row r="8416">
      <c r="A8416" s="5">
        <f>HYPERLINK("https://finance.yahoo.com/quote/MS-PQ","MS-PQ")</f>
        <v/>
      </c>
      <c r="B8416" t="inlineStr">
        <is>
          <t>MORGAN STANLEY</t>
        </is>
      </c>
      <c r="C8416" t="inlineStr">
        <is>
          <t>NYSE</t>
        </is>
      </c>
      <c r="D8416" t="n">
        <v>895421</v>
      </c>
      <c r="E8416" t="inlineStr">
        <is>
          <t>SEC</t>
        </is>
      </c>
    </row>
    <row r="8417">
      <c r="A8417" s="5">
        <f>HYPERLINK("https://finance.yahoo.com/quote/EBBGF","EBBGF")</f>
        <v/>
      </c>
      <c r="B8417" t="inlineStr">
        <is>
          <t>ENBRIDGE INC</t>
        </is>
      </c>
      <c r="C8417" t="inlineStr">
        <is>
          <t>OTC</t>
        </is>
      </c>
      <c r="D8417" t="n">
        <v>895728</v>
      </c>
      <c r="E8417" t="inlineStr">
        <is>
          <t>SEC</t>
        </is>
      </c>
    </row>
    <row r="8418">
      <c r="A8418" s="5">
        <f>HYPERLINK("https://finance.yahoo.com/quote/EBGEF","EBGEF")</f>
        <v/>
      </c>
      <c r="B8418" t="inlineStr">
        <is>
          <t>ENBRIDGE INC</t>
        </is>
      </c>
      <c r="C8418" t="inlineStr">
        <is>
          <t>OTC</t>
        </is>
      </c>
      <c r="D8418" t="n">
        <v>895728</v>
      </c>
      <c r="E8418" t="inlineStr">
        <is>
          <t>SEC</t>
        </is>
      </c>
    </row>
    <row r="8419">
      <c r="A8419" s="5">
        <f>HYPERLINK("https://finance.yahoo.com/quote/EBRGF","EBRGF")</f>
        <v/>
      </c>
      <c r="B8419" t="inlineStr">
        <is>
          <t>ENBRIDGE INC</t>
        </is>
      </c>
      <c r="C8419" t="inlineStr">
        <is>
          <t>OTC</t>
        </is>
      </c>
      <c r="D8419" t="n">
        <v>895728</v>
      </c>
      <c r="E8419" t="inlineStr">
        <is>
          <t>SEC</t>
        </is>
      </c>
    </row>
    <row r="8420">
      <c r="A8420" s="5">
        <f>HYPERLINK("https://finance.yahoo.com/quote/EBRZF","EBRZF")</f>
        <v/>
      </c>
      <c r="B8420" t="inlineStr">
        <is>
          <t>ENBRIDGE INC</t>
        </is>
      </c>
      <c r="C8420" t="inlineStr">
        <is>
          <t>OTC</t>
        </is>
      </c>
      <c r="D8420" t="n">
        <v>895728</v>
      </c>
      <c r="E8420" t="inlineStr">
        <is>
          <t>SEC</t>
        </is>
      </c>
    </row>
    <row r="8421">
      <c r="A8421" s="5">
        <f>HYPERLINK("https://finance.yahoo.com/quote/ENBFF","ENBFF")</f>
        <v/>
      </c>
      <c r="B8421" t="inlineStr">
        <is>
          <t>ENBRIDGE INC</t>
        </is>
      </c>
      <c r="C8421" t="inlineStr">
        <is>
          <t>OTC</t>
        </is>
      </c>
      <c r="D8421" t="n">
        <v>895728</v>
      </c>
      <c r="E8421" t="inlineStr">
        <is>
          <t>SEC</t>
        </is>
      </c>
    </row>
    <row r="8422">
      <c r="A8422" s="5">
        <f>HYPERLINK("https://finance.yahoo.com/quote/ENBGF","ENBGF")</f>
        <v/>
      </c>
      <c r="B8422" t="inlineStr">
        <is>
          <t>ENBRIDGE INC</t>
        </is>
      </c>
      <c r="C8422" t="inlineStr">
        <is>
          <t>OTC</t>
        </is>
      </c>
      <c r="D8422" t="n">
        <v>895728</v>
      </c>
      <c r="E8422" t="inlineStr">
        <is>
          <t>SEC</t>
        </is>
      </c>
    </row>
    <row r="8423">
      <c r="A8423" s="5">
        <f>HYPERLINK("https://finance.yahoo.com/quote/ENBHF","ENBHF")</f>
        <v/>
      </c>
      <c r="B8423" t="inlineStr">
        <is>
          <t>ENBRIDGE INC</t>
        </is>
      </c>
      <c r="C8423" t="inlineStr">
        <is>
          <t>OTC</t>
        </is>
      </c>
      <c r="D8423" t="n">
        <v>895728</v>
      </c>
      <c r="E8423" t="inlineStr">
        <is>
          <t>SEC</t>
        </is>
      </c>
    </row>
    <row r="8424">
      <c r="A8424" s="5">
        <f>HYPERLINK("https://finance.yahoo.com/quote/ENBMF","ENBMF")</f>
        <v/>
      </c>
      <c r="B8424" t="inlineStr">
        <is>
          <t>ENBRIDGE INC</t>
        </is>
      </c>
      <c r="C8424" t="inlineStr">
        <is>
          <t>OTC</t>
        </is>
      </c>
      <c r="D8424" t="n">
        <v>895728</v>
      </c>
      <c r="E8424" t="inlineStr">
        <is>
          <t>SEC</t>
        </is>
      </c>
    </row>
    <row r="8425">
      <c r="A8425" s="5">
        <f>HYPERLINK("https://finance.yahoo.com/quote/ENBNF","ENBNF")</f>
        <v/>
      </c>
      <c r="B8425" t="inlineStr">
        <is>
          <t>ENBRIDGE INC</t>
        </is>
      </c>
      <c r="C8425" t="inlineStr">
        <is>
          <t>OTC</t>
        </is>
      </c>
      <c r="D8425" t="n">
        <v>895728</v>
      </c>
      <c r="E8425" t="inlineStr">
        <is>
          <t>SEC</t>
        </is>
      </c>
    </row>
    <row r="8426">
      <c r="A8426" s="5">
        <f>HYPERLINK("https://finance.yahoo.com/quote/ENBOF","ENBOF")</f>
        <v/>
      </c>
      <c r="B8426" t="inlineStr">
        <is>
          <t>ENBRIDGE INC</t>
        </is>
      </c>
      <c r="C8426" t="inlineStr">
        <is>
          <t>OTC</t>
        </is>
      </c>
      <c r="D8426" t="n">
        <v>895728</v>
      </c>
      <c r="E8426" t="inlineStr">
        <is>
          <t>SEC</t>
        </is>
      </c>
    </row>
    <row r="8427">
      <c r="A8427" s="5">
        <f>HYPERLINK("https://finance.yahoo.com/quote/ENBRF","ENBRF")</f>
        <v/>
      </c>
      <c r="B8427" t="inlineStr">
        <is>
          <t>ENBRIDGE INC</t>
        </is>
      </c>
      <c r="C8427" t="inlineStr">
        <is>
          <t>OTC</t>
        </is>
      </c>
      <c r="D8427" t="n">
        <v>895728</v>
      </c>
      <c r="E8427" t="inlineStr">
        <is>
          <t>SEC</t>
        </is>
      </c>
    </row>
    <row r="8428">
      <c r="A8428" s="5">
        <f>HYPERLINK("https://finance.yahoo.com/quote/ENBSF","ENBSF")</f>
        <v/>
      </c>
      <c r="B8428" t="inlineStr">
        <is>
          <t>ENBRIDGE INC</t>
        </is>
      </c>
      <c r="C8428" t="inlineStr">
        <is>
          <t>OTC</t>
        </is>
      </c>
      <c r="D8428" t="n">
        <v>895728</v>
      </c>
      <c r="E8428" t="inlineStr">
        <is>
          <t>SEC</t>
        </is>
      </c>
    </row>
    <row r="8429">
      <c r="A8429" s="5">
        <f>HYPERLINK("https://finance.yahoo.com/quote/ENFFF","ENFFF")</f>
        <v/>
      </c>
      <c r="B8429" t="inlineStr">
        <is>
          <t>ENBRIDGE INC</t>
        </is>
      </c>
      <c r="C8429" t="inlineStr">
        <is>
          <t>OTC</t>
        </is>
      </c>
      <c r="D8429" t="n">
        <v>895728</v>
      </c>
      <c r="E8429" t="inlineStr">
        <is>
          <t>SEC</t>
        </is>
      </c>
    </row>
    <row r="8430">
      <c r="A8430" s="5">
        <f>HYPERLINK("https://finance.yahoo.com/quote/ENNPF","ENNPF")</f>
        <v/>
      </c>
      <c r="B8430" t="inlineStr">
        <is>
          <t>ENBRIDGE INC</t>
        </is>
      </c>
      <c r="C8430" t="inlineStr">
        <is>
          <t>OTC</t>
        </is>
      </c>
      <c r="D8430" t="n">
        <v>895728</v>
      </c>
      <c r="E8430" t="inlineStr">
        <is>
          <t>SEC</t>
        </is>
      </c>
    </row>
    <row r="8431">
      <c r="A8431" s="5">
        <f>HYPERLINK("https://finance.yahoo.com/quote/GPUS-PD","GPUS-PD")</f>
        <v/>
      </c>
      <c r="B8431" t="inlineStr">
        <is>
          <t>Hyperscale Data, Inc.</t>
        </is>
      </c>
      <c r="C8431" t="inlineStr">
        <is>
          <t>NYSE</t>
        </is>
      </c>
      <c r="D8431" t="n">
        <v>896493</v>
      </c>
      <c r="E8431" t="inlineStr">
        <is>
          <t>SEC</t>
        </is>
      </c>
    </row>
    <row r="8432">
      <c r="A8432" s="5">
        <f>HYPERLINK("https://finance.yahoo.com/quote/SPE-PC","SPE-PC")</f>
        <v/>
      </c>
      <c r="B8432" t="inlineStr">
        <is>
          <t>SPECIAL OPPORTUNITIES FUND, INC.</t>
        </is>
      </c>
      <c r="C8432" t="inlineStr">
        <is>
          <t>NYSE</t>
        </is>
      </c>
      <c r="D8432" t="n">
        <v>897802</v>
      </c>
      <c r="E8432" t="inlineStr">
        <is>
          <t>SEC</t>
        </is>
      </c>
    </row>
    <row r="8433">
      <c r="A8433" s="5">
        <f>HYPERLINK("https://finance.yahoo.com/quote/RZC","RZC")</f>
        <v/>
      </c>
      <c r="B8433" t="inlineStr">
        <is>
          <t>REINSURANCE GROUP OF AMERICA INC</t>
        </is>
      </c>
      <c r="C8433" t="inlineStr">
        <is>
          <t>NYSE</t>
        </is>
      </c>
      <c r="D8433" t="n">
        <v>898174</v>
      </c>
      <c r="E8433" t="inlineStr">
        <is>
          <t>SEC</t>
        </is>
      </c>
    </row>
    <row r="8434">
      <c r="A8434" s="5">
        <f>HYPERLINK("https://finance.yahoo.com/quote/ALL-PB","ALL-PB")</f>
        <v/>
      </c>
      <c r="B8434" t="inlineStr">
        <is>
          <t>ALLSTATE CORP</t>
        </is>
      </c>
      <c r="C8434" t="inlineStr">
        <is>
          <t>NYSE</t>
        </is>
      </c>
      <c r="D8434" t="n">
        <v>899051</v>
      </c>
      <c r="E8434" t="inlineStr">
        <is>
          <t>SEC</t>
        </is>
      </c>
    </row>
    <row r="8435">
      <c r="A8435" s="5">
        <f>HYPERLINK("https://finance.yahoo.com/quote/ALL-PI","ALL-PI")</f>
        <v/>
      </c>
      <c r="B8435" t="inlineStr">
        <is>
          <t>ALLSTATE CORP</t>
        </is>
      </c>
      <c r="C8435" t="inlineStr">
        <is>
          <t>NYSE</t>
        </is>
      </c>
      <c r="D8435" t="n">
        <v>899051</v>
      </c>
      <c r="E8435" t="inlineStr">
        <is>
          <t>SEC</t>
        </is>
      </c>
    </row>
    <row r="8436">
      <c r="A8436" s="5">
        <f>HYPERLINK("https://finance.yahoo.com/quote/ALL-PJ","ALL-PJ")</f>
        <v/>
      </c>
      <c r="B8436" t="inlineStr">
        <is>
          <t>ALLSTATE CORP</t>
        </is>
      </c>
      <c r="C8436" t="inlineStr">
        <is>
          <t>NYSE</t>
        </is>
      </c>
      <c r="D8436" t="n">
        <v>899051</v>
      </c>
      <c r="E8436" t="inlineStr">
        <is>
          <t>SEC</t>
        </is>
      </c>
    </row>
    <row r="8437">
      <c r="A8437" s="5">
        <f>HYPERLINK("https://finance.yahoo.com/quote/VNO-PN","VNO-PN")</f>
        <v/>
      </c>
      <c r="B8437" t="inlineStr">
        <is>
          <t>VORNADO REALTY TRUST</t>
        </is>
      </c>
      <c r="C8437" t="inlineStr">
        <is>
          <t>NYSE</t>
        </is>
      </c>
      <c r="D8437" t="n">
        <v>899689</v>
      </c>
      <c r="E8437" t="inlineStr">
        <is>
          <t>SEC</t>
        </is>
      </c>
    </row>
    <row r="8438">
      <c r="A8438" s="5">
        <f>HYPERLINK("https://finance.yahoo.com/quote/VNO-PO","VNO-PO")</f>
        <v/>
      </c>
      <c r="B8438" t="inlineStr">
        <is>
          <t>VORNADO REALTY TRUST</t>
        </is>
      </c>
      <c r="C8438" t="inlineStr">
        <is>
          <t>NYSE</t>
        </is>
      </c>
      <c r="D8438" t="n">
        <v>899689</v>
      </c>
      <c r="E8438" t="inlineStr">
        <is>
          <t>SEC</t>
        </is>
      </c>
    </row>
    <row r="8439">
      <c r="A8439" s="5">
        <f>HYPERLINK("https://finance.yahoo.com/quote/BFS-PE","BFS-PE")</f>
        <v/>
      </c>
      <c r="B8439" t="inlineStr">
        <is>
          <t>SAUL CENTERS, INC.</t>
        </is>
      </c>
      <c r="C8439" t="inlineStr">
        <is>
          <t>NYSE</t>
        </is>
      </c>
      <c r="D8439" t="n">
        <v>907254</v>
      </c>
      <c r="E8439" t="inlineStr">
        <is>
          <t>SEC</t>
        </is>
      </c>
    </row>
    <row r="8440">
      <c r="A8440" s="5">
        <f>HYPERLINK("https://finance.yahoo.com/quote/TXEMF","TXEMF")</f>
        <v/>
      </c>
      <c r="B8440" t="inlineStr">
        <is>
          <t>TEMPLETON EMERGING MARKETS INCOME FUND</t>
        </is>
      </c>
      <c r="C8440" t="inlineStr">
        <is>
          <t>OTC</t>
        </is>
      </c>
      <c r="D8440" t="n">
        <v>909112</v>
      </c>
      <c r="E8440" t="inlineStr">
        <is>
          <t>SEC</t>
        </is>
      </c>
    </row>
    <row r="8441">
      <c r="A8441" s="5">
        <f>HYPERLINK("https://finance.yahoo.com/quote/FLG-PA","FLG-PA")</f>
        <v/>
      </c>
      <c r="B8441" t="inlineStr">
        <is>
          <t>FLAGSTAR BANK, NATIONAL ASSOCIATION</t>
        </is>
      </c>
      <c r="C8441" t="inlineStr">
        <is>
          <t>NYSE</t>
        </is>
      </c>
      <c r="D8441" t="n">
        <v>910073</v>
      </c>
      <c r="E8441" t="inlineStr">
        <is>
          <t>SEC</t>
        </is>
      </c>
    </row>
    <row r="8442">
      <c r="A8442" s="5">
        <f>HYPERLINK("https://finance.yahoo.com/quote/FLG-PU","FLG-PU")</f>
        <v/>
      </c>
      <c r="B8442" t="inlineStr">
        <is>
          <t>FLAGSTAR BANK, NATIONAL ASSOCIATION</t>
        </is>
      </c>
      <c r="C8442" t="inlineStr">
        <is>
          <t>NYSE</t>
        </is>
      </c>
      <c r="D8442" t="n">
        <v>910073</v>
      </c>
      <c r="E8442" t="inlineStr">
        <is>
          <t>SEC</t>
        </is>
      </c>
    </row>
    <row r="8443">
      <c r="A8443" s="5">
        <f>HYPERLINK("https://finance.yahoo.com/quote/REGCO","REGCO")</f>
        <v/>
      </c>
      <c r="B8443" t="inlineStr">
        <is>
          <t>REGENCY CENTERS CORP</t>
        </is>
      </c>
      <c r="C8443" t="inlineStr">
        <is>
          <t>Nasdaq</t>
        </is>
      </c>
      <c r="D8443" t="n">
        <v>910606</v>
      </c>
      <c r="E8443" t="inlineStr">
        <is>
          <t>SEC</t>
        </is>
      </c>
    </row>
    <row r="8444">
      <c r="A8444" s="5">
        <f>HYPERLINK("https://finance.yahoo.com/quote/REGCP","REGCP")</f>
        <v/>
      </c>
      <c r="B8444" t="inlineStr">
        <is>
          <t>REGENCY CENTERS CORP</t>
        </is>
      </c>
      <c r="C8444" t="inlineStr">
        <is>
          <t>Nasdaq</t>
        </is>
      </c>
      <c r="D8444" t="n">
        <v>910606</v>
      </c>
      <c r="E8444" t="inlineStr">
        <is>
          <t>SEC</t>
        </is>
      </c>
    </row>
    <row r="8445">
      <c r="A8445" s="5">
        <f>HYPERLINK("https://finance.yahoo.com/quote/PREJF","PREJF")</f>
        <v/>
      </c>
      <c r="B8445" t="inlineStr">
        <is>
          <t>PARTNERRE LTD</t>
        </is>
      </c>
      <c r="C8445" t="inlineStr">
        <is>
          <t>OTC</t>
        </is>
      </c>
      <c r="D8445" t="n">
        <v>911421</v>
      </c>
      <c r="E8445" t="inlineStr">
        <is>
          <t>SEC</t>
        </is>
      </c>
    </row>
    <row r="8446">
      <c r="A8446" s="5">
        <f>HYPERLINK("https://finance.yahoo.com/quote/MLCMF","MLCMF")</f>
        <v/>
      </c>
      <c r="B8446" t="inlineStr">
        <is>
          <t>MILLICOM INTERNATIONAL CELLULAR SA</t>
        </is>
      </c>
      <c r="C8446" t="inlineStr">
        <is>
          <t>OTC</t>
        </is>
      </c>
      <c r="D8446" t="n">
        <v>912958</v>
      </c>
      <c r="E8446" t="inlineStr">
        <is>
          <t>SEC</t>
        </is>
      </c>
    </row>
    <row r="8447">
      <c r="A8447" s="5">
        <f>HYPERLINK("https://finance.yahoo.com/quote/RNR-PF","RNR-PF")</f>
        <v/>
      </c>
      <c r="B8447" t="inlineStr">
        <is>
          <t>RENAISSANCERE HOLDINGS LTD</t>
        </is>
      </c>
      <c r="C8447" t="inlineStr">
        <is>
          <t>NYSE</t>
        </is>
      </c>
      <c r="D8447" t="n">
        <v>913144</v>
      </c>
      <c r="E8447" t="inlineStr">
        <is>
          <t>SEC</t>
        </is>
      </c>
    </row>
    <row r="8448">
      <c r="A8448" s="5">
        <f>HYPERLINK("https://finance.yahoo.com/quote/RNR-PG","RNR-PG")</f>
        <v/>
      </c>
      <c r="B8448" t="inlineStr">
        <is>
          <t>RENAISSANCERE HOLDINGS LTD</t>
        </is>
      </c>
      <c r="C8448" t="inlineStr">
        <is>
          <t>NYSE</t>
        </is>
      </c>
      <c r="D8448" t="n">
        <v>913144</v>
      </c>
      <c r="E8448" t="inlineStr">
        <is>
          <t>SEC</t>
        </is>
      </c>
    </row>
    <row r="8449">
      <c r="A8449" s="5">
        <f>HYPERLINK("https://finance.yahoo.com/quote/ALB-PA","ALB-PA")</f>
        <v/>
      </c>
      <c r="B8449" t="inlineStr">
        <is>
          <t>ALBEMARLE CORP</t>
        </is>
      </c>
      <c r="C8449" t="inlineStr">
        <is>
          <t>NYSE</t>
        </is>
      </c>
      <c r="D8449" t="n">
        <v>915913</v>
      </c>
      <c r="E8449" t="inlineStr">
        <is>
          <t>SEC</t>
        </is>
      </c>
    </row>
    <row r="8450">
      <c r="A8450" s="5">
        <f>HYPERLINK("https://finance.yahoo.com/quote/ADC-PA","ADC-PA")</f>
        <v/>
      </c>
      <c r="B8450" t="inlineStr">
        <is>
          <t>AGREE REALTY CORP</t>
        </is>
      </c>
      <c r="C8450" t="inlineStr">
        <is>
          <t>NYSE</t>
        </is>
      </c>
      <c r="D8450" t="n">
        <v>917251</v>
      </c>
      <c r="E8450" t="inlineStr">
        <is>
          <t>SEC</t>
        </is>
      </c>
    </row>
    <row r="8451">
      <c r="A8451" s="5">
        <f>HYPERLINK("https://finance.yahoo.com/quote/GGT-PG","GGT-PG")</f>
        <v/>
      </c>
      <c r="B8451" t="inlineStr">
        <is>
          <t>GABELLI MULTIMEDIA TRUST INC.</t>
        </is>
      </c>
      <c r="C8451" t="inlineStr">
        <is>
          <t>NYSE</t>
        </is>
      </c>
      <c r="D8451" t="n">
        <v>921671</v>
      </c>
      <c r="E8451" t="inlineStr">
        <is>
          <t>SEC</t>
        </is>
      </c>
    </row>
    <row r="8452">
      <c r="A8452" s="5">
        <f>HYPERLINK("https://finance.yahoo.com/quote/PPLC","PPLC")</f>
        <v/>
      </c>
      <c r="B8452" t="inlineStr">
        <is>
          <t>PPL Corp</t>
        </is>
      </c>
      <c r="C8452" t="inlineStr">
        <is>
          <t>NYSE</t>
        </is>
      </c>
      <c r="D8452" t="n">
        <v>922224</v>
      </c>
      <c r="E8452" t="inlineStr">
        <is>
          <t>SEC</t>
        </is>
      </c>
    </row>
    <row r="8453">
      <c r="A8453" s="5">
        <f>HYPERLINK("https://finance.yahoo.com/quote/COF-PI","COF-PI")</f>
        <v/>
      </c>
      <c r="B8453" t="inlineStr">
        <is>
          <t>CAPITAL ONE FINANCIAL CORP</t>
        </is>
      </c>
      <c r="C8453" t="inlineStr">
        <is>
          <t>NYSE</t>
        </is>
      </c>
      <c r="D8453" t="n">
        <v>927628</v>
      </c>
      <c r="E8453" t="inlineStr">
        <is>
          <t>SEC</t>
        </is>
      </c>
    </row>
    <row r="8454">
      <c r="A8454" s="5">
        <f>HYPERLINK("https://finance.yahoo.com/quote/COF-PJ","COF-PJ")</f>
        <v/>
      </c>
      <c r="B8454" t="inlineStr">
        <is>
          <t>CAPITAL ONE FINANCIAL CORP</t>
        </is>
      </c>
      <c r="C8454" t="inlineStr">
        <is>
          <t>NYSE</t>
        </is>
      </c>
      <c r="D8454" t="n">
        <v>927628</v>
      </c>
      <c r="E8454" t="inlineStr">
        <is>
          <t>SEC</t>
        </is>
      </c>
    </row>
    <row r="8455">
      <c r="A8455" s="5">
        <f>HYPERLINK("https://finance.yahoo.com/quote/COF-PK","COF-PK")</f>
        <v/>
      </c>
      <c r="B8455" t="inlineStr">
        <is>
          <t>CAPITAL ONE FINANCIAL CORP</t>
        </is>
      </c>
      <c r="C8455" t="inlineStr">
        <is>
          <t>NYSE</t>
        </is>
      </c>
      <c r="D8455" t="n">
        <v>927628</v>
      </c>
      <c r="E8455" t="inlineStr">
        <is>
          <t>SEC</t>
        </is>
      </c>
    </row>
    <row r="8456">
      <c r="A8456" s="5">
        <f>HYPERLINK("https://finance.yahoo.com/quote/COF-PL","COF-PL")</f>
        <v/>
      </c>
      <c r="B8456" t="inlineStr">
        <is>
          <t>CAPITAL ONE FINANCIAL CORP</t>
        </is>
      </c>
      <c r="C8456" t="inlineStr">
        <is>
          <t>NYSE</t>
        </is>
      </c>
      <c r="D8456" t="n">
        <v>927628</v>
      </c>
      <c r="E8456" t="inlineStr">
        <is>
          <t>SEC</t>
        </is>
      </c>
    </row>
    <row r="8457">
      <c r="A8457" s="5">
        <f>HYPERLINK("https://finance.yahoo.com/quote/COF-PN","COF-PN")</f>
        <v/>
      </c>
      <c r="B8457" t="inlineStr">
        <is>
          <t>CAPITAL ONE FINANCIAL CORP</t>
        </is>
      </c>
      <c r="C8457" t="inlineStr">
        <is>
          <t>NYSE</t>
        </is>
      </c>
      <c r="D8457" t="n">
        <v>927628</v>
      </c>
      <c r="E8457" t="inlineStr">
        <is>
          <t>SEC</t>
        </is>
      </c>
    </row>
    <row r="8458">
      <c r="A8458" s="5">
        <f>HYPERLINK("https://finance.yahoo.com/quote/AIQD","AIQD")</f>
        <v/>
      </c>
      <c r="B8458" t="inlineStr">
        <is>
          <t>BANK OF MONTREAL /CAN/</t>
        </is>
      </c>
      <c r="C8458" t="inlineStr">
        <is>
          <t>NYSE</t>
        </is>
      </c>
      <c r="D8458" t="n">
        <v>927971</v>
      </c>
      <c r="E8458" t="inlineStr">
        <is>
          <t>SEC</t>
        </is>
      </c>
    </row>
    <row r="8459">
      <c r="A8459" s="5">
        <f>HYPERLINK("https://finance.yahoo.com/quote/AIQU","AIQU")</f>
        <v/>
      </c>
      <c r="B8459" t="inlineStr">
        <is>
          <t>BANK OF MONTREAL /CAN/</t>
        </is>
      </c>
      <c r="C8459" t="inlineStr">
        <is>
          <t>NYSE</t>
        </is>
      </c>
      <c r="D8459" t="n">
        <v>927971</v>
      </c>
      <c r="E8459" t="inlineStr">
        <is>
          <t>SEC</t>
        </is>
      </c>
    </row>
    <row r="8460">
      <c r="A8460" s="5">
        <f>HYPERLINK("https://finance.yahoo.com/quote/BERZ","BERZ")</f>
        <v/>
      </c>
      <c r="B8460" t="inlineStr">
        <is>
          <t>BANK OF MONTREAL /CAN/</t>
        </is>
      </c>
      <c r="C8460" t="inlineStr">
        <is>
          <t>NYSE</t>
        </is>
      </c>
      <c r="D8460" t="n">
        <v>927971</v>
      </c>
      <c r="E8460" t="inlineStr">
        <is>
          <t>SEC</t>
        </is>
      </c>
    </row>
    <row r="8461">
      <c r="A8461" s="5">
        <f>HYPERLINK("https://finance.yahoo.com/quote/BNKD","BNKD")</f>
        <v/>
      </c>
      <c r="B8461" t="inlineStr">
        <is>
          <t>BANK OF MONTREAL /CAN/</t>
        </is>
      </c>
      <c r="C8461" t="inlineStr">
        <is>
          <t>NYSE</t>
        </is>
      </c>
      <c r="D8461" t="n">
        <v>927971</v>
      </c>
      <c r="E8461" t="inlineStr">
        <is>
          <t>SEC</t>
        </is>
      </c>
    </row>
    <row r="8462">
      <c r="A8462" s="5">
        <f>HYPERLINK("https://finance.yahoo.com/quote/BNKU","BNKU")</f>
        <v/>
      </c>
      <c r="B8462" t="inlineStr">
        <is>
          <t>BANK OF MONTREAL /CAN/</t>
        </is>
      </c>
      <c r="C8462" t="inlineStr">
        <is>
          <t>NYSE</t>
        </is>
      </c>
      <c r="D8462" t="n">
        <v>927971</v>
      </c>
      <c r="E8462" t="inlineStr">
        <is>
          <t>SEC</t>
        </is>
      </c>
    </row>
    <row r="8463">
      <c r="A8463" s="5">
        <f>HYPERLINK("https://finance.yahoo.com/quote/BRZD","BRZD")</f>
        <v/>
      </c>
      <c r="B8463" t="inlineStr">
        <is>
          <t>BANK OF MONTREAL /CAN/</t>
        </is>
      </c>
      <c r="C8463" t="inlineStr">
        <is>
          <t>CBOE</t>
        </is>
      </c>
      <c r="D8463" t="n">
        <v>927971</v>
      </c>
      <c r="E8463" t="inlineStr">
        <is>
          <t>SEC</t>
        </is>
      </c>
    </row>
    <row r="8464">
      <c r="A8464" s="5">
        <f>HYPERLINK("https://finance.yahoo.com/quote/BULZ","BULZ")</f>
        <v/>
      </c>
      <c r="B8464" t="inlineStr">
        <is>
          <t>BANK OF MONTREAL /CAN/</t>
        </is>
      </c>
      <c r="C8464" t="inlineStr">
        <is>
          <t>NYSE</t>
        </is>
      </c>
      <c r="D8464" t="n">
        <v>927971</v>
      </c>
      <c r="E8464" t="inlineStr">
        <is>
          <t>SEC</t>
        </is>
      </c>
    </row>
    <row r="8465">
      <c r="A8465" s="5">
        <f>HYPERLINK("https://finance.yahoo.com/quote/CARD","CARD")</f>
        <v/>
      </c>
      <c r="B8465" t="inlineStr">
        <is>
          <t>BANK OF MONTREAL /CAN/</t>
        </is>
      </c>
      <c r="C8465" t="inlineStr">
        <is>
          <t>NYSE</t>
        </is>
      </c>
      <c r="D8465" t="n">
        <v>927971</v>
      </c>
      <c r="E8465" t="inlineStr">
        <is>
          <t>SEC</t>
        </is>
      </c>
    </row>
    <row r="8466">
      <c r="A8466" s="5">
        <f>HYPERLINK("https://finance.yahoo.com/quote/CARU","CARU")</f>
        <v/>
      </c>
      <c r="B8466" t="inlineStr">
        <is>
          <t>BANK OF MONTREAL /CAN/</t>
        </is>
      </c>
      <c r="C8466" t="inlineStr">
        <is>
          <t>NYSE</t>
        </is>
      </c>
      <c r="D8466" t="n">
        <v>927971</v>
      </c>
      <c r="E8466" t="inlineStr">
        <is>
          <t>SEC</t>
        </is>
      </c>
    </row>
    <row r="8467">
      <c r="A8467" s="5">
        <f>HYPERLINK("https://finance.yahoo.com/quote/DULL","DULL")</f>
        <v/>
      </c>
      <c r="B8467" t="inlineStr">
        <is>
          <t>BANK OF MONTREAL /CAN/</t>
        </is>
      </c>
      <c r="C8467" t="inlineStr">
        <is>
          <t>NYSE</t>
        </is>
      </c>
      <c r="D8467" t="n">
        <v>927971</v>
      </c>
      <c r="E8467" t="inlineStr">
        <is>
          <t>SEC</t>
        </is>
      </c>
    </row>
    <row r="8468">
      <c r="A8468" s="5">
        <f>HYPERLINK("https://finance.yahoo.com/quote/FLYD","FLYD")</f>
        <v/>
      </c>
      <c r="B8468" t="inlineStr">
        <is>
          <t>BANK OF MONTREAL /CAN/</t>
        </is>
      </c>
      <c r="C8468" t="inlineStr">
        <is>
          <t>NYSE</t>
        </is>
      </c>
      <c r="D8468" t="n">
        <v>927971</v>
      </c>
      <c r="E8468" t="inlineStr">
        <is>
          <t>SEC</t>
        </is>
      </c>
    </row>
    <row r="8469">
      <c r="A8469" s="5">
        <f>HYPERLINK("https://finance.yahoo.com/quote/FLYU","FLYU")</f>
        <v/>
      </c>
      <c r="B8469" t="inlineStr">
        <is>
          <t>BANK OF MONTREAL /CAN/</t>
        </is>
      </c>
      <c r="C8469" t="inlineStr">
        <is>
          <t>NYSE</t>
        </is>
      </c>
      <c r="D8469" t="n">
        <v>927971</v>
      </c>
      <c r="E8469" t="inlineStr">
        <is>
          <t>SEC</t>
        </is>
      </c>
    </row>
    <row r="8470">
      <c r="A8470" s="5">
        <f>HYPERLINK("https://finance.yahoo.com/quote/FNGO","FNGO")</f>
        <v/>
      </c>
      <c r="B8470" t="inlineStr">
        <is>
          <t>BANK OF MONTREAL /CAN/</t>
        </is>
      </c>
      <c r="C8470" t="inlineStr">
        <is>
          <t>NYSE</t>
        </is>
      </c>
      <c r="D8470" t="n">
        <v>927971</v>
      </c>
      <c r="E8470" t="inlineStr">
        <is>
          <t>SEC</t>
        </is>
      </c>
    </row>
    <row r="8471">
      <c r="A8471" s="5">
        <f>HYPERLINK("https://finance.yahoo.com/quote/FNGS","FNGS")</f>
        <v/>
      </c>
      <c r="B8471" t="inlineStr">
        <is>
          <t>BANK OF MONTREAL /CAN/</t>
        </is>
      </c>
      <c r="C8471" t="inlineStr">
        <is>
          <t>NYSE</t>
        </is>
      </c>
      <c r="D8471" t="n">
        <v>927971</v>
      </c>
      <c r="E8471" t="inlineStr">
        <is>
          <t>SEC</t>
        </is>
      </c>
    </row>
    <row r="8472">
      <c r="A8472" s="5">
        <f>HYPERLINK("https://finance.yahoo.com/quote/FNGU","FNGU")</f>
        <v/>
      </c>
      <c r="B8472" t="inlineStr">
        <is>
          <t>BANK OF MONTREAL /CAN/</t>
        </is>
      </c>
      <c r="C8472" t="inlineStr">
        <is>
          <t>NYSE</t>
        </is>
      </c>
      <c r="D8472" t="n">
        <v>927971</v>
      </c>
      <c r="E8472" t="inlineStr">
        <is>
          <t>SEC</t>
        </is>
      </c>
    </row>
    <row r="8473">
      <c r="A8473" s="5">
        <f>HYPERLINK("https://finance.yahoo.com/quote/GDXD","GDXD")</f>
        <v/>
      </c>
      <c r="B8473" t="inlineStr">
        <is>
          <t>BANK OF MONTREAL /CAN/</t>
        </is>
      </c>
      <c r="C8473" t="inlineStr">
        <is>
          <t>NYSE</t>
        </is>
      </c>
      <c r="D8473" t="n">
        <v>927971</v>
      </c>
      <c r="E8473" t="inlineStr">
        <is>
          <t>SEC</t>
        </is>
      </c>
    </row>
    <row r="8474">
      <c r="A8474" s="5">
        <f>HYPERLINK("https://finance.yahoo.com/quote/GDXU","GDXU")</f>
        <v/>
      </c>
      <c r="B8474" t="inlineStr">
        <is>
          <t>BANK OF MONTREAL /CAN/</t>
        </is>
      </c>
      <c r="C8474" t="inlineStr">
        <is>
          <t>NYSE</t>
        </is>
      </c>
      <c r="D8474" t="n">
        <v>927971</v>
      </c>
      <c r="E8474" t="inlineStr">
        <is>
          <t>SEC</t>
        </is>
      </c>
    </row>
    <row r="8475">
      <c r="A8475" s="5">
        <f>HYPERLINK("https://finance.yahoo.com/quote/HYGD","HYGD")</f>
        <v/>
      </c>
      <c r="B8475" t="inlineStr">
        <is>
          <t>BANK OF MONTREAL /CAN/</t>
        </is>
      </c>
      <c r="C8475" t="inlineStr">
        <is>
          <t>CBOE</t>
        </is>
      </c>
      <c r="D8475" t="n">
        <v>927971</v>
      </c>
      <c r="E8475" t="inlineStr">
        <is>
          <t>SEC</t>
        </is>
      </c>
    </row>
    <row r="8476">
      <c r="A8476" s="5">
        <f>HYPERLINK("https://finance.yahoo.com/quote/HYGU","HYGU")</f>
        <v/>
      </c>
      <c r="B8476" t="inlineStr">
        <is>
          <t>BANK OF MONTREAL /CAN/</t>
        </is>
      </c>
      <c r="C8476" t="inlineStr">
        <is>
          <t>CBOE</t>
        </is>
      </c>
      <c r="D8476" t="n">
        <v>927971</v>
      </c>
      <c r="E8476" t="inlineStr">
        <is>
          <t>SEC</t>
        </is>
      </c>
    </row>
    <row r="8477">
      <c r="A8477" s="5">
        <f>HYPERLINK("https://finance.yahoo.com/quote/JETD","JETD")</f>
        <v/>
      </c>
      <c r="B8477" t="inlineStr">
        <is>
          <t>BANK OF MONTREAL /CAN/</t>
        </is>
      </c>
      <c r="C8477" t="inlineStr">
        <is>
          <t>NYSE</t>
        </is>
      </c>
      <c r="D8477" t="n">
        <v>927971</v>
      </c>
      <c r="E8477" t="inlineStr">
        <is>
          <t>SEC</t>
        </is>
      </c>
    </row>
    <row r="8478">
      <c r="A8478" s="5">
        <f>HYPERLINK("https://finance.yahoo.com/quote/JETU","JETU")</f>
        <v/>
      </c>
      <c r="B8478" t="inlineStr">
        <is>
          <t>BANK OF MONTREAL /CAN/</t>
        </is>
      </c>
      <c r="C8478" t="inlineStr">
        <is>
          <t>NYSE</t>
        </is>
      </c>
      <c r="D8478" t="n">
        <v>927971</v>
      </c>
      <c r="E8478" t="inlineStr">
        <is>
          <t>SEC</t>
        </is>
      </c>
    </row>
    <row r="8479">
      <c r="A8479" s="5">
        <f>HYPERLINK("https://finance.yahoo.com/quote/JPND","JPND")</f>
        <v/>
      </c>
      <c r="B8479" t="inlineStr">
        <is>
          <t>BANK OF MONTREAL /CAN/</t>
        </is>
      </c>
      <c r="C8479" t="inlineStr">
        <is>
          <t>CBOE</t>
        </is>
      </c>
      <c r="D8479" t="n">
        <v>927971</v>
      </c>
      <c r="E8479" t="inlineStr">
        <is>
          <t>SEC</t>
        </is>
      </c>
    </row>
    <row r="8480">
      <c r="A8480" s="5">
        <f>HYPERLINK("https://finance.yahoo.com/quote/JPNU","JPNU")</f>
        <v/>
      </c>
      <c r="B8480" t="inlineStr">
        <is>
          <t>BANK OF MONTREAL /CAN/</t>
        </is>
      </c>
      <c r="C8480" t="inlineStr">
        <is>
          <t>CBOE</t>
        </is>
      </c>
      <c r="D8480" t="n">
        <v>927971</v>
      </c>
      <c r="E8480" t="inlineStr">
        <is>
          <t>SEC</t>
        </is>
      </c>
    </row>
    <row r="8481">
      <c r="A8481" s="5">
        <f>HYPERLINK("https://finance.yahoo.com/quote/LQDD","LQDD")</f>
        <v/>
      </c>
      <c r="B8481" t="inlineStr">
        <is>
          <t>BANK OF MONTREAL /CAN/</t>
        </is>
      </c>
      <c r="C8481" t="inlineStr">
        <is>
          <t>CBOE</t>
        </is>
      </c>
      <c r="D8481" t="n">
        <v>927971</v>
      </c>
      <c r="E8481" t="inlineStr">
        <is>
          <t>SEC</t>
        </is>
      </c>
    </row>
    <row r="8482">
      <c r="A8482" s="5">
        <f>HYPERLINK("https://finance.yahoo.com/quote/LQDU","LQDU")</f>
        <v/>
      </c>
      <c r="B8482" t="inlineStr">
        <is>
          <t>BANK OF MONTREAL /CAN/</t>
        </is>
      </c>
      <c r="C8482" t="inlineStr">
        <is>
          <t>CBOE</t>
        </is>
      </c>
      <c r="D8482" t="n">
        <v>927971</v>
      </c>
      <c r="E8482" t="inlineStr">
        <is>
          <t>SEC</t>
        </is>
      </c>
    </row>
    <row r="8483">
      <c r="A8483" s="5">
        <f>HYPERLINK("https://finance.yahoo.com/quote/MNGU","MNGU")</f>
        <v/>
      </c>
      <c r="B8483" t="inlineStr">
        <is>
          <t>BANK OF MONTREAL /CAN/</t>
        </is>
      </c>
      <c r="C8483" t="inlineStr">
        <is>
          <t>NYSE</t>
        </is>
      </c>
      <c r="D8483" t="n">
        <v>927971</v>
      </c>
      <c r="E8483" t="inlineStr">
        <is>
          <t>SEC</t>
        </is>
      </c>
    </row>
    <row r="8484">
      <c r="A8484" s="5">
        <f>HYPERLINK("https://finance.yahoo.com/quote/NRGD","NRGD")</f>
        <v/>
      </c>
      <c r="B8484" t="inlineStr">
        <is>
          <t>BANK OF MONTREAL /CAN/</t>
        </is>
      </c>
      <c r="C8484" t="inlineStr">
        <is>
          <t>NYSE</t>
        </is>
      </c>
      <c r="D8484" t="n">
        <v>927971</v>
      </c>
      <c r="E8484" t="inlineStr">
        <is>
          <t>SEC</t>
        </is>
      </c>
    </row>
    <row r="8485">
      <c r="A8485" s="5">
        <f>HYPERLINK("https://finance.yahoo.com/quote/NRGU","NRGU")</f>
        <v/>
      </c>
      <c r="B8485" t="inlineStr">
        <is>
          <t>BANK OF MONTREAL /CAN/</t>
        </is>
      </c>
      <c r="C8485" t="inlineStr">
        <is>
          <t>NYSE</t>
        </is>
      </c>
      <c r="D8485" t="n">
        <v>927971</v>
      </c>
      <c r="E8485" t="inlineStr">
        <is>
          <t>SEC</t>
        </is>
      </c>
    </row>
    <row r="8486">
      <c r="A8486" s="5">
        <f>HYPERLINK("https://finance.yahoo.com/quote/OILD","OILD")</f>
        <v/>
      </c>
      <c r="B8486" t="inlineStr">
        <is>
          <t>BANK OF MONTREAL /CAN/</t>
        </is>
      </c>
      <c r="C8486" t="inlineStr">
        <is>
          <t>NYSE</t>
        </is>
      </c>
      <c r="D8486" t="n">
        <v>927971</v>
      </c>
      <c r="E8486" t="inlineStr">
        <is>
          <t>SEC</t>
        </is>
      </c>
    </row>
    <row r="8487">
      <c r="A8487" s="5">
        <f>HYPERLINK("https://finance.yahoo.com/quote/OILU","OILU")</f>
        <v/>
      </c>
      <c r="B8487" t="inlineStr">
        <is>
          <t>BANK OF MONTREAL /CAN/</t>
        </is>
      </c>
      <c r="C8487" t="inlineStr">
        <is>
          <t>NYSE</t>
        </is>
      </c>
      <c r="D8487" t="n">
        <v>927971</v>
      </c>
      <c r="E8487" t="inlineStr">
        <is>
          <t>SEC</t>
        </is>
      </c>
    </row>
    <row r="8488">
      <c r="A8488" s="5">
        <f>HYPERLINK("https://finance.yahoo.com/quote/SHNY","SHNY")</f>
        <v/>
      </c>
      <c r="B8488" t="inlineStr">
        <is>
          <t>BANK OF MONTREAL /CAN/</t>
        </is>
      </c>
      <c r="C8488" t="inlineStr">
        <is>
          <t>NYSE</t>
        </is>
      </c>
      <c r="D8488" t="n">
        <v>927971</v>
      </c>
      <c r="E8488" t="inlineStr">
        <is>
          <t>SEC</t>
        </is>
      </c>
    </row>
    <row r="8489">
      <c r="A8489" s="5">
        <f>HYPERLINK("https://finance.yahoo.com/quote/SMHD","SMHD")</f>
        <v/>
      </c>
      <c r="B8489" t="inlineStr">
        <is>
          <t>BANK OF MONTREAL /CAN/</t>
        </is>
      </c>
      <c r="C8489" t="inlineStr">
        <is>
          <t>CBOE</t>
        </is>
      </c>
      <c r="D8489" t="n">
        <v>927971</v>
      </c>
      <c r="E8489" t="inlineStr">
        <is>
          <t>SEC</t>
        </is>
      </c>
    </row>
    <row r="8490">
      <c r="A8490" s="5">
        <f>HYPERLINK("https://finance.yahoo.com/quote/SMHU","SMHU")</f>
        <v/>
      </c>
      <c r="B8490" t="inlineStr">
        <is>
          <t>BANK OF MONTREAL /CAN/</t>
        </is>
      </c>
      <c r="C8490" t="inlineStr">
        <is>
          <t>CBOE</t>
        </is>
      </c>
      <c r="D8490" t="n">
        <v>927971</v>
      </c>
      <c r="E8490" t="inlineStr">
        <is>
          <t>SEC</t>
        </is>
      </c>
    </row>
    <row r="8491">
      <c r="A8491" s="5">
        <f>HYPERLINK("https://finance.yahoo.com/quote/SPYU","SPYU")</f>
        <v/>
      </c>
      <c r="B8491" t="inlineStr">
        <is>
          <t>BANK OF MONTREAL /CAN/</t>
        </is>
      </c>
      <c r="C8491" t="inlineStr">
        <is>
          <t>NYSE</t>
        </is>
      </c>
      <c r="D8491" t="n">
        <v>927971</v>
      </c>
      <c r="E8491" t="inlineStr">
        <is>
          <t>SEC</t>
        </is>
      </c>
    </row>
    <row r="8492">
      <c r="A8492" s="5">
        <f>HYPERLINK("https://finance.yahoo.com/quote/TAWN","TAWN")</f>
        <v/>
      </c>
      <c r="B8492" t="inlineStr">
        <is>
          <t>BANK OF MONTREAL /CAN/</t>
        </is>
      </c>
      <c r="C8492" t="inlineStr">
        <is>
          <t>CBOE</t>
        </is>
      </c>
      <c r="D8492" t="n">
        <v>927971</v>
      </c>
      <c r="E8492" t="inlineStr">
        <is>
          <t>SEC</t>
        </is>
      </c>
    </row>
    <row r="8493">
      <c r="A8493" s="5">
        <f>HYPERLINK("https://finance.yahoo.com/quote/TPEI","TPEI")</f>
        <v/>
      </c>
      <c r="B8493" t="inlineStr">
        <is>
          <t>BANK OF MONTREAL /CAN/</t>
        </is>
      </c>
      <c r="C8493" t="inlineStr">
        <is>
          <t>CBOE</t>
        </is>
      </c>
      <c r="D8493" t="n">
        <v>927971</v>
      </c>
      <c r="E8493" t="inlineStr">
        <is>
          <t>SEC</t>
        </is>
      </c>
    </row>
    <row r="8494">
      <c r="A8494" s="5">
        <f>HYPERLINK("https://finance.yahoo.com/quote/WTID","WTID")</f>
        <v/>
      </c>
      <c r="B8494" t="inlineStr">
        <is>
          <t>BANK OF MONTREAL /CAN/</t>
        </is>
      </c>
      <c r="C8494" t="inlineStr">
        <is>
          <t>NYSE</t>
        </is>
      </c>
      <c r="D8494" t="n">
        <v>927971</v>
      </c>
      <c r="E8494" t="inlineStr">
        <is>
          <t>SEC</t>
        </is>
      </c>
    </row>
    <row r="8495">
      <c r="A8495" s="5">
        <f>HYPERLINK("https://finance.yahoo.com/quote/WTIU","WTIU")</f>
        <v/>
      </c>
      <c r="B8495" t="inlineStr">
        <is>
          <t>BANK OF MONTREAL /CAN/</t>
        </is>
      </c>
      <c r="C8495" t="inlineStr">
        <is>
          <t>NYSE</t>
        </is>
      </c>
      <c r="D8495" t="n">
        <v>927971</v>
      </c>
      <c r="E8495" t="inlineStr">
        <is>
          <t>SEC</t>
        </is>
      </c>
    </row>
    <row r="8496">
      <c r="A8496" s="5">
        <f>HYPERLINK("https://finance.yahoo.com/quote/XLCD","XLCD")</f>
        <v/>
      </c>
      <c r="B8496" t="inlineStr">
        <is>
          <t>BANK OF MONTREAL /CAN/</t>
        </is>
      </c>
      <c r="C8496" t="inlineStr">
        <is>
          <t>CBOE</t>
        </is>
      </c>
      <c r="D8496" t="n">
        <v>927971</v>
      </c>
      <c r="E8496" t="inlineStr">
        <is>
          <t>SEC</t>
        </is>
      </c>
    </row>
    <row r="8497">
      <c r="A8497" s="5">
        <f>HYPERLINK("https://finance.yahoo.com/quote/XLCU","XLCU")</f>
        <v/>
      </c>
      <c r="B8497" t="inlineStr">
        <is>
          <t>BANK OF MONTREAL /CAN/</t>
        </is>
      </c>
      <c r="C8497" t="inlineStr">
        <is>
          <t>CBOE</t>
        </is>
      </c>
      <c r="D8497" t="n">
        <v>927971</v>
      </c>
      <c r="E8497" t="inlineStr">
        <is>
          <t>SEC</t>
        </is>
      </c>
    </row>
    <row r="8498">
      <c r="A8498" s="5">
        <f>HYPERLINK("https://finance.yahoo.com/quote/XLPD","XLPD")</f>
        <v/>
      </c>
      <c r="B8498" t="inlineStr">
        <is>
          <t>BANK OF MONTREAL /CAN/</t>
        </is>
      </c>
      <c r="C8498" t="inlineStr">
        <is>
          <t>CBOE</t>
        </is>
      </c>
      <c r="D8498" t="n">
        <v>927971</v>
      </c>
      <c r="E8498" t="inlineStr">
        <is>
          <t>SEC</t>
        </is>
      </c>
    </row>
    <row r="8499">
      <c r="A8499" s="5">
        <f>HYPERLINK("https://finance.yahoo.com/quote/XLPU","XLPU")</f>
        <v/>
      </c>
      <c r="B8499" t="inlineStr">
        <is>
          <t>BANK OF MONTREAL /CAN/</t>
        </is>
      </c>
      <c r="C8499" t="inlineStr">
        <is>
          <t>CBOE</t>
        </is>
      </c>
      <c r="D8499" t="n">
        <v>927971</v>
      </c>
      <c r="E8499" t="inlineStr">
        <is>
          <t>SEC</t>
        </is>
      </c>
    </row>
    <row r="8500">
      <c r="A8500" s="5">
        <f>HYPERLINK("https://finance.yahoo.com/quote/RWTN","RWTN")</f>
        <v/>
      </c>
      <c r="B8500" t="inlineStr">
        <is>
          <t>REDWOOD TRUST INC</t>
        </is>
      </c>
      <c r="C8500" t="inlineStr">
        <is>
          <t>NYSE</t>
        </is>
      </c>
      <c r="D8500" t="n">
        <v>930236</v>
      </c>
      <c r="E8500" t="inlineStr">
        <is>
          <t>SEC</t>
        </is>
      </c>
    </row>
    <row r="8501">
      <c r="A8501" s="5">
        <f>HYPERLINK("https://finance.yahoo.com/quote/RWTO","RWTO")</f>
        <v/>
      </c>
      <c r="B8501" t="inlineStr">
        <is>
          <t>REDWOOD TRUST INC</t>
        </is>
      </c>
      <c r="C8501" t="inlineStr">
        <is>
          <t>NYSE</t>
        </is>
      </c>
      <c r="D8501" t="n">
        <v>930236</v>
      </c>
      <c r="E8501" t="inlineStr">
        <is>
          <t>SEC</t>
        </is>
      </c>
    </row>
    <row r="8502">
      <c r="A8502" s="5">
        <f>HYPERLINK("https://finance.yahoo.com/quote/RWTP","RWTP")</f>
        <v/>
      </c>
      <c r="B8502" t="inlineStr">
        <is>
          <t>REDWOOD TRUST INC</t>
        </is>
      </c>
      <c r="C8502" t="inlineStr">
        <is>
          <t>NYSE</t>
        </is>
      </c>
      <c r="D8502" t="n">
        <v>930236</v>
      </c>
      <c r="E8502" t="inlineStr">
        <is>
          <t>SEC</t>
        </is>
      </c>
    </row>
    <row r="8503">
      <c r="A8503" s="5">
        <f>HYPERLINK("https://finance.yahoo.com/quote/RWT-PA","RWT-PA")</f>
        <v/>
      </c>
      <c r="B8503" t="inlineStr">
        <is>
          <t>REDWOOD TRUST INC</t>
        </is>
      </c>
      <c r="C8503" t="inlineStr">
        <is>
          <t>NYSE</t>
        </is>
      </c>
      <c r="D8503" t="n">
        <v>930236</v>
      </c>
      <c r="E8503" t="inlineStr">
        <is>
          <t>SEC</t>
        </is>
      </c>
    </row>
    <row r="8504">
      <c r="A8504" s="5">
        <f>HYPERLINK("https://finance.yahoo.com/quote/RWTQ","RWTQ")</f>
        <v/>
      </c>
      <c r="B8504" t="inlineStr">
        <is>
          <t>REDWOOD TRUST INC</t>
        </is>
      </c>
      <c r="C8504" t="inlineStr">
        <is>
          <t>NYSE</t>
        </is>
      </c>
      <c r="D8504" t="n">
        <v>930236</v>
      </c>
      <c r="E8504" t="inlineStr">
        <is>
          <t>SEC</t>
        </is>
      </c>
    </row>
    <row r="8505">
      <c r="A8505" s="5">
        <f>HYPERLINK("https://finance.yahoo.com/quote/RWTS","RWTS")</f>
        <v/>
      </c>
      <c r="B8505" t="inlineStr">
        <is>
          <t>REDWOOD TRUST INC</t>
        </is>
      </c>
      <c r="C8505" t="inlineStr">
        <is>
          <t>NYSE</t>
        </is>
      </c>
      <c r="D8505" t="n">
        <v>930236</v>
      </c>
      <c r="E8505" t="inlineStr">
        <is>
          <t>SEC</t>
        </is>
      </c>
    </row>
    <row r="8506">
      <c r="A8506" s="5">
        <f>HYPERLINK("https://finance.yahoo.com/quote/DTB","DTB")</f>
        <v/>
      </c>
      <c r="B8506" t="inlineStr">
        <is>
          <t>DTE ENERGY CO</t>
        </is>
      </c>
      <c r="C8506" t="inlineStr">
        <is>
          <t>NYSE</t>
        </is>
      </c>
      <c r="D8506" t="n">
        <v>936340</v>
      </c>
      <c r="E8506" t="inlineStr">
        <is>
          <t>SEC</t>
        </is>
      </c>
    </row>
    <row r="8507">
      <c r="A8507" s="5">
        <f>HYPERLINK("https://finance.yahoo.com/quote/DTG","DTG")</f>
        <v/>
      </c>
      <c r="B8507" t="inlineStr">
        <is>
          <t>DTE ENERGY CO</t>
        </is>
      </c>
      <c r="C8507" t="inlineStr">
        <is>
          <t>NYSE</t>
        </is>
      </c>
      <c r="D8507" t="n">
        <v>936340</v>
      </c>
      <c r="E8507" t="inlineStr">
        <is>
          <t>SEC</t>
        </is>
      </c>
    </row>
    <row r="8508">
      <c r="A8508" s="5">
        <f>HYPERLINK("https://finance.yahoo.com/quote/DTK","DTK")</f>
        <v/>
      </c>
      <c r="B8508" t="inlineStr">
        <is>
          <t>DTE ENERGY CO</t>
        </is>
      </c>
      <c r="C8508" t="inlineStr">
        <is>
          <t>NYSE</t>
        </is>
      </c>
      <c r="D8508" t="n">
        <v>936340</v>
      </c>
      <c r="E8508" t="inlineStr">
        <is>
          <t>SEC</t>
        </is>
      </c>
    </row>
    <row r="8509">
      <c r="A8509" s="5">
        <f>HYPERLINK("https://finance.yahoo.com/quote/WAFDP","WAFDP")</f>
        <v/>
      </c>
      <c r="B8509" t="inlineStr">
        <is>
          <t>WAFD INC</t>
        </is>
      </c>
      <c r="C8509" t="inlineStr">
        <is>
          <t>Nasdaq</t>
        </is>
      </c>
      <c r="D8509" t="n">
        <v>936528</v>
      </c>
      <c r="E8509" t="inlineStr">
        <is>
          <t>SEC</t>
        </is>
      </c>
    </row>
    <row r="8510">
      <c r="A8510" s="5">
        <f>HYPERLINK("https://finance.yahoo.com/quote/TDBCP","TDBCP")</f>
        <v/>
      </c>
      <c r="B8510" t="inlineStr">
        <is>
          <t>TORONTO DOMINION BANK</t>
        </is>
      </c>
      <c r="C8510" t="inlineStr">
        <is>
          <t>OTC</t>
        </is>
      </c>
      <c r="D8510" t="n">
        <v>947263</v>
      </c>
      <c r="E8510" t="inlineStr">
        <is>
          <t>SEC</t>
        </is>
      </c>
    </row>
    <row r="8511">
      <c r="A8511" s="5">
        <f>HYPERLINK("https://finance.yahoo.com/quote/ACGLN","ACGLN")</f>
        <v/>
      </c>
      <c r="B8511" t="inlineStr">
        <is>
          <t>ARCH CAPITAL GROUP LTD.</t>
        </is>
      </c>
      <c r="C8511" t="inlineStr">
        <is>
          <t>Nasdaq</t>
        </is>
      </c>
      <c r="D8511" t="n">
        <v>947484</v>
      </c>
      <c r="E8511" t="inlineStr">
        <is>
          <t>SEC</t>
        </is>
      </c>
    </row>
    <row r="8512">
      <c r="A8512" s="5">
        <f>HYPERLINK("https://finance.yahoo.com/quote/ACGLO","ACGLO")</f>
        <v/>
      </c>
      <c r="B8512" t="inlineStr">
        <is>
          <t>ARCH CAPITAL GROUP LTD.</t>
        </is>
      </c>
      <c r="C8512" t="inlineStr">
        <is>
          <t>Nasdaq</t>
        </is>
      </c>
      <c r="D8512" t="n">
        <v>947484</v>
      </c>
      <c r="E8512" t="inlineStr">
        <is>
          <t>SEC</t>
        </is>
      </c>
    </row>
    <row r="8513">
      <c r="A8513" s="5">
        <f>HYPERLINK("https://finance.yahoo.com/quote/LFMDP","LFMDP")</f>
        <v/>
      </c>
      <c r="B8513" t="inlineStr">
        <is>
          <t>LifeMD, Inc.</t>
        </is>
      </c>
      <c r="C8513" t="inlineStr">
        <is>
          <t>Nasdaq</t>
        </is>
      </c>
      <c r="D8513" t="n">
        <v>948320</v>
      </c>
      <c r="E8513" t="inlineStr">
        <is>
          <t>SEC</t>
        </is>
      </c>
    </row>
    <row r="8514">
      <c r="A8514" s="5">
        <f>HYPERLINK("https://finance.yahoo.com/quote/MBNKO","MBNKO")</f>
        <v/>
      </c>
      <c r="B8514" t="inlineStr">
        <is>
          <t>MEDALLION FINANCIAL CORP</t>
        </is>
      </c>
      <c r="C8514" t="inlineStr">
        <is>
          <t>Nasdaq</t>
        </is>
      </c>
      <c r="D8514" t="n">
        <v>1000209</v>
      </c>
      <c r="E8514" t="inlineStr">
        <is>
          <t>SEC</t>
        </is>
      </c>
    </row>
    <row r="8515">
      <c r="A8515" s="5">
        <f>HYPERLINK("https://finance.yahoo.com/quote/RYLBF","RYLBF")</f>
        <v/>
      </c>
      <c r="B8515" t="inlineStr">
        <is>
          <t>ROYAL BANK OF CANADA</t>
        </is>
      </c>
      <c r="C8515" t="inlineStr">
        <is>
          <t>OTC</t>
        </is>
      </c>
      <c r="D8515" t="n">
        <v>1000275</v>
      </c>
      <c r="E8515" t="inlineStr">
        <is>
          <t>SEC</t>
        </is>
      </c>
    </row>
    <row r="8516">
      <c r="A8516" s="5">
        <f>HYPERLINK("https://finance.yahoo.com/quote/BAMKF","BAMKF")</f>
        <v/>
      </c>
      <c r="B8516" t="inlineStr">
        <is>
          <t>BROOKFIELD Corp /ON/</t>
        </is>
      </c>
      <c r="C8516" t="inlineStr">
        <is>
          <t>OTC</t>
        </is>
      </c>
      <c r="D8516" t="n">
        <v>1001085</v>
      </c>
      <c r="E8516" t="inlineStr">
        <is>
          <t>SEC</t>
        </is>
      </c>
    </row>
    <row r="8517">
      <c r="A8517" s="5">
        <f>HYPERLINK("https://finance.yahoo.com/quote/BKAMF","BKAMF")</f>
        <v/>
      </c>
      <c r="B8517" t="inlineStr">
        <is>
          <t>BROOKFIELD Corp /ON/</t>
        </is>
      </c>
      <c r="C8517" t="inlineStr">
        <is>
          <t>OTC</t>
        </is>
      </c>
      <c r="D8517" t="n">
        <v>1001085</v>
      </c>
      <c r="E8517" t="inlineStr">
        <is>
          <t>SEC</t>
        </is>
      </c>
    </row>
    <row r="8518">
      <c r="A8518" s="5">
        <f>HYPERLINK("https://finance.yahoo.com/quote/BKFAF","BKFAF")</f>
        <v/>
      </c>
      <c r="B8518" t="inlineStr">
        <is>
          <t>BROOKFIELD Corp /ON/</t>
        </is>
      </c>
      <c r="C8518" t="inlineStr">
        <is>
          <t>OTC</t>
        </is>
      </c>
      <c r="D8518" t="n">
        <v>1001085</v>
      </c>
      <c r="E8518" t="inlineStr">
        <is>
          <t>SEC</t>
        </is>
      </c>
    </row>
    <row r="8519">
      <c r="A8519" s="5">
        <f>HYPERLINK("https://finance.yahoo.com/quote/BKFDF","BKFDF")</f>
        <v/>
      </c>
      <c r="B8519" t="inlineStr">
        <is>
          <t>BROOKFIELD Corp /ON/</t>
        </is>
      </c>
      <c r="C8519" t="inlineStr">
        <is>
          <t>OTC</t>
        </is>
      </c>
      <c r="D8519" t="n">
        <v>1001085</v>
      </c>
      <c r="E8519" t="inlineStr">
        <is>
          <t>SEC</t>
        </is>
      </c>
    </row>
    <row r="8520">
      <c r="A8520" s="5">
        <f>HYPERLINK("https://finance.yahoo.com/quote/BKFOF","BKFOF")</f>
        <v/>
      </c>
      <c r="B8520" t="inlineStr">
        <is>
          <t>BROOKFIELD Corp /ON/</t>
        </is>
      </c>
      <c r="C8520" t="inlineStr">
        <is>
          <t>OTC</t>
        </is>
      </c>
      <c r="D8520" t="n">
        <v>1001085</v>
      </c>
      <c r="E8520" t="inlineStr">
        <is>
          <t>SEC</t>
        </is>
      </c>
    </row>
    <row r="8521">
      <c r="A8521" s="5">
        <f>HYPERLINK("https://finance.yahoo.com/quote/BKFPF","BKFPF")</f>
        <v/>
      </c>
      <c r="B8521" t="inlineStr">
        <is>
          <t>BROOKFIELD Corp /ON/</t>
        </is>
      </c>
      <c r="C8521" t="inlineStr">
        <is>
          <t>OTC</t>
        </is>
      </c>
      <c r="D8521" t="n">
        <v>1001085</v>
      </c>
      <c r="E8521" t="inlineStr">
        <is>
          <t>SEC</t>
        </is>
      </c>
    </row>
    <row r="8522">
      <c r="A8522" s="5">
        <f>HYPERLINK("https://finance.yahoo.com/quote/BKPA","BKPA")</f>
        <v/>
      </c>
      <c r="B8522" t="inlineStr">
        <is>
          <t>BROOKFIELD Corp /ON/</t>
        </is>
      </c>
      <c r="C8522" t="inlineStr">
        <is>
          <t>OTC</t>
        </is>
      </c>
      <c r="D8522" t="n">
        <v>1001085</v>
      </c>
      <c r="E8522" t="inlineStr">
        <is>
          <t>SEC</t>
        </is>
      </c>
    </row>
    <row r="8523">
      <c r="A8523" s="5">
        <f>HYPERLINK("https://finance.yahoo.com/quote/BNH","BNH")</f>
        <v/>
      </c>
      <c r="B8523" t="inlineStr">
        <is>
          <t>BROOKFIELD Corp /ON/</t>
        </is>
      </c>
      <c r="C8523" t="inlineStr">
        <is>
          <t>NYSE</t>
        </is>
      </c>
      <c r="D8523" t="n">
        <v>1001085</v>
      </c>
      <c r="E8523" t="inlineStr">
        <is>
          <t>SEC</t>
        </is>
      </c>
    </row>
    <row r="8524">
      <c r="A8524" s="5">
        <f>HYPERLINK("https://finance.yahoo.com/quote/BNJ","BNJ")</f>
        <v/>
      </c>
      <c r="B8524" t="inlineStr">
        <is>
          <t>BROOKFIELD Corp /ON/</t>
        </is>
      </c>
      <c r="C8524" t="inlineStr">
        <is>
          <t>NYSE</t>
        </is>
      </c>
      <c r="D8524" t="n">
        <v>1001085</v>
      </c>
      <c r="E8524" t="inlineStr">
        <is>
          <t>SEC</t>
        </is>
      </c>
    </row>
    <row r="8525">
      <c r="A8525" s="5">
        <f>HYPERLINK("https://finance.yahoo.com/quote/BRCFF","BRCFF")</f>
        <v/>
      </c>
      <c r="B8525" t="inlineStr">
        <is>
          <t>BROOKFIELD Corp /ON/</t>
        </is>
      </c>
      <c r="C8525" t="inlineStr">
        <is>
          <t>OTC</t>
        </is>
      </c>
      <c r="D8525" t="n">
        <v>1001085</v>
      </c>
      <c r="E8525" t="inlineStr">
        <is>
          <t>SEC</t>
        </is>
      </c>
    </row>
    <row r="8526">
      <c r="A8526" s="5">
        <f>HYPERLINK("https://finance.yahoo.com/quote/BRFAF","BRFAF")</f>
        <v/>
      </c>
      <c r="B8526" t="inlineStr">
        <is>
          <t>BROOKFIELD Corp /ON/</t>
        </is>
      </c>
      <c r="C8526" t="inlineStr">
        <is>
          <t>OTC</t>
        </is>
      </c>
      <c r="D8526" t="n">
        <v>1001085</v>
      </c>
      <c r="E8526" t="inlineStr">
        <is>
          <t>SEC</t>
        </is>
      </c>
    </row>
    <row r="8527">
      <c r="A8527" s="5">
        <f>HYPERLINK("https://finance.yahoo.com/quote/BRFCF","BRFCF")</f>
        <v/>
      </c>
      <c r="B8527" t="inlineStr">
        <is>
          <t>BROOKFIELD Corp /ON/</t>
        </is>
      </c>
      <c r="C8527" t="inlineStr">
        <is>
          <t>OTC</t>
        </is>
      </c>
      <c r="D8527" t="n">
        <v>1001085</v>
      </c>
      <c r="E8527" t="inlineStr">
        <is>
          <t>SEC</t>
        </is>
      </c>
    </row>
    <row r="8528">
      <c r="A8528" s="5">
        <f>HYPERLINK("https://finance.yahoo.com/quote/BROXF","BROXF")</f>
        <v/>
      </c>
      <c r="B8528" t="inlineStr">
        <is>
          <t>BROOKFIELD Corp /ON/</t>
        </is>
      </c>
      <c r="C8528" t="inlineStr">
        <is>
          <t>OTC</t>
        </is>
      </c>
      <c r="D8528" t="n">
        <v>1001085</v>
      </c>
      <c r="E8528" t="inlineStr">
        <is>
          <t>SEC</t>
        </is>
      </c>
    </row>
    <row r="8529">
      <c r="A8529" s="5">
        <f>HYPERLINK("https://finance.yahoo.com/quote/BRPSF","BRPSF")</f>
        <v/>
      </c>
      <c r="B8529" t="inlineStr">
        <is>
          <t>BROOKFIELD Corp /ON/</t>
        </is>
      </c>
      <c r="C8529" t="inlineStr">
        <is>
          <t>OTC</t>
        </is>
      </c>
      <c r="D8529" t="n">
        <v>1001085</v>
      </c>
      <c r="E8529" t="inlineStr">
        <is>
          <t>SEC</t>
        </is>
      </c>
    </row>
    <row r="8530">
      <c r="A8530" s="5">
        <f>HYPERLINK("https://finance.yahoo.com/quote/BXDIF","BXDIF")</f>
        <v/>
      </c>
      <c r="B8530" t="inlineStr">
        <is>
          <t>BROOKFIELD Corp /ON/</t>
        </is>
      </c>
      <c r="C8530" t="inlineStr">
        <is>
          <t>OTC</t>
        </is>
      </c>
      <c r="D8530" t="n">
        <v>1001085</v>
      </c>
      <c r="E8530" t="inlineStr">
        <is>
          <t>SEC</t>
        </is>
      </c>
    </row>
    <row r="8531">
      <c r="A8531" s="5">
        <f>HYPERLINK("https://finance.yahoo.com/quote/NEWEN","NEWEN")</f>
        <v/>
      </c>
      <c r="B8531" t="inlineStr">
        <is>
          <t>NATIONAL GRID PLC</t>
        </is>
      </c>
      <c r="C8531" t="inlineStr">
        <is>
          <t>OTC</t>
        </is>
      </c>
      <c r="D8531" t="n">
        <v>1004315</v>
      </c>
      <c r="E8531" t="inlineStr">
        <is>
          <t>SEC</t>
        </is>
      </c>
    </row>
    <row r="8532">
      <c r="A8532" s="5">
        <f>HYPERLINK("https://finance.yahoo.com/quote/NMKBP","NMKBP")</f>
        <v/>
      </c>
      <c r="B8532" t="inlineStr">
        <is>
          <t>NATIONAL GRID PLC</t>
        </is>
      </c>
      <c r="C8532" t="inlineStr">
        <is>
          <t>OTC</t>
        </is>
      </c>
      <c r="D8532" t="n">
        <v>1004315</v>
      </c>
      <c r="E8532" t="inlineStr">
        <is>
          <t>SEC</t>
        </is>
      </c>
    </row>
    <row r="8533">
      <c r="A8533" s="5">
        <f>HYPERLINK("https://finance.yahoo.com/quote/NMKCP","NMKCP")</f>
        <v/>
      </c>
      <c r="B8533" t="inlineStr">
        <is>
          <t>NATIONAL GRID PLC</t>
        </is>
      </c>
      <c r="C8533" t="inlineStr">
        <is>
          <t>OTC</t>
        </is>
      </c>
      <c r="D8533" t="n">
        <v>1004315</v>
      </c>
      <c r="E8533" t="inlineStr">
        <is>
          <t>SEC</t>
        </is>
      </c>
    </row>
    <row r="8534">
      <c r="A8534" s="5">
        <f>HYPERLINK("https://finance.yahoo.com/quote/NMPWP","NMPWP")</f>
        <v/>
      </c>
      <c r="B8534" t="inlineStr">
        <is>
          <t>NATIONAL GRID PLC</t>
        </is>
      </c>
      <c r="C8534" t="inlineStr">
        <is>
          <t>OTC</t>
        </is>
      </c>
      <c r="D8534" t="n">
        <v>1004315</v>
      </c>
      <c r="E8534" t="inlineStr">
        <is>
          <t>SEC</t>
        </is>
      </c>
    </row>
    <row r="8535">
      <c r="A8535" s="5">
        <f>HYPERLINK("https://finance.yahoo.com/quote/MGR","MGR")</f>
        <v/>
      </c>
      <c r="B8535" t="inlineStr">
        <is>
          <t>AFFILIATED MANAGERS GROUP, INC.</t>
        </is>
      </c>
      <c r="C8535" t="inlineStr">
        <is>
          <t>NYSE</t>
        </is>
      </c>
      <c r="D8535" t="n">
        <v>1004434</v>
      </c>
      <c r="E8535" t="inlineStr">
        <is>
          <t>SEC</t>
        </is>
      </c>
    </row>
    <row r="8536">
      <c r="A8536" s="5">
        <f>HYPERLINK("https://finance.yahoo.com/quote/MGRB","MGRB")</f>
        <v/>
      </c>
      <c r="B8536" t="inlineStr">
        <is>
          <t>AFFILIATED MANAGERS GROUP, INC.</t>
        </is>
      </c>
      <c r="C8536" t="inlineStr">
        <is>
          <t>NYSE</t>
        </is>
      </c>
      <c r="D8536" t="n">
        <v>1004434</v>
      </c>
      <c r="E8536" t="inlineStr">
        <is>
          <t>SEC</t>
        </is>
      </c>
    </row>
    <row r="8537">
      <c r="A8537" s="5">
        <f>HYPERLINK("https://finance.yahoo.com/quote/MGRD","MGRD")</f>
        <v/>
      </c>
      <c r="B8537" t="inlineStr">
        <is>
          <t>AFFILIATED MANAGERS GROUP, INC.</t>
        </is>
      </c>
      <c r="C8537" t="inlineStr">
        <is>
          <t>NYSE</t>
        </is>
      </c>
      <c r="D8537" t="n">
        <v>1004434</v>
      </c>
      <c r="E8537" t="inlineStr">
        <is>
          <t>SEC</t>
        </is>
      </c>
    </row>
    <row r="8538">
      <c r="A8538" s="5">
        <f>HYPERLINK("https://finance.yahoo.com/quote/MGRE","MGRE")</f>
        <v/>
      </c>
      <c r="B8538" t="inlineStr">
        <is>
          <t>AFFILIATED MANAGERS GROUP, INC.</t>
        </is>
      </c>
      <c r="C8538" t="inlineStr">
        <is>
          <t>NYSE</t>
        </is>
      </c>
      <c r="D8538" t="n">
        <v>1004434</v>
      </c>
      <c r="E8538" t="inlineStr">
        <is>
          <t>SEC</t>
        </is>
      </c>
    </row>
    <row r="8539">
      <c r="A8539" s="5">
        <f>HYPERLINK("https://finance.yahoo.com/quote/RHEPA","RHEPA")</f>
        <v/>
      </c>
      <c r="B8539" t="inlineStr">
        <is>
          <t>REGIONAL HEALTH PROPERTIES, INC</t>
        </is>
      </c>
      <c r="C8539" t="inlineStr">
        <is>
          <t>OTC</t>
        </is>
      </c>
      <c r="D8539" t="n">
        <v>1004724</v>
      </c>
      <c r="E8539" t="inlineStr">
        <is>
          <t>SEC</t>
        </is>
      </c>
    </row>
    <row r="8540">
      <c r="A8540" s="5">
        <f>HYPERLINK("https://finance.yahoo.com/quote/RHEPB","RHEPB")</f>
        <v/>
      </c>
      <c r="B8540" t="inlineStr">
        <is>
          <t>REGIONAL HEALTH PROPERTIES, INC</t>
        </is>
      </c>
      <c r="C8540" t="inlineStr">
        <is>
          <t>OTC</t>
        </is>
      </c>
      <c r="D8540" t="n">
        <v>1004724</v>
      </c>
      <c r="E8540" t="inlineStr">
        <is>
          <t>SEC</t>
        </is>
      </c>
    </row>
    <row r="8541">
      <c r="A8541" s="5">
        <f>HYPERLINK("https://finance.yahoo.com/quote/RHEPZ","RHEPZ")</f>
        <v/>
      </c>
      <c r="B8541" t="inlineStr">
        <is>
          <t>REGIONAL HEALTH PROPERTIES, INC</t>
        </is>
      </c>
      <c r="C8541" t="inlineStr">
        <is>
          <t>OTC</t>
        </is>
      </c>
      <c r="D8541" t="n">
        <v>1004724</v>
      </c>
      <c r="E8541" t="inlineStr">
        <is>
          <t>SEC</t>
        </is>
      </c>
    </row>
    <row r="8542">
      <c r="A8542" s="5">
        <f>HYPERLINK("https://finance.yahoo.com/quote/PCG-PA","PCG-PA")</f>
        <v/>
      </c>
      <c r="B8542" t="inlineStr">
        <is>
          <t>PG&amp;E Corp</t>
        </is>
      </c>
      <c r="C8542" t="inlineStr">
        <is>
          <t>NYSE</t>
        </is>
      </c>
      <c r="D8542" t="n">
        <v>1004980</v>
      </c>
      <c r="E8542" t="inlineStr">
        <is>
          <t>SEC</t>
        </is>
      </c>
    </row>
    <row r="8543">
      <c r="A8543" s="5">
        <f>HYPERLINK("https://finance.yahoo.com/quote/PCG-PB","PCG-PB")</f>
        <v/>
      </c>
      <c r="B8543" t="inlineStr">
        <is>
          <t>PG&amp;E Corp</t>
        </is>
      </c>
      <c r="C8543" t="inlineStr">
        <is>
          <t>NYSE</t>
        </is>
      </c>
      <c r="D8543" t="n">
        <v>1004980</v>
      </c>
      <c r="E8543" t="inlineStr">
        <is>
          <t>SEC</t>
        </is>
      </c>
    </row>
    <row r="8544">
      <c r="A8544" s="5">
        <f>HYPERLINK("https://finance.yahoo.com/quote/PCG-PX","PCG-PX")</f>
        <v/>
      </c>
      <c r="B8544" t="inlineStr">
        <is>
          <t>PG&amp;E Corp</t>
        </is>
      </c>
      <c r="C8544" t="inlineStr">
        <is>
          <t>NYSE</t>
        </is>
      </c>
      <c r="D8544" t="n">
        <v>1004980</v>
      </c>
      <c r="E8544" t="inlineStr">
        <is>
          <t>SEC</t>
        </is>
      </c>
    </row>
    <row r="8545">
      <c r="A8545" s="5">
        <f>HYPERLINK("https://finance.yahoo.com/quote/AIMDW","AIMDW")</f>
        <v/>
      </c>
      <c r="B8545" t="inlineStr">
        <is>
          <t>Ainos, Inc.</t>
        </is>
      </c>
      <c r="C8545" t="inlineStr">
        <is>
          <t>Nasdaq</t>
        </is>
      </c>
      <c r="D8545" t="n">
        <v>1014763</v>
      </c>
      <c r="E8545" t="inlineStr">
        <is>
          <t>SEC</t>
        </is>
      </c>
    </row>
    <row r="8546">
      <c r="A8546" s="5">
        <f>HYPERLINK("https://finance.yahoo.com/quote/WTFCN","WTFCN")</f>
        <v/>
      </c>
      <c r="B8546" t="inlineStr">
        <is>
          <t>WINTRUST FINANCIAL CORP</t>
        </is>
      </c>
      <c r="C8546" t="inlineStr">
        <is>
          <t>Nasdaq</t>
        </is>
      </c>
      <c r="D8546" t="n">
        <v>1015328</v>
      </c>
      <c r="E8546" t="inlineStr">
        <is>
          <t>SEC</t>
        </is>
      </c>
    </row>
    <row r="8547">
      <c r="A8547" s="5">
        <f>HYPERLINK("https://finance.yahoo.com/quote/POWWP","POWWP")</f>
        <v/>
      </c>
      <c r="B8547" t="inlineStr">
        <is>
          <t>Outdoor Holding Co</t>
        </is>
      </c>
      <c r="C8547" t="inlineStr">
        <is>
          <t>Nasdaq</t>
        </is>
      </c>
      <c r="D8547" t="n">
        <v>1015383</v>
      </c>
      <c r="E8547" t="inlineStr">
        <is>
          <t>SEC</t>
        </is>
      </c>
    </row>
    <row r="8548">
      <c r="A8548" s="5">
        <f>HYPERLINK("https://finance.yahoo.com/quote/XAEIU","XAEIU")</f>
        <v/>
      </c>
      <c r="B8548" t="inlineStr">
        <is>
          <t>AEI INCOME &amp; GROWTH FUND XXII LTD PARTNERSHIP</t>
        </is>
      </c>
      <c r="C8548" t="inlineStr">
        <is>
          <t>OTC</t>
        </is>
      </c>
      <c r="D8548" t="n">
        <v>1023458</v>
      </c>
      <c r="E8548" t="inlineStr">
        <is>
          <t>SEC</t>
        </is>
      </c>
    </row>
    <row r="8549">
      <c r="A8549" s="5">
        <f>HYPERLINK("https://finance.yahoo.com/quote/EFSCP","EFSCP")</f>
        <v/>
      </c>
      <c r="B8549" t="inlineStr">
        <is>
          <t>ENTERPRISE FINANCIAL SERVICES CORP</t>
        </is>
      </c>
      <c r="C8549" t="inlineStr">
        <is>
          <t>Nasdaq</t>
        </is>
      </c>
      <c r="D8549" t="n">
        <v>1025835</v>
      </c>
      <c r="E8549" t="inlineStr">
        <is>
          <t>SEC</t>
        </is>
      </c>
    </row>
    <row r="8550">
      <c r="A8550" s="5">
        <f>HYPERLINK("https://finance.yahoo.com/quote/FMCCI","FMCCI")</f>
        <v/>
      </c>
      <c r="B8550" t="inlineStr">
        <is>
          <t>FEDERAL HOME LOAN MORTGAGE CORP</t>
        </is>
      </c>
      <c r="C8550" t="inlineStr">
        <is>
          <t>OTC</t>
        </is>
      </c>
      <c r="D8550" t="n">
        <v>1026214</v>
      </c>
      <c r="E8550" t="inlineStr">
        <is>
          <t>SEC</t>
        </is>
      </c>
    </row>
    <row r="8551">
      <c r="A8551" s="5">
        <f>HYPERLINK("https://finance.yahoo.com/quote/FMCCT","FMCCT")</f>
        <v/>
      </c>
      <c r="B8551" t="inlineStr">
        <is>
          <t>FEDERAL HOME LOAN MORTGAGE CORP</t>
        </is>
      </c>
      <c r="C8551" t="inlineStr">
        <is>
          <t>OTC</t>
        </is>
      </c>
      <c r="D8551" t="n">
        <v>1026214</v>
      </c>
      <c r="E8551" t="inlineStr">
        <is>
          <t>SEC</t>
        </is>
      </c>
    </row>
    <row r="8552">
      <c r="A8552" s="5">
        <f>HYPERLINK("https://finance.yahoo.com/quote/FMCKI","FMCKI")</f>
        <v/>
      </c>
      <c r="B8552" t="inlineStr">
        <is>
          <t>FEDERAL HOME LOAN MORTGAGE CORP</t>
        </is>
      </c>
      <c r="C8552" t="inlineStr">
        <is>
          <t>OTC</t>
        </is>
      </c>
      <c r="D8552" t="n">
        <v>1026214</v>
      </c>
      <c r="E8552" t="inlineStr">
        <is>
          <t>SEC</t>
        </is>
      </c>
    </row>
    <row r="8553">
      <c r="A8553" s="5">
        <f>HYPERLINK("https://finance.yahoo.com/quote/FMCKK","FMCKK")</f>
        <v/>
      </c>
      <c r="B8553" t="inlineStr">
        <is>
          <t>FEDERAL HOME LOAN MORTGAGE CORP</t>
        </is>
      </c>
      <c r="C8553" t="inlineStr">
        <is>
          <t>OTC</t>
        </is>
      </c>
      <c r="D8553" t="n">
        <v>1026214</v>
      </c>
      <c r="E8553" t="inlineStr">
        <is>
          <t>SEC</t>
        </is>
      </c>
    </row>
    <row r="8554">
      <c r="A8554" s="5">
        <f>HYPERLINK("https://finance.yahoo.com/quote/FREJP","FREJP")</f>
        <v/>
      </c>
      <c r="B8554" t="inlineStr">
        <is>
          <t>FEDERAL HOME LOAN MORTGAGE CORP</t>
        </is>
      </c>
      <c r="C8554" t="inlineStr">
        <is>
          <t>OTC</t>
        </is>
      </c>
      <c r="D8554" t="n">
        <v>1026214</v>
      </c>
      <c r="E8554" t="inlineStr">
        <is>
          <t>SEC</t>
        </is>
      </c>
    </row>
    <row r="8555">
      <c r="A8555" s="5">
        <f>HYPERLINK("https://finance.yahoo.com/quote/IPGLF","IPGLF")</f>
        <v/>
      </c>
      <c r="B8555" t="inlineStr">
        <is>
          <t>INTERPUMP GROUP SPA /FI</t>
        </is>
      </c>
      <c r="C8555" t="inlineStr">
        <is>
          <t>OTC</t>
        </is>
      </c>
      <c r="D8555" t="n">
        <v>1029974</v>
      </c>
      <c r="E8555" t="inlineStr">
        <is>
          <t>SEC</t>
        </is>
      </c>
    </row>
    <row r="8556">
      <c r="A8556" s="5">
        <f>HYPERLINK("https://finance.yahoo.com/quote/WILCF","WILCF")</f>
        <v/>
      </c>
      <c r="B8556" t="inlineStr">
        <is>
          <t>G WILLI FOOD INTERNATIONAL LTD</t>
        </is>
      </c>
      <c r="C8556" t="inlineStr">
        <is>
          <t>OTC</t>
        </is>
      </c>
      <c r="D8556" t="n">
        <v>1030997</v>
      </c>
      <c r="E8556" t="inlineStr">
        <is>
          <t>SEC</t>
        </is>
      </c>
    </row>
    <row r="8557">
      <c r="A8557" s="5">
        <f>HYPERLINK("https://finance.yahoo.com/quote/SREA","SREA")</f>
        <v/>
      </c>
      <c r="B8557" t="inlineStr">
        <is>
          <t>SEMPRA</t>
        </is>
      </c>
      <c r="C8557" t="inlineStr">
        <is>
          <t>NYSE</t>
        </is>
      </c>
      <c r="D8557" t="n">
        <v>1032208</v>
      </c>
      <c r="E8557" t="inlineStr">
        <is>
          <t>SEC</t>
        </is>
      </c>
    </row>
    <row r="8558">
      <c r="A8558" s="5">
        <f>HYPERLINK("https://finance.yahoo.com/quote/ORANY","ORANY")</f>
        <v/>
      </c>
      <c r="B8558" t="inlineStr">
        <is>
          <t>ORANGE</t>
        </is>
      </c>
      <c r="C8558" t="inlineStr">
        <is>
          <t>OTC</t>
        </is>
      </c>
      <c r="D8558" t="n">
        <v>1038143</v>
      </c>
      <c r="E8558" t="inlineStr">
        <is>
          <t>SEC</t>
        </is>
      </c>
    </row>
    <row r="8559">
      <c r="A8559" s="5">
        <f>HYPERLINK("https://finance.yahoo.com/quote/ELCPF","ELCPF")</f>
        <v/>
      </c>
      <c r="B8559" t="inlineStr">
        <is>
          <t>EDP ENERGIAS DE PORTUGAL SA</t>
        </is>
      </c>
      <c r="C8559" t="inlineStr">
        <is>
          <t>OTC</t>
        </is>
      </c>
      <c r="D8559" t="n">
        <v>1039610</v>
      </c>
      <c r="E8559" t="inlineStr">
        <is>
          <t>SEC</t>
        </is>
      </c>
    </row>
    <row r="8560">
      <c r="A8560" s="5">
        <f>HYPERLINK("https://finance.yahoo.com/quote/ANG-PD","ANG-PD")</f>
        <v/>
      </c>
      <c r="B8560" t="inlineStr">
        <is>
          <t>American National Group Inc.</t>
        </is>
      </c>
      <c r="C8560" t="inlineStr">
        <is>
          <t>NYSE</t>
        </is>
      </c>
      <c r="D8560" t="n">
        <v>1039828</v>
      </c>
      <c r="E8560" t="inlineStr">
        <is>
          <t>SEC</t>
        </is>
      </c>
    </row>
    <row r="8561">
      <c r="A8561" s="5">
        <f>HYPERLINK("https://finance.yahoo.com/quote/AFGB","AFGB")</f>
        <v/>
      </c>
      <c r="B8561" t="inlineStr">
        <is>
          <t>AMERICAN FINANCIAL GROUP INC</t>
        </is>
      </c>
      <c r="C8561" t="inlineStr">
        <is>
          <t>NYSE</t>
        </is>
      </c>
      <c r="D8561" t="n">
        <v>1042046</v>
      </c>
      <c r="E8561" t="inlineStr">
        <is>
          <t>SEC</t>
        </is>
      </c>
    </row>
    <row r="8562">
      <c r="A8562" s="5">
        <f>HYPERLINK("https://finance.yahoo.com/quote/AFGC","AFGC")</f>
        <v/>
      </c>
      <c r="B8562" t="inlineStr">
        <is>
          <t>AMERICAN FINANCIAL GROUP INC</t>
        </is>
      </c>
      <c r="C8562" t="inlineStr">
        <is>
          <t>NYSE</t>
        </is>
      </c>
      <c r="D8562" t="n">
        <v>1042046</v>
      </c>
      <c r="E8562" t="inlineStr">
        <is>
          <t>SEC</t>
        </is>
      </c>
    </row>
    <row r="8563">
      <c r="A8563" s="5">
        <f>HYPERLINK("https://finance.yahoo.com/quote/AFGD","AFGD")</f>
        <v/>
      </c>
      <c r="B8563" t="inlineStr">
        <is>
          <t>AMERICAN FINANCIAL GROUP INC</t>
        </is>
      </c>
      <c r="C8563" t="inlineStr">
        <is>
          <t>NYSE</t>
        </is>
      </c>
      <c r="D8563" t="n">
        <v>1042046</v>
      </c>
      <c r="E8563" t="inlineStr">
        <is>
          <t>SEC</t>
        </is>
      </c>
    </row>
    <row r="8564">
      <c r="A8564" s="5">
        <f>HYPERLINK("https://finance.yahoo.com/quote/AFGE","AFGE")</f>
        <v/>
      </c>
      <c r="B8564" t="inlineStr">
        <is>
          <t>AMERICAN FINANCIAL GROUP INC</t>
        </is>
      </c>
      <c r="C8564" t="inlineStr">
        <is>
          <t>NYSE</t>
        </is>
      </c>
      <c r="D8564" t="n">
        <v>1042046</v>
      </c>
      <c r="E8564" t="inlineStr">
        <is>
          <t>SEC</t>
        </is>
      </c>
    </row>
    <row r="8565">
      <c r="A8565" s="5">
        <f>HYPERLINK("https://finance.yahoo.com/quote/NLY-PF","NLY-PF")</f>
        <v/>
      </c>
      <c r="B8565" t="inlineStr">
        <is>
          <t>ANNALY CAPITAL MANAGEMENT INC</t>
        </is>
      </c>
      <c r="C8565" t="inlineStr">
        <is>
          <t>NYSE</t>
        </is>
      </c>
      <c r="D8565" t="n">
        <v>1043219</v>
      </c>
      <c r="E8565" t="inlineStr">
        <is>
          <t>SEC</t>
        </is>
      </c>
    </row>
    <row r="8566">
      <c r="A8566" s="5">
        <f>HYPERLINK("https://finance.yahoo.com/quote/NLY-PG","NLY-PG")</f>
        <v/>
      </c>
      <c r="B8566" t="inlineStr">
        <is>
          <t>ANNALY CAPITAL MANAGEMENT INC</t>
        </is>
      </c>
      <c r="C8566" t="inlineStr">
        <is>
          <t>NYSE</t>
        </is>
      </c>
      <c r="D8566" t="n">
        <v>1043219</v>
      </c>
      <c r="E8566" t="inlineStr">
        <is>
          <t>SEC</t>
        </is>
      </c>
    </row>
    <row r="8567">
      <c r="A8567" s="5">
        <f>HYPERLINK("https://finance.yahoo.com/quote/NLY-PJ","NLY-PJ")</f>
        <v/>
      </c>
      <c r="B8567" t="inlineStr">
        <is>
          <t>ANNALY CAPITAL MANAGEMENT INC</t>
        </is>
      </c>
      <c r="C8567" t="inlineStr">
        <is>
          <t>NYSE</t>
        </is>
      </c>
      <c r="D8567" t="n">
        <v>1043219</v>
      </c>
      <c r="E8567" t="inlineStr">
        <is>
          <t>SEC</t>
        </is>
      </c>
    </row>
    <row r="8568">
      <c r="A8568" s="5">
        <f>HYPERLINK("https://finance.yahoo.com/quote/EPR-PC","EPR-PC")</f>
        <v/>
      </c>
      <c r="B8568" t="inlineStr">
        <is>
          <t>EPR PROPERTIES</t>
        </is>
      </c>
      <c r="C8568" t="inlineStr">
        <is>
          <t>NYSE</t>
        </is>
      </c>
      <c r="D8568" t="n">
        <v>1045450</v>
      </c>
      <c r="E8568" t="inlineStr">
        <is>
          <t>SEC</t>
        </is>
      </c>
    </row>
    <row r="8569">
      <c r="A8569" s="5">
        <f>HYPERLINK("https://finance.yahoo.com/quote/EPR-PE","EPR-PE")</f>
        <v/>
      </c>
      <c r="B8569" t="inlineStr">
        <is>
          <t>EPR PROPERTIES</t>
        </is>
      </c>
      <c r="C8569" t="inlineStr">
        <is>
          <t>NYSE</t>
        </is>
      </c>
      <c r="D8569" t="n">
        <v>1045450</v>
      </c>
      <c r="E8569" t="inlineStr">
        <is>
          <t>SEC</t>
        </is>
      </c>
    </row>
    <row r="8570">
      <c r="A8570" s="5">
        <f>HYPERLINK("https://finance.yahoo.com/quote/EPR-PG","EPR-PG")</f>
        <v/>
      </c>
      <c r="B8570" t="inlineStr">
        <is>
          <t>EPR PROPERTIES</t>
        </is>
      </c>
      <c r="C8570" t="inlineStr">
        <is>
          <t>NYSE</t>
        </is>
      </c>
      <c r="D8570" t="n">
        <v>1045450</v>
      </c>
      <c r="E8570" t="inlineStr">
        <is>
          <t>SEC</t>
        </is>
      </c>
    </row>
    <row r="8571">
      <c r="A8571" s="5">
        <f>HYPERLINK("https://finance.yahoo.com/quote/CNDIF","CNDIF")</f>
        <v/>
      </c>
      <c r="B8571" t="inlineStr">
        <is>
          <t>CANADIAN IMPERIAL BANK OF COMMERCE /CAN/</t>
        </is>
      </c>
      <c r="C8571" t="inlineStr">
        <is>
          <t>OTC</t>
        </is>
      </c>
      <c r="D8571" t="n">
        <v>1045520</v>
      </c>
      <c r="E8571" t="inlineStr">
        <is>
          <t>SEC</t>
        </is>
      </c>
    </row>
    <row r="8572">
      <c r="A8572" s="5">
        <f>HYPERLINK("https://finance.yahoo.com/quote/PLDGP","PLDGP")</f>
        <v/>
      </c>
      <c r="B8572" t="inlineStr">
        <is>
          <t>Prologis, Inc.</t>
        </is>
      </c>
      <c r="C8572" t="inlineStr">
        <is>
          <t>OTC</t>
        </is>
      </c>
      <c r="D8572" t="n">
        <v>1045609</v>
      </c>
      <c r="E8572" t="inlineStr">
        <is>
          <t>SEC</t>
        </is>
      </c>
    </row>
    <row r="8573">
      <c r="A8573" s="5">
        <f>HYPERLINK("https://finance.yahoo.com/quote/STRD","STRD")</f>
        <v/>
      </c>
      <c r="B8573" t="inlineStr">
        <is>
          <t>Strategy Inc</t>
        </is>
      </c>
      <c r="C8573" t="inlineStr">
        <is>
          <t>Nasdaq</t>
        </is>
      </c>
      <c r="D8573" t="n">
        <v>1050446</v>
      </c>
      <c r="E8573" t="inlineStr">
        <is>
          <t>SEC</t>
        </is>
      </c>
    </row>
    <row r="8574">
      <c r="A8574" s="5">
        <f>HYPERLINK("https://finance.yahoo.com/quote/STRF","STRF")</f>
        <v/>
      </c>
      <c r="B8574" t="inlineStr">
        <is>
          <t>Strategy Inc</t>
        </is>
      </c>
      <c r="C8574" t="inlineStr">
        <is>
          <t>Nasdaq</t>
        </is>
      </c>
      <c r="D8574" t="n">
        <v>1050446</v>
      </c>
      <c r="E8574" t="inlineStr">
        <is>
          <t>SEC</t>
        </is>
      </c>
    </row>
    <row r="8575">
      <c r="A8575" s="5">
        <f>HYPERLINK("https://finance.yahoo.com/quote/STRK","STRK")</f>
        <v/>
      </c>
      <c r="B8575" t="inlineStr">
        <is>
          <t>Strategy Inc</t>
        </is>
      </c>
      <c r="C8575" t="inlineStr">
        <is>
          <t>Nasdaq</t>
        </is>
      </c>
      <c r="D8575" t="n">
        <v>1050446</v>
      </c>
      <c r="E8575" t="inlineStr">
        <is>
          <t>SEC</t>
        </is>
      </c>
    </row>
    <row r="8576">
      <c r="A8576" s="5">
        <f>HYPERLINK("https://finance.yahoo.com/quote/TDS-PU","TDS-PU")</f>
        <v/>
      </c>
      <c r="B8576" t="inlineStr">
        <is>
          <t>TELEPHONE &amp; DATA SYSTEMS INC /DE/</t>
        </is>
      </c>
      <c r="C8576" t="inlineStr">
        <is>
          <t>NYSE</t>
        </is>
      </c>
      <c r="D8576" t="n">
        <v>1051512</v>
      </c>
      <c r="E8576" t="inlineStr">
        <is>
          <t>SEC</t>
        </is>
      </c>
    </row>
    <row r="8577">
      <c r="A8577" s="5">
        <f>HYPERLINK("https://finance.yahoo.com/quote/TDS-PV","TDS-PV")</f>
        <v/>
      </c>
      <c r="B8577" t="inlineStr">
        <is>
          <t>TELEPHONE &amp; DATA SYSTEMS INC /DE/</t>
        </is>
      </c>
      <c r="C8577" t="inlineStr">
        <is>
          <t>NYSE</t>
        </is>
      </c>
      <c r="D8577" t="n">
        <v>1051512</v>
      </c>
      <c r="E8577" t="inlineStr">
        <is>
          <t>SEC</t>
        </is>
      </c>
    </row>
    <row r="8578">
      <c r="A8578" s="5">
        <f>HYPERLINK("https://finance.yahoo.com/quote/GLDI","GLDI")</f>
        <v/>
      </c>
      <c r="B8578" t="inlineStr">
        <is>
          <t>CREDIT SUISSE AG</t>
        </is>
      </c>
      <c r="C8578" t="inlineStr">
        <is>
          <t>Nasdaq</t>
        </is>
      </c>
      <c r="D8578" t="n">
        <v>1053092</v>
      </c>
      <c r="E8578" t="inlineStr">
        <is>
          <t>SEC</t>
        </is>
      </c>
    </row>
    <row r="8579">
      <c r="A8579" s="5">
        <f>HYPERLINK("https://finance.yahoo.com/quote/SLVO","SLVO")</f>
        <v/>
      </c>
      <c r="B8579" t="inlineStr">
        <is>
          <t>CREDIT SUISSE AG</t>
        </is>
      </c>
      <c r="C8579" t="inlineStr">
        <is>
          <t>Nasdaq</t>
        </is>
      </c>
      <c r="D8579" t="n">
        <v>1053092</v>
      </c>
      <c r="E8579" t="inlineStr">
        <is>
          <t>SEC</t>
        </is>
      </c>
    </row>
    <row r="8580">
      <c r="A8580" s="5">
        <f>HYPERLINK("https://finance.yahoo.com/quote/USOI","USOI")</f>
        <v/>
      </c>
      <c r="B8580" t="inlineStr">
        <is>
          <t>CREDIT SUISSE AG</t>
        </is>
      </c>
      <c r="C8580" t="inlineStr">
        <is>
          <t>Nasdaq</t>
        </is>
      </c>
      <c r="D8580" t="n">
        <v>1053092</v>
      </c>
      <c r="E8580" t="inlineStr">
        <is>
          <t>SEC</t>
        </is>
      </c>
    </row>
    <row r="8581">
      <c r="A8581" s="5">
        <f>HYPERLINK("https://finance.yahoo.com/quote/MFAN","MFAN")</f>
        <v/>
      </c>
      <c r="B8581" t="inlineStr">
        <is>
          <t>MFA FINANCIAL, INC.</t>
        </is>
      </c>
      <c r="C8581" t="inlineStr">
        <is>
          <t>NYSE</t>
        </is>
      </c>
      <c r="D8581" t="n">
        <v>1055160</v>
      </c>
      <c r="E8581" t="inlineStr">
        <is>
          <t>SEC</t>
        </is>
      </c>
    </row>
    <row r="8582">
      <c r="A8582" s="5">
        <f>HYPERLINK("https://finance.yahoo.com/quote/MFAO","MFAO")</f>
        <v/>
      </c>
      <c r="B8582" t="inlineStr">
        <is>
          <t>MFA FINANCIAL, INC.</t>
        </is>
      </c>
      <c r="C8582" t="inlineStr">
        <is>
          <t>NYSE</t>
        </is>
      </c>
      <c r="D8582" t="n">
        <v>1055160</v>
      </c>
      <c r="E8582" t="inlineStr">
        <is>
          <t>SEC</t>
        </is>
      </c>
    </row>
    <row r="8583">
      <c r="A8583" s="5">
        <f>HYPERLINK("https://finance.yahoo.com/quote/MFA-PB","MFA-PB")</f>
        <v/>
      </c>
      <c r="B8583" t="inlineStr">
        <is>
          <t>MFA FINANCIAL, INC.</t>
        </is>
      </c>
      <c r="C8583" t="inlineStr">
        <is>
          <t>NYSE</t>
        </is>
      </c>
      <c r="D8583" t="n">
        <v>1055160</v>
      </c>
      <c r="E8583" t="inlineStr">
        <is>
          <t>SEC</t>
        </is>
      </c>
    </row>
    <row r="8584">
      <c r="A8584" s="5">
        <f>HYPERLINK("https://finance.yahoo.com/quote/MFA-PC","MFA-PC")</f>
        <v/>
      </c>
      <c r="B8584" t="inlineStr">
        <is>
          <t>MFA FINANCIAL, INC.</t>
        </is>
      </c>
      <c r="C8584" t="inlineStr">
        <is>
          <t>NYSE</t>
        </is>
      </c>
      <c r="D8584" t="n">
        <v>1055160</v>
      </c>
      <c r="E8584" t="inlineStr">
        <is>
          <t>SEC</t>
        </is>
      </c>
    </row>
    <row r="8585">
      <c r="A8585" s="5">
        <f>HYPERLINK("https://finance.yahoo.com/quote/EPDU","EPDU")</f>
        <v/>
      </c>
      <c r="B8585" t="inlineStr">
        <is>
          <t>ENTERPRISE PRODUCTS PARTNERS L.P.</t>
        </is>
      </c>
      <c r="C8585" t="inlineStr">
        <is>
          <t>OTC</t>
        </is>
      </c>
      <c r="D8585" t="n">
        <v>1061219</v>
      </c>
      <c r="E8585" t="inlineStr">
        <is>
          <t>SEC</t>
        </is>
      </c>
    </row>
    <row r="8586">
      <c r="A8586" s="5">
        <f>HYPERLINK("https://finance.yahoo.com/quote/FNFPA","FNFPA")</f>
        <v/>
      </c>
      <c r="B8586" t="inlineStr">
        <is>
          <t>FIRST NILES FINANCIAL INC</t>
        </is>
      </c>
      <c r="C8586" t="inlineStr">
        <is>
          <t>OTC</t>
        </is>
      </c>
      <c r="D8586" t="n">
        <v>1065823</v>
      </c>
      <c r="E8586" t="inlineStr">
        <is>
          <t>SEC</t>
        </is>
      </c>
    </row>
    <row r="8587">
      <c r="A8587" s="5">
        <f>HYPERLINK("https://finance.yahoo.com/quote/BESS-WT","BESS-WT")</f>
        <v/>
      </c>
      <c r="B8587" t="inlineStr">
        <is>
          <t>Bimergen Energy Corp</t>
        </is>
      </c>
      <c r="C8587" t="inlineStr">
        <is>
          <t>NYSE</t>
        </is>
      </c>
      <c r="D8587" t="n">
        <v>1066764</v>
      </c>
      <c r="E8587" t="inlineStr">
        <is>
          <t>SEC</t>
        </is>
      </c>
    </row>
    <row r="8588">
      <c r="A8588" s="5">
        <f>HYPERLINK("https://finance.yahoo.com/quote/SWZCF","SWZCF")</f>
        <v/>
      </c>
      <c r="B8588" t="inlineStr">
        <is>
          <t>SWISSCOM AG</t>
        </is>
      </c>
      <c r="C8588" t="inlineStr">
        <is>
          <t>OTC</t>
        </is>
      </c>
      <c r="D8588" t="n">
        <v>1069336</v>
      </c>
      <c r="E8588" t="inlineStr">
        <is>
          <t>SEC</t>
        </is>
      </c>
    </row>
    <row r="8589">
      <c r="A8589" s="5">
        <f>HYPERLINK("https://finance.yahoo.com/quote/APCXW","APCXW")</f>
        <v/>
      </c>
      <c r="B8589" t="inlineStr">
        <is>
          <t>AppTech Payments Corp.</t>
        </is>
      </c>
      <c r="C8589" t="inlineStr">
        <is>
          <t>OTC</t>
        </is>
      </c>
      <c r="D8589" t="n">
        <v>1070050</v>
      </c>
      <c r="E8589" t="inlineStr">
        <is>
          <t>SEC</t>
        </is>
      </c>
    </row>
    <row r="8590">
      <c r="A8590" s="5">
        <f>HYPERLINK("https://finance.yahoo.com/quote/PAAPU","PAAPU")</f>
        <v/>
      </c>
      <c r="B8590" t="inlineStr">
        <is>
          <t>PLAINS ALL AMERICAN PIPELINE LP</t>
        </is>
      </c>
      <c r="C8590" t="inlineStr">
        <is>
          <t>OTC</t>
        </is>
      </c>
      <c r="D8590" t="n">
        <v>1070423</v>
      </c>
      <c r="E8590" t="inlineStr">
        <is>
          <t>SEC</t>
        </is>
      </c>
    </row>
    <row r="8591">
      <c r="A8591" s="5">
        <f>HYPERLINK("https://finance.yahoo.com/quote/TMSOF","TMSOF")</f>
        <v/>
      </c>
      <c r="B8591" t="inlineStr">
        <is>
          <t>THOMSON REUTERS CORP /CAN/</t>
        </is>
      </c>
      <c r="C8591" t="inlineStr">
        <is>
          <t>OTC</t>
        </is>
      </c>
      <c r="D8591" t="n">
        <v>1075124</v>
      </c>
      <c r="E8591" t="inlineStr">
        <is>
          <t>SEC</t>
        </is>
      </c>
    </row>
    <row r="8592">
      <c r="A8592" s="5">
        <f>HYPERLINK("https://finance.yahoo.com/quote/DHCNI","DHCNI")</f>
        <v/>
      </c>
      <c r="B8592" t="inlineStr">
        <is>
          <t>DIVERSIFIED HEALTHCARE TRUST</t>
        </is>
      </c>
      <c r="C8592" t="inlineStr">
        <is>
          <t>Nasdaq</t>
        </is>
      </c>
      <c r="D8592" t="n">
        <v>1075415</v>
      </c>
      <c r="E8592" t="inlineStr">
        <is>
          <t>SEC</t>
        </is>
      </c>
    </row>
    <row r="8593">
      <c r="A8593" s="5">
        <f>HYPERLINK("https://finance.yahoo.com/quote/DHCNL","DHCNL")</f>
        <v/>
      </c>
      <c r="B8593" t="inlineStr">
        <is>
          <t>DIVERSIFIED HEALTHCARE TRUST</t>
        </is>
      </c>
      <c r="C8593" t="inlineStr">
        <is>
          <t>Nasdaq</t>
        </is>
      </c>
      <c r="D8593" t="n">
        <v>1075415</v>
      </c>
      <c r="E8593" t="inlineStr">
        <is>
          <t>SEC</t>
        </is>
      </c>
    </row>
    <row r="8594">
      <c r="A8594" s="5">
        <f>HYPERLINK("https://finance.yahoo.com/quote/NOVTU","NOVTU")</f>
        <v/>
      </c>
      <c r="B8594" t="inlineStr">
        <is>
          <t>NOVANTA INC</t>
        </is>
      </c>
      <c r="C8594" t="inlineStr">
        <is>
          <t>Nasdaq</t>
        </is>
      </c>
      <c r="D8594" t="n">
        <v>1076930</v>
      </c>
      <c r="E8594" t="inlineStr">
        <is>
          <t>SEC</t>
        </is>
      </c>
    </row>
    <row r="8595">
      <c r="A8595" s="5">
        <f>HYPERLINK("https://finance.yahoo.com/quote/TCBI-PB","TCBI-PB")</f>
        <v/>
      </c>
      <c r="B8595" t="inlineStr">
        <is>
          <t>TEXAS CAPITAL BANCSHARES INC/TX</t>
        </is>
      </c>
      <c r="C8595" t="inlineStr">
        <is>
          <t>TXSE</t>
        </is>
      </c>
      <c r="D8595" t="n">
        <v>1077428</v>
      </c>
      <c r="E8595" t="inlineStr">
        <is>
          <t>SEC</t>
        </is>
      </c>
    </row>
    <row r="8596">
      <c r="A8596" s="5">
        <f>HYPERLINK("https://finance.yahoo.com/quote/TGOPF","TGOPF")</f>
        <v/>
      </c>
      <c r="B8596" t="inlineStr">
        <is>
          <t>3i GROUP PLC</t>
        </is>
      </c>
      <c r="C8596" t="inlineStr">
        <is>
          <t>OTC</t>
        </is>
      </c>
      <c r="D8596" t="n">
        <v>1078716</v>
      </c>
      <c r="E8596" t="inlineStr">
        <is>
          <t>SEC</t>
        </is>
      </c>
    </row>
    <row r="8597">
      <c r="A8597" s="5">
        <f>HYPERLINK("https://finance.yahoo.com/quote/SQFTP","SQFTP")</f>
        <v/>
      </c>
      <c r="B8597" t="inlineStr">
        <is>
          <t>Presidio Property Trust, Inc.</t>
        </is>
      </c>
      <c r="C8597" t="inlineStr">
        <is>
          <t>Nasdaq</t>
        </is>
      </c>
      <c r="D8597" t="n">
        <v>1080657</v>
      </c>
      <c r="E8597" t="inlineStr">
        <is>
          <t>SEC</t>
        </is>
      </c>
    </row>
    <row r="8598">
      <c r="A8598" s="5">
        <f>HYPERLINK("https://finance.yahoo.com/quote/SQFTW","SQFTW")</f>
        <v/>
      </c>
      <c r="B8598" t="inlineStr">
        <is>
          <t>Presidio Property Trust, Inc.</t>
        </is>
      </c>
      <c r="C8598" t="inlineStr">
        <is>
          <t>Nasdaq</t>
        </is>
      </c>
      <c r="D8598" t="n">
        <v>1080657</v>
      </c>
      <c r="E8598" t="inlineStr">
        <is>
          <t>SEC</t>
        </is>
      </c>
    </row>
    <row r="8599">
      <c r="A8599" s="5">
        <f>HYPERLINK("https://finance.yahoo.com/quote/GUT-PC","GUT-PC")</f>
        <v/>
      </c>
      <c r="B8599" t="inlineStr">
        <is>
          <t>GABELLI UTILITY TRUST</t>
        </is>
      </c>
      <c r="C8599" t="inlineStr">
        <is>
          <t>NYSE</t>
        </is>
      </c>
      <c r="D8599" t="n">
        <v>1080720</v>
      </c>
      <c r="E8599" t="inlineStr">
        <is>
          <t>SEC</t>
        </is>
      </c>
    </row>
    <row r="8600">
      <c r="A8600" s="5">
        <f>HYPERLINK("https://finance.yahoo.com/quote/MOBQW","MOBQW")</f>
        <v/>
      </c>
      <c r="B8600" t="inlineStr">
        <is>
          <t>Mobiquity Technologies, Inc.</t>
        </is>
      </c>
      <c r="C8600" t="inlineStr">
        <is>
          <t>OTC</t>
        </is>
      </c>
      <c r="D8600" t="n">
        <v>1084267</v>
      </c>
      <c r="E8600" t="inlineStr">
        <is>
          <t>SEC</t>
        </is>
      </c>
    </row>
    <row r="8601">
      <c r="A8601" s="5">
        <f>HYPERLINK("https://finance.yahoo.com/quote/MNLCF","MNLCF")</f>
        <v/>
      </c>
      <c r="B8601" t="inlineStr">
        <is>
          <t>MANULIFE FINANCIAL CORP</t>
        </is>
      </c>
      <c r="C8601" t="inlineStr">
        <is>
          <t>OTC</t>
        </is>
      </c>
      <c r="D8601" t="n">
        <v>1086888</v>
      </c>
      <c r="E8601" t="inlineStr">
        <is>
          <t>SEC</t>
        </is>
      </c>
    </row>
    <row r="8602">
      <c r="A8602" s="5">
        <f>HYPERLINK("https://finance.yahoo.com/quote/MNQFF","MNQFF")</f>
        <v/>
      </c>
      <c r="B8602" t="inlineStr">
        <is>
          <t>MANULIFE FINANCIAL CORP</t>
        </is>
      </c>
      <c r="C8602" t="inlineStr">
        <is>
          <t>OTC</t>
        </is>
      </c>
      <c r="D8602" t="n">
        <v>1086888</v>
      </c>
      <c r="E8602" t="inlineStr">
        <is>
          <t>SEC</t>
        </is>
      </c>
    </row>
    <row r="8603">
      <c r="A8603" s="5">
        <f>HYPERLINK("https://finance.yahoo.com/quote/MNUFF","MNUFF")</f>
        <v/>
      </c>
      <c r="B8603" t="inlineStr">
        <is>
          <t>MANULIFE FINANCIAL CORP</t>
        </is>
      </c>
      <c r="C8603" t="inlineStr">
        <is>
          <t>OTC</t>
        </is>
      </c>
      <c r="D8603" t="n">
        <v>1086888</v>
      </c>
      <c r="E8603" t="inlineStr">
        <is>
          <t>SEC</t>
        </is>
      </c>
    </row>
    <row r="8604">
      <c r="A8604" s="5">
        <f>HYPERLINK("https://finance.yahoo.com/quote/MNUPF","MNUPF")</f>
        <v/>
      </c>
      <c r="B8604" t="inlineStr">
        <is>
          <t>MANULIFE FINANCIAL CORP</t>
        </is>
      </c>
      <c r="C8604" t="inlineStr">
        <is>
          <t>OTC</t>
        </is>
      </c>
      <c r="D8604" t="n">
        <v>1086888</v>
      </c>
      <c r="E8604" t="inlineStr">
        <is>
          <t>SEC</t>
        </is>
      </c>
    </row>
    <row r="8605">
      <c r="A8605" s="5">
        <f>HYPERLINK("https://finance.yahoo.com/quote/SNTUF","SNTUF")</f>
        <v/>
      </c>
      <c r="B8605" t="inlineStr">
        <is>
          <t>Santander UK plc</t>
        </is>
      </c>
      <c r="C8605" t="inlineStr">
        <is>
          <t>OTC</t>
        </is>
      </c>
      <c r="D8605" t="n">
        <v>1087711</v>
      </c>
      <c r="E8605" t="inlineStr">
        <is>
          <t>SEC</t>
        </is>
      </c>
    </row>
    <row r="8606">
      <c r="A8606" s="5">
        <f>HYPERLINK("https://finance.yahoo.com/quote/STNDF","STNDF")</f>
        <v/>
      </c>
      <c r="B8606" t="inlineStr">
        <is>
          <t>Santander UK plc</t>
        </is>
      </c>
      <c r="C8606" t="inlineStr">
        <is>
          <t>OTC</t>
        </is>
      </c>
      <c r="D8606" t="n">
        <v>1087711</v>
      </c>
      <c r="E8606" t="inlineStr">
        <is>
          <t>SEC</t>
        </is>
      </c>
    </row>
    <row r="8607">
      <c r="A8607" s="5">
        <f>HYPERLINK("https://finance.yahoo.com/quote/SWKHL","SWKHL")</f>
        <v/>
      </c>
      <c r="B8607" t="inlineStr">
        <is>
          <t>SWK Holdings Corp</t>
        </is>
      </c>
      <c r="C8607" t="inlineStr">
        <is>
          <t>Nasdaq</t>
        </is>
      </c>
      <c r="D8607" t="n">
        <v>1089907</v>
      </c>
      <c r="E8607" t="inlineStr">
        <is>
          <t>SEC</t>
        </is>
      </c>
    </row>
    <row r="8608">
      <c r="A8608" s="5">
        <f>HYPERLINK("https://finance.yahoo.com/quote/CHTRP","CHTRP")</f>
        <v/>
      </c>
      <c r="B8608" t="inlineStr">
        <is>
          <t>CHARTER COMMUNICATIONS, INC. /MO/</t>
        </is>
      </c>
      <c r="C8608" t="inlineStr">
        <is>
          <t>Nasdaq</t>
        </is>
      </c>
      <c r="D8608" t="n">
        <v>1091667</v>
      </c>
      <c r="E8608" t="inlineStr">
        <is>
          <t>SEC</t>
        </is>
      </c>
    </row>
    <row r="8609">
      <c r="A8609" s="5">
        <f>HYPERLINK("https://finance.yahoo.com/quote/SLFIF","SLFIF")</f>
        <v/>
      </c>
      <c r="B8609" t="inlineStr">
        <is>
          <t>SUN LIFE FINANCIAL INC</t>
        </is>
      </c>
      <c r="C8609" t="inlineStr">
        <is>
          <t>OTC</t>
        </is>
      </c>
      <c r="D8609" t="n">
        <v>1097362</v>
      </c>
      <c r="E8609" t="inlineStr">
        <is>
          <t>SEC</t>
        </is>
      </c>
    </row>
    <row r="8610">
      <c r="A8610" s="5">
        <f>HYPERLINK("https://finance.yahoo.com/quote/SLFQF","SLFQF")</f>
        <v/>
      </c>
      <c r="B8610" t="inlineStr">
        <is>
          <t>SUN LIFE FINANCIAL INC</t>
        </is>
      </c>
      <c r="C8610" t="inlineStr">
        <is>
          <t>OTC</t>
        </is>
      </c>
      <c r="D8610" t="n">
        <v>1097362</v>
      </c>
      <c r="E8610" t="inlineStr">
        <is>
          <t>SEC</t>
        </is>
      </c>
    </row>
    <row r="8611">
      <c r="A8611" s="5">
        <f>HYPERLINK("https://finance.yahoo.com/quote/SUNFF","SUNFF")</f>
        <v/>
      </c>
      <c r="B8611" t="inlineStr">
        <is>
          <t>SUN LIFE FINANCIAL INC</t>
        </is>
      </c>
      <c r="C8611" t="inlineStr">
        <is>
          <t>OTC</t>
        </is>
      </c>
      <c r="D8611" t="n">
        <v>1097362</v>
      </c>
      <c r="E8611" t="inlineStr">
        <is>
          <t>SEC</t>
        </is>
      </c>
    </row>
    <row r="8612">
      <c r="A8612" s="5">
        <f>HYPERLINK("https://finance.yahoo.com/quote/INNID","INNID")</f>
        <v/>
      </c>
      <c r="B8612" t="inlineStr">
        <is>
          <t>Innovaro, Inc.</t>
        </is>
      </c>
      <c r="C8612" t="inlineStr">
        <is>
          <t>OTC</t>
        </is>
      </c>
      <c r="D8612" t="n">
        <v>1098482</v>
      </c>
      <c r="E8612" t="inlineStr">
        <is>
          <t>SEC</t>
        </is>
      </c>
    </row>
    <row r="8613">
      <c r="A8613" s="5">
        <f>HYPERLINK("https://finance.yahoo.com/quote/MET-PF","MET-PF")</f>
        <v/>
      </c>
      <c r="B8613" t="inlineStr">
        <is>
          <t>METLIFE INC</t>
        </is>
      </c>
      <c r="C8613" t="inlineStr">
        <is>
          <t>NYSE</t>
        </is>
      </c>
      <c r="D8613" t="n">
        <v>1099219</v>
      </c>
      <c r="E8613" t="inlineStr">
        <is>
          <t>SEC</t>
        </is>
      </c>
    </row>
    <row r="8614">
      <c r="A8614" s="5">
        <f>HYPERLINK("https://finance.yahoo.com/quote/BFH-PA","BFH-PA")</f>
        <v/>
      </c>
      <c r="B8614" t="inlineStr">
        <is>
          <t>BREAD FINANCIAL HOLDINGS, INC.</t>
        </is>
      </c>
      <c r="C8614" t="inlineStr">
        <is>
          <t>NYSE</t>
        </is>
      </c>
      <c r="D8614" t="n">
        <v>1101215</v>
      </c>
      <c r="E8614" t="inlineStr">
        <is>
          <t>SEC</t>
        </is>
      </c>
    </row>
    <row r="8615">
      <c r="A8615" s="5">
        <f>HYPERLINK("https://finance.yahoo.com/quote/BFH-PB","BFH-PB")</f>
        <v/>
      </c>
      <c r="B8615" t="inlineStr">
        <is>
          <t>BREAD FINANCIAL HOLDINGS, INC.</t>
        </is>
      </c>
      <c r="C8615" t="inlineStr">
        <is>
          <t>NYSE</t>
        </is>
      </c>
      <c r="D8615" t="n">
        <v>1101215</v>
      </c>
      <c r="E8615" t="inlineStr">
        <is>
          <t>SEC</t>
        </is>
      </c>
    </row>
    <row r="8616">
      <c r="A8616" s="5">
        <f>HYPERLINK("https://finance.yahoo.com/quote/PTCCY","PTCCY")</f>
        <v/>
      </c>
      <c r="B8616" t="inlineStr">
        <is>
          <t>PETROCHINA CO LTD</t>
        </is>
      </c>
      <c r="C8616" t="inlineStr">
        <is>
          <t>OTC</t>
        </is>
      </c>
      <c r="D8616" t="n">
        <v>1108329</v>
      </c>
      <c r="E8616" t="inlineStr">
        <is>
          <t>SEC</t>
        </is>
      </c>
    </row>
    <row r="8617">
      <c r="A8617" s="5">
        <f>HYPERLINK("https://finance.yahoo.com/quote/BRKRP","BRKRP")</f>
        <v/>
      </c>
      <c r="B8617" t="inlineStr">
        <is>
          <t>BRUKER CORP</t>
        </is>
      </c>
      <c r="C8617" t="inlineStr">
        <is>
          <t>Nasdaq</t>
        </is>
      </c>
      <c r="D8617" t="n">
        <v>1109354</v>
      </c>
      <c r="E8617" t="inlineStr">
        <is>
          <t>SEC</t>
        </is>
      </c>
    </row>
    <row r="8618">
      <c r="A8618" s="5">
        <f>HYPERLINK("https://finance.yahoo.com/quote/CSCIF","CSCIF")</f>
        <v/>
      </c>
      <c r="B8618" t="inlineStr">
        <is>
          <t>COSCIENS Biopharma Inc.</t>
        </is>
      </c>
      <c r="C8618" t="inlineStr">
        <is>
          <t>OTC</t>
        </is>
      </c>
      <c r="D8618" t="n">
        <v>1113423</v>
      </c>
      <c r="E8618" t="inlineStr">
        <is>
          <t>SEC</t>
        </is>
      </c>
    </row>
    <row r="8619">
      <c r="A8619" s="5">
        <f>HYPERLINK("https://finance.yahoo.com/quote/AMUB","AMUB")</f>
        <v/>
      </c>
      <c r="B8619" t="inlineStr">
        <is>
          <t>UBS AG</t>
        </is>
      </c>
      <c r="C8619" t="inlineStr">
        <is>
          <t>NYSE</t>
        </is>
      </c>
      <c r="D8619" t="n">
        <v>1114446</v>
      </c>
      <c r="E8619" t="inlineStr">
        <is>
          <t>SEC</t>
        </is>
      </c>
    </row>
    <row r="8620">
      <c r="A8620" s="5">
        <f>HYPERLINK("https://finance.yahoo.com/quote/BDCX","BDCX")</f>
        <v/>
      </c>
      <c r="B8620" t="inlineStr">
        <is>
          <t>UBS AG</t>
        </is>
      </c>
      <c r="C8620" t="inlineStr">
        <is>
          <t>NYSE</t>
        </is>
      </c>
      <c r="D8620" t="n">
        <v>1114446</v>
      </c>
      <c r="E8620" t="inlineStr">
        <is>
          <t>SEC</t>
        </is>
      </c>
    </row>
    <row r="8621">
      <c r="A8621" s="5">
        <f>HYPERLINK("https://finance.yahoo.com/quote/BDCZ","BDCZ")</f>
        <v/>
      </c>
      <c r="B8621" t="inlineStr">
        <is>
          <t>UBS AG</t>
        </is>
      </c>
      <c r="C8621" t="inlineStr">
        <is>
          <t>NYSE</t>
        </is>
      </c>
      <c r="D8621" t="n">
        <v>1114446</v>
      </c>
      <c r="E8621" t="inlineStr">
        <is>
          <t>SEC</t>
        </is>
      </c>
    </row>
    <row r="8622">
      <c r="A8622" s="5">
        <f>HYPERLINK("https://finance.yahoo.com/quote/CEFD","CEFD")</f>
        <v/>
      </c>
      <c r="B8622" t="inlineStr">
        <is>
          <t>UBS AG</t>
        </is>
      </c>
      <c r="C8622" t="inlineStr">
        <is>
          <t>NYSE</t>
        </is>
      </c>
      <c r="D8622" t="n">
        <v>1114446</v>
      </c>
      <c r="E8622" t="inlineStr">
        <is>
          <t>SEC</t>
        </is>
      </c>
    </row>
    <row r="8623">
      <c r="A8623" s="5">
        <f>HYPERLINK("https://finance.yahoo.com/quote/HDLB","HDLB")</f>
        <v/>
      </c>
      <c r="B8623" t="inlineStr">
        <is>
          <t>UBS AG</t>
        </is>
      </c>
      <c r="C8623" t="inlineStr">
        <is>
          <t>NYSE</t>
        </is>
      </c>
      <c r="D8623" t="n">
        <v>1114446</v>
      </c>
      <c r="E8623" t="inlineStr">
        <is>
          <t>SEC</t>
        </is>
      </c>
    </row>
    <row r="8624">
      <c r="A8624" s="5">
        <f>HYPERLINK("https://finance.yahoo.com/quote/IFED","IFED")</f>
        <v/>
      </c>
      <c r="B8624" t="inlineStr">
        <is>
          <t>UBS AG</t>
        </is>
      </c>
      <c r="C8624" t="inlineStr">
        <is>
          <t>NYSE</t>
        </is>
      </c>
      <c r="D8624" t="n">
        <v>1114446</v>
      </c>
      <c r="E8624" t="inlineStr">
        <is>
          <t>SEC</t>
        </is>
      </c>
    </row>
    <row r="8625">
      <c r="A8625" s="5">
        <f>HYPERLINK("https://finance.yahoo.com/quote/MLPB","MLPB")</f>
        <v/>
      </c>
      <c r="B8625" t="inlineStr">
        <is>
          <t>UBS AG</t>
        </is>
      </c>
      <c r="C8625" t="inlineStr">
        <is>
          <t>NYSE</t>
        </is>
      </c>
      <c r="D8625" t="n">
        <v>1114446</v>
      </c>
      <c r="E8625" t="inlineStr">
        <is>
          <t>SEC</t>
        </is>
      </c>
    </row>
    <row r="8626">
      <c r="A8626" s="5">
        <f>HYPERLINK("https://finance.yahoo.com/quote/MLPR","MLPR")</f>
        <v/>
      </c>
      <c r="B8626" t="inlineStr">
        <is>
          <t>UBS AG</t>
        </is>
      </c>
      <c r="C8626" t="inlineStr">
        <is>
          <t>NYSE</t>
        </is>
      </c>
      <c r="D8626" t="n">
        <v>1114446</v>
      </c>
      <c r="E8626" t="inlineStr">
        <is>
          <t>SEC</t>
        </is>
      </c>
    </row>
    <row r="8627">
      <c r="A8627" s="5">
        <f>HYPERLINK("https://finance.yahoo.com/quote/MVRL","MVRL")</f>
        <v/>
      </c>
      <c r="B8627" t="inlineStr">
        <is>
          <t>UBS AG</t>
        </is>
      </c>
      <c r="C8627" t="inlineStr">
        <is>
          <t>NYSE</t>
        </is>
      </c>
      <c r="D8627" t="n">
        <v>1114446</v>
      </c>
      <c r="E8627" t="inlineStr">
        <is>
          <t>SEC</t>
        </is>
      </c>
    </row>
    <row r="8628">
      <c r="A8628" s="5">
        <f>HYPERLINK("https://finance.yahoo.com/quote/PFFL","PFFL")</f>
        <v/>
      </c>
      <c r="B8628" t="inlineStr">
        <is>
          <t>UBS AG</t>
        </is>
      </c>
      <c r="C8628" t="inlineStr">
        <is>
          <t>NYSE</t>
        </is>
      </c>
      <c r="D8628" t="n">
        <v>1114446</v>
      </c>
      <c r="E8628" t="inlineStr">
        <is>
          <t>SEC</t>
        </is>
      </c>
    </row>
    <row r="8629">
      <c r="A8629" s="5">
        <f>HYPERLINK("https://finance.yahoo.com/quote/SMHB","SMHB")</f>
        <v/>
      </c>
      <c r="B8629" t="inlineStr">
        <is>
          <t>UBS AG</t>
        </is>
      </c>
      <c r="C8629" t="inlineStr">
        <is>
          <t>NYSE</t>
        </is>
      </c>
      <c r="D8629" t="n">
        <v>1114446</v>
      </c>
      <c r="E8629" t="inlineStr">
        <is>
          <t>SEC</t>
        </is>
      </c>
    </row>
    <row r="8630">
      <c r="A8630" s="5">
        <f>HYPERLINK("https://finance.yahoo.com/quote/UCIB","UCIB")</f>
        <v/>
      </c>
      <c r="B8630" t="inlineStr">
        <is>
          <t>UBS AG</t>
        </is>
      </c>
      <c r="C8630" t="inlineStr">
        <is>
          <t>NYSE</t>
        </is>
      </c>
      <c r="D8630" t="n">
        <v>1114446</v>
      </c>
      <c r="E8630" t="inlineStr">
        <is>
          <t>SEC</t>
        </is>
      </c>
    </row>
    <row r="8631">
      <c r="A8631" s="5">
        <f>HYPERLINK("https://finance.yahoo.com/quote/SRJN","SRJN")</f>
        <v/>
      </c>
      <c r="B8631" t="inlineStr">
        <is>
          <t>SPIRE INC</t>
        </is>
      </c>
      <c r="C8631" t="inlineStr">
        <is>
          <t>NYSE</t>
        </is>
      </c>
      <c r="D8631" t="n">
        <v>1126956</v>
      </c>
      <c r="E8631" t="inlineStr">
        <is>
          <t>SEC</t>
        </is>
      </c>
    </row>
    <row r="8632">
      <c r="A8632" s="5">
        <f>HYPERLINK("https://finance.yahoo.com/quote/EMICF","EMICF")</f>
        <v/>
      </c>
      <c r="B8632" t="inlineStr">
        <is>
          <t>EMERA INC</t>
        </is>
      </c>
      <c r="C8632" t="inlineStr">
        <is>
          <t>OTC</t>
        </is>
      </c>
      <c r="D8632" t="n">
        <v>1127248</v>
      </c>
      <c r="E8632" t="inlineStr">
        <is>
          <t>SEC</t>
        </is>
      </c>
    </row>
    <row r="8633">
      <c r="A8633" s="5">
        <f>HYPERLINK("https://finance.yahoo.com/quote/EMRJF","EMRJF")</f>
        <v/>
      </c>
      <c r="B8633" t="inlineStr">
        <is>
          <t>EMERA INC</t>
        </is>
      </c>
      <c r="C8633" t="inlineStr">
        <is>
          <t>OTC</t>
        </is>
      </c>
      <c r="D8633" t="n">
        <v>1127248</v>
      </c>
      <c r="E8633" t="inlineStr">
        <is>
          <t>SEC</t>
        </is>
      </c>
    </row>
    <row r="8634">
      <c r="A8634" s="5">
        <f>HYPERLINK("https://finance.yahoo.com/quote/XAKJ","XAKJ")</f>
        <v/>
      </c>
      <c r="B8634" t="inlineStr">
        <is>
          <t>SIPP International Industries, Inc.</t>
        </is>
      </c>
      <c r="C8634" t="inlineStr">
        <is>
          <t>OTC</t>
        </is>
      </c>
      <c r="D8634" t="n">
        <v>1128252</v>
      </c>
      <c r="E8634" t="inlineStr">
        <is>
          <t>SEC</t>
        </is>
      </c>
    </row>
    <row r="8635">
      <c r="A8635" s="5">
        <f>HYPERLINK("https://finance.yahoo.com/quote/BGMSP","BGMSP")</f>
        <v/>
      </c>
      <c r="B8635" t="inlineStr">
        <is>
          <t>Bio Green Med Solution, Inc.</t>
        </is>
      </c>
      <c r="C8635" t="inlineStr">
        <is>
          <t>OTC</t>
        </is>
      </c>
      <c r="D8635" t="n">
        <v>1130166</v>
      </c>
      <c r="E8635" t="inlineStr">
        <is>
          <t>SEC</t>
        </is>
      </c>
    </row>
    <row r="8636">
      <c r="A8636" s="5">
        <f>HYPERLINK("https://finance.yahoo.com/quote/ZNOGW","ZNOGW")</f>
        <v/>
      </c>
      <c r="B8636" t="inlineStr">
        <is>
          <t>ZION OIL &amp; GAS INC</t>
        </is>
      </c>
      <c r="C8636" t="inlineStr">
        <is>
          <t>OTC</t>
        </is>
      </c>
      <c r="D8636" t="n">
        <v>1131312</v>
      </c>
      <c r="E8636" t="inlineStr">
        <is>
          <t>SEC</t>
        </is>
      </c>
    </row>
    <row r="8637">
      <c r="A8637" s="5">
        <f>HYPERLINK("https://finance.yahoo.com/quote/PFH","PFH")</f>
        <v/>
      </c>
      <c r="B8637" t="inlineStr">
        <is>
          <t>PRUDENTIAL FINANCIAL INC</t>
        </is>
      </c>
      <c r="C8637" t="inlineStr">
        <is>
          <t>NYSE</t>
        </is>
      </c>
      <c r="D8637" t="n">
        <v>1137774</v>
      </c>
      <c r="E8637" t="inlineStr">
        <is>
          <t>SEC</t>
        </is>
      </c>
    </row>
    <row r="8638">
      <c r="A8638" s="5">
        <f>HYPERLINK("https://finance.yahoo.com/quote/PRH","PRH")</f>
        <v/>
      </c>
      <c r="B8638" t="inlineStr">
        <is>
          <t>PRUDENTIAL FINANCIAL INC</t>
        </is>
      </c>
      <c r="C8638" t="inlineStr">
        <is>
          <t>NYSE</t>
        </is>
      </c>
      <c r="D8638" t="n">
        <v>1137774</v>
      </c>
      <c r="E8638" t="inlineStr">
        <is>
          <t>SEC</t>
        </is>
      </c>
    </row>
    <row r="8639">
      <c r="A8639" s="5">
        <f>HYPERLINK("https://finance.yahoo.com/quote/PRS","PRS")</f>
        <v/>
      </c>
      <c r="B8639" t="inlineStr">
        <is>
          <t>PRUDENTIAL FINANCIAL INC</t>
        </is>
      </c>
      <c r="C8639" t="inlineStr">
        <is>
          <t>NYSE</t>
        </is>
      </c>
      <c r="D8639" t="n">
        <v>1137774</v>
      </c>
      <c r="E8639" t="inlineStr">
        <is>
          <t>SEC</t>
        </is>
      </c>
    </row>
    <row r="8640">
      <c r="A8640" s="5">
        <f>HYPERLINK("https://finance.yahoo.com/quote/TACPF","TACPF")</f>
        <v/>
      </c>
      <c r="B8640" t="inlineStr">
        <is>
          <t>TRANSALTA CORP</t>
        </is>
      </c>
      <c r="C8640" t="inlineStr">
        <is>
          <t>OTC</t>
        </is>
      </c>
      <c r="D8640" t="n">
        <v>1144800</v>
      </c>
      <c r="E8640" t="inlineStr">
        <is>
          <t>SEC</t>
        </is>
      </c>
    </row>
    <row r="8641">
      <c r="A8641" s="5">
        <f>HYPERLINK("https://finance.yahoo.com/quote/TRNTF","TRNTF")</f>
        <v/>
      </c>
      <c r="B8641" t="inlineStr">
        <is>
          <t>TRANSALTA CORP</t>
        </is>
      </c>
      <c r="C8641" t="inlineStr">
        <is>
          <t>OTC</t>
        </is>
      </c>
      <c r="D8641" t="n">
        <v>1144800</v>
      </c>
      <c r="E8641" t="inlineStr">
        <is>
          <t>SEC</t>
        </is>
      </c>
    </row>
    <row r="8642">
      <c r="A8642" s="5">
        <f>HYPERLINK("https://finance.yahoo.com/quote/TSLTF","TSLTF")</f>
        <v/>
      </c>
      <c r="B8642" t="inlineStr">
        <is>
          <t>TRANSALTA CORP</t>
        </is>
      </c>
      <c r="C8642" t="inlineStr">
        <is>
          <t>OTC</t>
        </is>
      </c>
      <c r="D8642" t="n">
        <v>1144800</v>
      </c>
      <c r="E8642" t="inlineStr">
        <is>
          <t>SEC</t>
        </is>
      </c>
    </row>
    <row r="8643">
      <c r="A8643" s="5">
        <f>HYPERLINK("https://finance.yahoo.com/quote/ADZCF","ADZCF")</f>
        <v/>
      </c>
      <c r="B8643" t="inlineStr">
        <is>
          <t>DEUTSCHE BANK AKTIENGESELLSCHAFT</t>
        </is>
      </c>
      <c r="C8643" t="inlineStr">
        <is>
          <t>OTC</t>
        </is>
      </c>
      <c r="D8643" t="n">
        <v>1159508</v>
      </c>
      <c r="E8643" t="inlineStr">
        <is>
          <t>SEC</t>
        </is>
      </c>
    </row>
    <row r="8644">
      <c r="A8644" s="5">
        <f>HYPERLINK("https://finance.yahoo.com/quote/DEENF","DEENF")</f>
        <v/>
      </c>
      <c r="B8644" t="inlineStr">
        <is>
          <t>DEUTSCHE BANK AKTIENGESELLSCHAFT</t>
        </is>
      </c>
      <c r="C8644" t="inlineStr">
        <is>
          <t>OTC</t>
        </is>
      </c>
      <c r="D8644" t="n">
        <v>1159508</v>
      </c>
      <c r="E8644" t="inlineStr">
        <is>
          <t>SEC</t>
        </is>
      </c>
    </row>
    <row r="8645">
      <c r="A8645" s="5">
        <f>HYPERLINK("https://finance.yahoo.com/quote/DGP","DGP")</f>
        <v/>
      </c>
      <c r="B8645" t="inlineStr">
        <is>
          <t>DEUTSCHE BANK AKTIENGESELLSCHAFT</t>
        </is>
      </c>
      <c r="C8645" t="inlineStr">
        <is>
          <t>NYSE</t>
        </is>
      </c>
      <c r="D8645" t="n">
        <v>1159508</v>
      </c>
      <c r="E8645" t="inlineStr">
        <is>
          <t>SEC</t>
        </is>
      </c>
    </row>
    <row r="8646">
      <c r="A8646" s="5">
        <f>HYPERLINK("https://finance.yahoo.com/quote/DGZ","DGZ")</f>
        <v/>
      </c>
      <c r="B8646" t="inlineStr">
        <is>
          <t>DEUTSCHE BANK AKTIENGESELLSCHAFT</t>
        </is>
      </c>
      <c r="C8646" t="inlineStr">
        <is>
          <t>NYSE</t>
        </is>
      </c>
      <c r="D8646" t="n">
        <v>1159508</v>
      </c>
      <c r="E8646" t="inlineStr">
        <is>
          <t>SEC</t>
        </is>
      </c>
    </row>
    <row r="8647">
      <c r="A8647" s="5">
        <f>HYPERLINK("https://finance.yahoo.com/quote/DZZ","DZZ")</f>
        <v/>
      </c>
      <c r="B8647" t="inlineStr">
        <is>
          <t>DEUTSCHE BANK AKTIENGESELLSCHAFT</t>
        </is>
      </c>
      <c r="C8647" t="inlineStr">
        <is>
          <t>NYSE</t>
        </is>
      </c>
      <c r="D8647" t="n">
        <v>1159508</v>
      </c>
      <c r="E8647" t="inlineStr">
        <is>
          <t>SEC</t>
        </is>
      </c>
    </row>
    <row r="8648">
      <c r="A8648" s="5">
        <f>HYPERLINK("https://finance.yahoo.com/quote/OLOXF","OLOXF")</f>
        <v/>
      </c>
      <c r="B8648" t="inlineStr">
        <is>
          <t>DEUTSCHE BANK AKTIENGESELLSCHAFT</t>
        </is>
      </c>
      <c r="C8648" t="inlineStr">
        <is>
          <t>OTC</t>
        </is>
      </c>
      <c r="D8648" t="n">
        <v>1159508</v>
      </c>
      <c r="E8648" t="inlineStr">
        <is>
          <t>SEC</t>
        </is>
      </c>
    </row>
    <row r="8649">
      <c r="A8649" s="5">
        <f>HYPERLINK("https://finance.yahoo.com/quote/LLOBF","LLOBF")</f>
        <v/>
      </c>
      <c r="B8649" t="inlineStr">
        <is>
          <t>Lloyds Banking Group plc</t>
        </is>
      </c>
      <c r="C8649" t="inlineStr">
        <is>
          <t>OTC</t>
        </is>
      </c>
      <c r="D8649" t="n">
        <v>1160106</v>
      </c>
      <c r="E8649" t="inlineStr">
        <is>
          <t>SEC</t>
        </is>
      </c>
    </row>
    <row r="8650">
      <c r="A8650" s="5">
        <f>HYPERLINK("https://finance.yahoo.com/quote/NEMCL","NEMCL")</f>
        <v/>
      </c>
      <c r="B8650" t="inlineStr">
        <is>
          <t>NEWMONT Corp /DE/</t>
        </is>
      </c>
      <c r="C8650" t="inlineStr">
        <is>
          <t>OTC</t>
        </is>
      </c>
      <c r="D8650" t="n">
        <v>1164727</v>
      </c>
      <c r="E8650" t="inlineStr">
        <is>
          <t>SEC</t>
        </is>
      </c>
    </row>
    <row r="8651">
      <c r="A8651" s="5">
        <f>HYPERLINK("https://finance.yahoo.com/quote/TEN-PE","TEN-PE")</f>
        <v/>
      </c>
      <c r="B8651" t="inlineStr">
        <is>
          <t>TSAKOS ENERGY NAVIGATION LTD</t>
        </is>
      </c>
      <c r="C8651" t="inlineStr">
        <is>
          <t>NYSE</t>
        </is>
      </c>
      <c r="D8651" t="n">
        <v>1166663</v>
      </c>
      <c r="E8651" t="inlineStr">
        <is>
          <t>SEC</t>
        </is>
      </c>
    </row>
    <row r="8652">
      <c r="A8652" s="5">
        <f>HYPERLINK("https://finance.yahoo.com/quote/TEN-PF","TEN-PF")</f>
        <v/>
      </c>
      <c r="B8652" t="inlineStr">
        <is>
          <t>TSAKOS ENERGY NAVIGATION LTD</t>
        </is>
      </c>
      <c r="C8652" t="inlineStr">
        <is>
          <t>NYSE</t>
        </is>
      </c>
      <c r="D8652" t="n">
        <v>1166663</v>
      </c>
      <c r="E8652" t="inlineStr">
        <is>
          <t>SEC</t>
        </is>
      </c>
    </row>
    <row r="8653">
      <c r="A8653" s="5">
        <f>HYPERLINK("https://finance.yahoo.com/quote/BANC-PF","BANC-PF")</f>
        <v/>
      </c>
      <c r="B8653" t="inlineStr">
        <is>
          <t>BANC OF CALIFORNIA, INC.</t>
        </is>
      </c>
      <c r="C8653" t="inlineStr">
        <is>
          <t>NYSE</t>
        </is>
      </c>
      <c r="D8653" t="n">
        <v>1169770</v>
      </c>
      <c r="E8653" t="inlineStr">
        <is>
          <t>SEC</t>
        </is>
      </c>
    </row>
    <row r="8654">
      <c r="A8654" s="5">
        <f>HYPERLINK("https://finance.yahoo.com/quote/ECOC","ECOC")</f>
        <v/>
      </c>
      <c r="B8654" t="inlineStr">
        <is>
          <t>ABVC BIOPHARMA, INC.</t>
        </is>
      </c>
      <c r="C8654" t="inlineStr">
        <is>
          <t>OTC</t>
        </is>
      </c>
      <c r="D8654" t="n">
        <v>1173313</v>
      </c>
      <c r="E8654" t="inlineStr">
        <is>
          <t>SEC</t>
        </is>
      </c>
    </row>
    <row r="8655">
      <c r="A8655" s="5">
        <f>HYPERLINK("https://finance.yahoo.com/quote/AGQPF","AGQPF")</f>
        <v/>
      </c>
      <c r="B8655" t="inlineStr">
        <is>
          <t>ALGONQUIN POWER &amp; UTILITIES CORP.</t>
        </is>
      </c>
      <c r="C8655" t="inlineStr">
        <is>
          <t>OTC</t>
        </is>
      </c>
      <c r="D8655" t="n">
        <v>1174169</v>
      </c>
      <c r="E8655" t="inlineStr">
        <is>
          <t>SEC</t>
        </is>
      </c>
    </row>
    <row r="8656">
      <c r="A8656" s="5">
        <f>HYPERLINK("https://finance.yahoo.com/quote/AQNB","AQNB")</f>
        <v/>
      </c>
      <c r="B8656" t="inlineStr">
        <is>
          <t>ALGONQUIN POWER &amp; UTILITIES CORP.</t>
        </is>
      </c>
      <c r="C8656" t="inlineStr">
        <is>
          <t>NYSE</t>
        </is>
      </c>
      <c r="D8656" t="n">
        <v>1174169</v>
      </c>
      <c r="E8656" t="inlineStr">
        <is>
          <t>SEC</t>
        </is>
      </c>
    </row>
    <row r="8657">
      <c r="A8657" s="5">
        <f>HYPERLINK("https://finance.yahoo.com/quote/AEBMF","AEBMF")</f>
        <v/>
      </c>
      <c r="B8657" t="inlineStr">
        <is>
          <t>ANADOLU EFES BIRACILIK VE MALT SANAYI A S/ADR</t>
        </is>
      </c>
      <c r="C8657" t="inlineStr">
        <is>
          <t>OTC</t>
        </is>
      </c>
      <c r="D8657" t="n">
        <v>1174511</v>
      </c>
      <c r="E8657" t="inlineStr">
        <is>
          <t>SEC</t>
        </is>
      </c>
    </row>
    <row r="8658">
      <c r="A8658" s="5">
        <f>HYPERLINK("https://finance.yahoo.com/quote/ARES-PB","ARES-PB")</f>
        <v/>
      </c>
      <c r="B8658" t="inlineStr">
        <is>
          <t>Ares Management Corp</t>
        </is>
      </c>
      <c r="C8658" t="inlineStr">
        <is>
          <t>NYSE</t>
        </is>
      </c>
      <c r="D8658" t="n">
        <v>1176948</v>
      </c>
      <c r="E8658" t="inlineStr">
        <is>
          <t>SEC</t>
        </is>
      </c>
    </row>
    <row r="8659">
      <c r="A8659" s="5">
        <f>HYPERLINK("https://finance.yahoo.com/quote/STRRP","STRRP")</f>
        <v/>
      </c>
      <c r="B8659" t="inlineStr">
        <is>
          <t>Star Equity Holdings, Inc.</t>
        </is>
      </c>
      <c r="C8659" t="inlineStr">
        <is>
          <t>Nasdaq</t>
        </is>
      </c>
      <c r="D8659" t="n">
        <v>1210708</v>
      </c>
      <c r="E8659" t="inlineStr">
        <is>
          <t>SEC</t>
        </is>
      </c>
    </row>
    <row r="8660">
      <c r="A8660" s="5">
        <f>HYPERLINK("https://finance.yahoo.com/quote/WAL-PA","WAL-PA")</f>
        <v/>
      </c>
      <c r="B8660" t="inlineStr">
        <is>
          <t>WESTERN ALLIANCE BANCORPORATION</t>
        </is>
      </c>
      <c r="C8660" t="inlineStr">
        <is>
          <t>NYSE</t>
        </is>
      </c>
      <c r="D8660" t="n">
        <v>1212545</v>
      </c>
      <c r="E8660" t="inlineStr">
        <is>
          <t>SEC</t>
        </is>
      </c>
    </row>
    <row r="8661">
      <c r="A8661" s="5">
        <f>HYPERLINK("https://finance.yahoo.com/quote/NCV-PA","NCV-PA")</f>
        <v/>
      </c>
      <c r="B8661" t="inlineStr">
        <is>
          <t>Virtus Convertible &amp; Income Fund</t>
        </is>
      </c>
      <c r="C8661" t="inlineStr">
        <is>
          <t>NYSE</t>
        </is>
      </c>
      <c r="D8661" t="n">
        <v>1214935</v>
      </c>
      <c r="E8661" t="inlineStr">
        <is>
          <t>SEC</t>
        </is>
      </c>
    </row>
    <row r="8662">
      <c r="A8662" s="5">
        <f>HYPERLINK("https://finance.yahoo.com/quote/CNO-PA","CNO-PA")</f>
        <v/>
      </c>
      <c r="B8662" t="inlineStr">
        <is>
          <t>CNO Financial Group, Inc.</t>
        </is>
      </c>
      <c r="C8662" t="inlineStr">
        <is>
          <t>NYSE</t>
        </is>
      </c>
      <c r="D8662" t="n">
        <v>1224608</v>
      </c>
      <c r="E8662" t="inlineStr">
        <is>
          <t>SEC</t>
        </is>
      </c>
    </row>
    <row r="8663">
      <c r="A8663" s="5">
        <f>HYPERLINK("https://finance.yahoo.com/quote/TCENF","TCENF")</f>
        <v/>
      </c>
      <c r="B8663" t="inlineStr">
        <is>
          <t>TC ENERGY CORP</t>
        </is>
      </c>
      <c r="C8663" t="inlineStr">
        <is>
          <t>OTC</t>
        </is>
      </c>
      <c r="D8663" t="n">
        <v>1232384</v>
      </c>
      <c r="E8663" t="inlineStr">
        <is>
          <t>SEC</t>
        </is>
      </c>
    </row>
    <row r="8664">
      <c r="A8664" s="5">
        <f>HYPERLINK("https://finance.yahoo.com/quote/TCEYF","TCEYF")</f>
        <v/>
      </c>
      <c r="B8664" t="inlineStr">
        <is>
          <t>TC ENERGY CORP</t>
        </is>
      </c>
      <c r="C8664" t="inlineStr">
        <is>
          <t>OTC</t>
        </is>
      </c>
      <c r="D8664" t="n">
        <v>1232384</v>
      </c>
      <c r="E8664" t="inlineStr">
        <is>
          <t>SEC</t>
        </is>
      </c>
    </row>
    <row r="8665">
      <c r="A8665" s="5">
        <f>HYPERLINK("https://finance.yahoo.com/quote/TRPEF","TRPEF")</f>
        <v/>
      </c>
      <c r="B8665" t="inlineStr">
        <is>
          <t>TC ENERGY CORP</t>
        </is>
      </c>
      <c r="C8665" t="inlineStr">
        <is>
          <t>OTC</t>
        </is>
      </c>
      <c r="D8665" t="n">
        <v>1232384</v>
      </c>
      <c r="E8665" t="inlineStr">
        <is>
          <t>SEC</t>
        </is>
      </c>
    </row>
    <row r="8666">
      <c r="A8666" s="5">
        <f>HYPERLINK("https://finance.yahoo.com/quote/TRPPF","TRPPF")</f>
        <v/>
      </c>
      <c r="B8666" t="inlineStr">
        <is>
          <t>TC ENERGY CORP</t>
        </is>
      </c>
      <c r="C8666" t="inlineStr">
        <is>
          <t>OTC</t>
        </is>
      </c>
      <c r="D8666" t="n">
        <v>1232384</v>
      </c>
      <c r="E8666" t="inlineStr">
        <is>
          <t>SEC</t>
        </is>
      </c>
    </row>
    <row r="8667">
      <c r="A8667" s="5">
        <f>HYPERLINK("https://finance.yahoo.com/quote/TRPRF","TRPRF")</f>
        <v/>
      </c>
      <c r="B8667" t="inlineStr">
        <is>
          <t>TC ENERGY CORP</t>
        </is>
      </c>
      <c r="C8667" t="inlineStr">
        <is>
          <t>OTC</t>
        </is>
      </c>
      <c r="D8667" t="n">
        <v>1232384</v>
      </c>
      <c r="E8667" t="inlineStr">
        <is>
          <t>SEC</t>
        </is>
      </c>
    </row>
    <row r="8668">
      <c r="A8668" s="5">
        <f>HYPERLINK("https://finance.yahoo.com/quote/AHT-PD","AHT-PD")</f>
        <v/>
      </c>
      <c r="B8668" t="inlineStr">
        <is>
          <t>ASHFORD HOSPITALITY TRUST INC</t>
        </is>
      </c>
      <c r="C8668" t="inlineStr">
        <is>
          <t>NYSE</t>
        </is>
      </c>
      <c r="D8668" t="n">
        <v>1232582</v>
      </c>
      <c r="E8668" t="inlineStr">
        <is>
          <t>SEC</t>
        </is>
      </c>
    </row>
    <row r="8669">
      <c r="A8669" s="5">
        <f>HYPERLINK("https://finance.yahoo.com/quote/AHT-PF","AHT-PF")</f>
        <v/>
      </c>
      <c r="B8669" t="inlineStr">
        <is>
          <t>ASHFORD HOSPITALITY TRUST INC</t>
        </is>
      </c>
      <c r="C8669" t="inlineStr">
        <is>
          <t>NYSE</t>
        </is>
      </c>
      <c r="D8669" t="n">
        <v>1232582</v>
      </c>
      <c r="E8669" t="inlineStr">
        <is>
          <t>SEC</t>
        </is>
      </c>
    </row>
    <row r="8670">
      <c r="A8670" s="5">
        <f>HYPERLINK("https://finance.yahoo.com/quote/AHT-PG","AHT-PG")</f>
        <v/>
      </c>
      <c r="B8670" t="inlineStr">
        <is>
          <t>ASHFORD HOSPITALITY TRUST INC</t>
        </is>
      </c>
      <c r="C8670" t="inlineStr">
        <is>
          <t>NYSE</t>
        </is>
      </c>
      <c r="D8670" t="n">
        <v>1232582</v>
      </c>
      <c r="E8670" t="inlineStr">
        <is>
          <t>SEC</t>
        </is>
      </c>
    </row>
    <row r="8671">
      <c r="A8671" s="5">
        <f>HYPERLINK("https://finance.yahoo.com/quote/AHT-PH","AHT-PH")</f>
        <v/>
      </c>
      <c r="B8671" t="inlineStr">
        <is>
          <t>ASHFORD HOSPITALITY TRUST INC</t>
        </is>
      </c>
      <c r="C8671" t="inlineStr">
        <is>
          <t>NYSE</t>
        </is>
      </c>
      <c r="D8671" t="n">
        <v>1232582</v>
      </c>
      <c r="E8671" t="inlineStr">
        <is>
          <t>SEC</t>
        </is>
      </c>
    </row>
    <row r="8672">
      <c r="A8672" s="5">
        <f>HYPERLINK("https://finance.yahoo.com/quote/AHT-PI","AHT-PI")</f>
        <v/>
      </c>
      <c r="B8672" t="inlineStr">
        <is>
          <t>ASHFORD HOSPITALITY TRUST INC</t>
        </is>
      </c>
      <c r="C8672" t="inlineStr">
        <is>
          <t>NYSE</t>
        </is>
      </c>
      <c r="D8672" t="n">
        <v>1232582</v>
      </c>
      <c r="E8672" t="inlineStr">
        <is>
          <t>SEC</t>
        </is>
      </c>
    </row>
    <row r="8673">
      <c r="A8673" s="5">
        <f>HYPERLINK("https://finance.yahoo.com/quote/GOODN","GOODN")</f>
        <v/>
      </c>
      <c r="B8673" t="inlineStr">
        <is>
          <t>GLADSTONE COMMERCIAL CORP</t>
        </is>
      </c>
      <c r="C8673" t="inlineStr">
        <is>
          <t>Nasdaq</t>
        </is>
      </c>
      <c r="D8673" t="n">
        <v>1234006</v>
      </c>
      <c r="E8673" t="inlineStr">
        <is>
          <t>SEC</t>
        </is>
      </c>
    </row>
    <row r="8674">
      <c r="A8674" s="5">
        <f>HYPERLINK("https://finance.yahoo.com/quote/GOODO","GOODO")</f>
        <v/>
      </c>
      <c r="B8674" t="inlineStr">
        <is>
          <t>GLADSTONE COMMERCIAL CORP</t>
        </is>
      </c>
      <c r="C8674" t="inlineStr">
        <is>
          <t>Nasdaq</t>
        </is>
      </c>
      <c r="D8674" t="n">
        <v>1234006</v>
      </c>
      <c r="E8674" t="inlineStr">
        <is>
          <t>SEC</t>
        </is>
      </c>
    </row>
    <row r="8675">
      <c r="A8675" s="5">
        <f>HYPERLINK("https://finance.yahoo.com/quote/QXO-PB","QXO-PB")</f>
        <v/>
      </c>
      <c r="B8675" t="inlineStr">
        <is>
          <t>QXO, Inc.</t>
        </is>
      </c>
      <c r="C8675" t="inlineStr">
        <is>
          <t>NYSE</t>
        </is>
      </c>
      <c r="D8675" t="n">
        <v>1236275</v>
      </c>
      <c r="E8675" t="inlineStr">
        <is>
          <t>SEC</t>
        </is>
      </c>
    </row>
    <row r="8676">
      <c r="A8676" s="5">
        <f>HYPERLINK("https://finance.yahoo.com/quote/ABR-PD","ABR-PD")</f>
        <v/>
      </c>
      <c r="B8676" t="inlineStr">
        <is>
          <t>ARBOR REALTY TRUST INC</t>
        </is>
      </c>
      <c r="C8676" t="inlineStr">
        <is>
          <t>NYSE</t>
        </is>
      </c>
      <c r="D8676" t="n">
        <v>1253986</v>
      </c>
      <c r="E8676" t="inlineStr">
        <is>
          <t>SEC</t>
        </is>
      </c>
    </row>
    <row r="8677">
      <c r="A8677" s="5">
        <f>HYPERLINK("https://finance.yahoo.com/quote/ABR-PE","ABR-PE")</f>
        <v/>
      </c>
      <c r="B8677" t="inlineStr">
        <is>
          <t>ARBOR REALTY TRUST INC</t>
        </is>
      </c>
      <c r="C8677" t="inlineStr">
        <is>
          <t>NYSE</t>
        </is>
      </c>
      <c r="D8677" t="n">
        <v>1253986</v>
      </c>
      <c r="E8677" t="inlineStr">
        <is>
          <t>SEC</t>
        </is>
      </c>
    </row>
    <row r="8678">
      <c r="A8678" s="5">
        <f>HYPERLINK("https://finance.yahoo.com/quote/ABR-PF","ABR-PF")</f>
        <v/>
      </c>
      <c r="B8678" t="inlineStr">
        <is>
          <t>ARBOR REALTY TRUST INC</t>
        </is>
      </c>
      <c r="C8678" t="inlineStr">
        <is>
          <t>NYSE</t>
        </is>
      </c>
      <c r="D8678" t="n">
        <v>1253986</v>
      </c>
      <c r="E8678" t="inlineStr">
        <is>
          <t>SEC</t>
        </is>
      </c>
    </row>
    <row r="8679">
      <c r="A8679" s="5">
        <f>HYPERLINK("https://finance.yahoo.com/quote/OXSQG","OXSQG")</f>
        <v/>
      </c>
      <c r="B8679" t="inlineStr">
        <is>
          <t>Oxford Square Capital Corp.</t>
        </is>
      </c>
      <c r="C8679" t="inlineStr">
        <is>
          <t>Nasdaq</t>
        </is>
      </c>
      <c r="D8679" t="n">
        <v>1259429</v>
      </c>
      <c r="E8679" t="inlineStr">
        <is>
          <t>SEC</t>
        </is>
      </c>
    </row>
    <row r="8680">
      <c r="A8680" s="5">
        <f>HYPERLINK("https://finance.yahoo.com/quote/OXSQH","OXSQH")</f>
        <v/>
      </c>
      <c r="B8680" t="inlineStr">
        <is>
          <t>Oxford Square Capital Corp.</t>
        </is>
      </c>
      <c r="C8680" t="inlineStr">
        <is>
          <t>Nasdaq</t>
        </is>
      </c>
      <c r="D8680" t="n">
        <v>1259429</v>
      </c>
      <c r="E8680" t="inlineStr">
        <is>
          <t>SEC</t>
        </is>
      </c>
    </row>
    <row r="8681">
      <c r="A8681" s="5">
        <f>HYPERLINK("https://finance.yahoo.com/quote/GDV-PK","GDV-PK")</f>
        <v/>
      </c>
      <c r="B8681" t="inlineStr">
        <is>
          <t>GABELLI DIVIDEND &amp; INCOME TRUST</t>
        </is>
      </c>
      <c r="C8681" t="inlineStr">
        <is>
          <t>NYSE</t>
        </is>
      </c>
      <c r="D8681" t="n">
        <v>1260729</v>
      </c>
      <c r="E8681" t="inlineStr">
        <is>
          <t>SEC</t>
        </is>
      </c>
    </row>
    <row r="8682">
      <c r="A8682" s="5">
        <f>HYPERLINK("https://finance.yahoo.com/quote/COPR-WT","COPR-WT")</f>
        <v/>
      </c>
      <c r="B8682" t="inlineStr">
        <is>
          <t>Idaho Copper Corp</t>
        </is>
      </c>
      <c r="C8682" t="inlineStr">
        <is>
          <t>NYSE</t>
        </is>
      </c>
      <c r="D8682" t="n">
        <v>1263364</v>
      </c>
      <c r="E8682" t="inlineStr">
        <is>
          <t>SEC</t>
        </is>
      </c>
    </row>
    <row r="8683">
      <c r="A8683" s="5">
        <f>HYPERLINK("https://finance.yahoo.com/quote/AIZN","AIZN")</f>
        <v/>
      </c>
      <c r="B8683" t="inlineStr">
        <is>
          <t>ASSURANT, INC.</t>
        </is>
      </c>
      <c r="C8683" t="inlineStr">
        <is>
          <t>NYSE</t>
        </is>
      </c>
      <c r="D8683" t="n">
        <v>1267238</v>
      </c>
      <c r="E8683" t="inlineStr">
        <is>
          <t>SEC</t>
        </is>
      </c>
    </row>
    <row r="8684">
      <c r="A8684" s="5">
        <f>HYPERLINK("https://finance.yahoo.com/quote/AHL-PD","AHL-PD")</f>
        <v/>
      </c>
      <c r="B8684" t="inlineStr">
        <is>
          <t>ASPEN INSURANCE HOLDINGS LTD</t>
        </is>
      </c>
      <c r="C8684" t="inlineStr">
        <is>
          <t>NYSE</t>
        </is>
      </c>
      <c r="D8684" t="n">
        <v>1267395</v>
      </c>
      <c r="E8684" t="inlineStr">
        <is>
          <t>SEC</t>
        </is>
      </c>
    </row>
    <row r="8685">
      <c r="A8685" s="5">
        <f>HYPERLINK("https://finance.yahoo.com/quote/AHL-PE","AHL-PE")</f>
        <v/>
      </c>
      <c r="B8685" t="inlineStr">
        <is>
          <t>ASPEN INSURANCE HOLDINGS LTD</t>
        </is>
      </c>
      <c r="C8685" t="inlineStr">
        <is>
          <t>NYSE</t>
        </is>
      </c>
      <c r="D8685" t="n">
        <v>1267395</v>
      </c>
      <c r="E8685" t="inlineStr">
        <is>
          <t>SEC</t>
        </is>
      </c>
    </row>
    <row r="8686">
      <c r="A8686" s="5">
        <f>HYPERLINK("https://finance.yahoo.com/quote/AHL-PF","AHL-PF")</f>
        <v/>
      </c>
      <c r="B8686" t="inlineStr">
        <is>
          <t>ASPEN INSURANCE HOLDINGS LTD</t>
        </is>
      </c>
      <c r="C8686" t="inlineStr">
        <is>
          <t>NYSE</t>
        </is>
      </c>
      <c r="D8686" t="n">
        <v>1267395</v>
      </c>
      <c r="E8686" t="inlineStr">
        <is>
          <t>SEC</t>
        </is>
      </c>
    </row>
    <row r="8687">
      <c r="A8687" s="5">
        <f>HYPERLINK("https://finance.yahoo.com/quote/CILFY","CILFY")</f>
        <v/>
      </c>
      <c r="B8687" t="inlineStr">
        <is>
          <t>CHINA LIFE INSURANCE CO LTD</t>
        </is>
      </c>
      <c r="C8687" t="inlineStr">
        <is>
          <t>OTC</t>
        </is>
      </c>
      <c r="D8687" t="n">
        <v>1268896</v>
      </c>
      <c r="E8687" t="inlineStr">
        <is>
          <t>SEC</t>
        </is>
      </c>
    </row>
    <row r="8688">
      <c r="A8688" s="5">
        <f>HYPERLINK("https://finance.yahoo.com/quote/ADAMG","ADAMG")</f>
        <v/>
      </c>
      <c r="B8688" t="inlineStr">
        <is>
          <t>ADAMAS TRUST, INC.</t>
        </is>
      </c>
      <c r="C8688" t="inlineStr">
        <is>
          <t>Nasdaq</t>
        </is>
      </c>
      <c r="D8688" t="n">
        <v>1273685</v>
      </c>
      <c r="E8688" t="inlineStr">
        <is>
          <t>SEC</t>
        </is>
      </c>
    </row>
    <row r="8689">
      <c r="A8689" s="5">
        <f>HYPERLINK("https://finance.yahoo.com/quote/ADAMH","ADAMH")</f>
        <v/>
      </c>
      <c r="B8689" t="inlineStr">
        <is>
          <t>ADAMAS TRUST, INC.</t>
        </is>
      </c>
      <c r="C8689" t="inlineStr">
        <is>
          <t>Nasdaq</t>
        </is>
      </c>
      <c r="D8689" t="n">
        <v>1273685</v>
      </c>
      <c r="E8689" t="inlineStr">
        <is>
          <t>SEC</t>
        </is>
      </c>
    </row>
    <row r="8690">
      <c r="A8690" s="5">
        <f>HYPERLINK("https://finance.yahoo.com/quote/ADAMI","ADAMI")</f>
        <v/>
      </c>
      <c r="B8690" t="inlineStr">
        <is>
          <t>ADAMAS TRUST, INC.</t>
        </is>
      </c>
      <c r="C8690" t="inlineStr">
        <is>
          <t>Nasdaq</t>
        </is>
      </c>
      <c r="D8690" t="n">
        <v>1273685</v>
      </c>
      <c r="E8690" t="inlineStr">
        <is>
          <t>SEC</t>
        </is>
      </c>
    </row>
    <row r="8691">
      <c r="A8691" s="5">
        <f>HYPERLINK("https://finance.yahoo.com/quote/ADAMK","ADAMK")</f>
        <v/>
      </c>
      <c r="B8691" t="inlineStr">
        <is>
          <t>ADAMAS TRUST, INC.</t>
        </is>
      </c>
      <c r="C8691" t="inlineStr">
        <is>
          <t>Nasdaq</t>
        </is>
      </c>
      <c r="D8691" t="n">
        <v>1273685</v>
      </c>
      <c r="E8691" t="inlineStr">
        <is>
          <t>SEC</t>
        </is>
      </c>
    </row>
    <row r="8692">
      <c r="A8692" s="5">
        <f>HYPERLINK("https://finance.yahoo.com/quote/ADAML","ADAML")</f>
        <v/>
      </c>
      <c r="B8692" t="inlineStr">
        <is>
          <t>ADAMAS TRUST, INC.</t>
        </is>
      </c>
      <c r="C8692" t="inlineStr">
        <is>
          <t>Nasdaq</t>
        </is>
      </c>
      <c r="D8692" t="n">
        <v>1273685</v>
      </c>
      <c r="E8692" t="inlineStr">
        <is>
          <t>SEC</t>
        </is>
      </c>
    </row>
    <row r="8693">
      <c r="A8693" s="5">
        <f>HYPERLINK("https://finance.yahoo.com/quote/ADAMM","ADAMM")</f>
        <v/>
      </c>
      <c r="B8693" t="inlineStr">
        <is>
          <t>ADAMAS TRUST, INC.</t>
        </is>
      </c>
      <c r="C8693" t="inlineStr">
        <is>
          <t>Nasdaq</t>
        </is>
      </c>
      <c r="D8693" t="n">
        <v>1273685</v>
      </c>
      <c r="E8693" t="inlineStr">
        <is>
          <t>SEC</t>
        </is>
      </c>
    </row>
    <row r="8694">
      <c r="A8694" s="5">
        <f>HYPERLINK("https://finance.yahoo.com/quote/ADAMN","ADAMN")</f>
        <v/>
      </c>
      <c r="B8694" t="inlineStr">
        <is>
          <t>ADAMAS TRUST, INC.</t>
        </is>
      </c>
      <c r="C8694" t="inlineStr">
        <is>
          <t>Nasdaq</t>
        </is>
      </c>
      <c r="D8694" t="n">
        <v>1273685</v>
      </c>
      <c r="E8694" t="inlineStr">
        <is>
          <t>SEC</t>
        </is>
      </c>
    </row>
    <row r="8695">
      <c r="A8695" s="5">
        <f>HYPERLINK("https://finance.yahoo.com/quote/ADAMO","ADAMO")</f>
        <v/>
      </c>
      <c r="B8695" t="inlineStr">
        <is>
          <t>ADAMAS TRUST, INC.</t>
        </is>
      </c>
      <c r="C8695" t="inlineStr">
        <is>
          <t>Nasdaq</t>
        </is>
      </c>
      <c r="D8695" t="n">
        <v>1273685</v>
      </c>
      <c r="E8695" t="inlineStr">
        <is>
          <t>SEC</t>
        </is>
      </c>
    </row>
    <row r="8696">
      <c r="A8696" s="5">
        <f>HYPERLINK("https://finance.yahoo.com/quote/ADAMZ","ADAMZ")</f>
        <v/>
      </c>
      <c r="B8696" t="inlineStr">
        <is>
          <t>ADAMAS TRUST, INC.</t>
        </is>
      </c>
      <c r="C8696" t="inlineStr">
        <is>
          <t>Nasdaq</t>
        </is>
      </c>
      <c r="D8696" t="n">
        <v>1273685</v>
      </c>
      <c r="E8696" t="inlineStr">
        <is>
          <t>SEC</t>
        </is>
      </c>
    </row>
    <row r="8697">
      <c r="A8697" s="5">
        <f>HYPERLINK("https://finance.yahoo.com/quote/ET-PI","ET-PI")</f>
        <v/>
      </c>
      <c r="B8697" t="inlineStr">
        <is>
          <t>Energy Transfer LP</t>
        </is>
      </c>
      <c r="C8697" t="inlineStr">
        <is>
          <t>TXSE</t>
        </is>
      </c>
      <c r="D8697" t="n">
        <v>1276187</v>
      </c>
      <c r="E8697" t="inlineStr">
        <is>
          <t>SEC</t>
        </is>
      </c>
    </row>
    <row r="8698">
      <c r="A8698" s="5">
        <f>HYPERLINK("https://finance.yahoo.com/quote/MFICL","MFICL")</f>
        <v/>
      </c>
      <c r="B8698" t="inlineStr">
        <is>
          <t>MidCap Financial Investment Corp</t>
        </is>
      </c>
      <c r="C8698" t="inlineStr">
        <is>
          <t>Nasdaq</t>
        </is>
      </c>
      <c r="D8698" t="n">
        <v>1278752</v>
      </c>
      <c r="E8698" t="inlineStr">
        <is>
          <t>SEC</t>
        </is>
      </c>
    </row>
    <row r="8699">
      <c r="A8699" s="5">
        <f>HYPERLINK("https://finance.yahoo.com/quote/YRAIF","YRAIF")</f>
        <v/>
      </c>
      <c r="B8699" t="inlineStr">
        <is>
          <t>YARA INTERNATIONAL ASA</t>
        </is>
      </c>
      <c r="C8699" t="inlineStr">
        <is>
          <t>OTC</t>
        </is>
      </c>
      <c r="D8699" t="n">
        <v>1279956</v>
      </c>
      <c r="E8699" t="inlineStr">
        <is>
          <t>SEC</t>
        </is>
      </c>
    </row>
    <row r="8700">
      <c r="A8700" s="5">
        <f>HYPERLINK("https://finance.yahoo.com/quote/HCXY","HCXY")</f>
        <v/>
      </c>
      <c r="B8700" t="inlineStr">
        <is>
          <t>Hercules Capital, Inc.</t>
        </is>
      </c>
      <c r="C8700" t="inlineStr">
        <is>
          <t>NYSE</t>
        </is>
      </c>
      <c r="D8700" t="n">
        <v>1280784</v>
      </c>
      <c r="E8700" t="inlineStr">
        <is>
          <t>SEC</t>
        </is>
      </c>
    </row>
    <row r="8701">
      <c r="A8701" s="5">
        <f>HYPERLINK("https://finance.yahoo.com/quote/RF-PE","RF-PE")</f>
        <v/>
      </c>
      <c r="B8701" t="inlineStr">
        <is>
          <t>REGIONS FINANCIAL CORP</t>
        </is>
      </c>
      <c r="C8701" t="inlineStr">
        <is>
          <t>NYSE</t>
        </is>
      </c>
      <c r="D8701" t="n">
        <v>1281761</v>
      </c>
      <c r="E8701" t="inlineStr">
        <is>
          <t>SEC</t>
        </is>
      </c>
    </row>
    <row r="8702">
      <c r="A8702" s="5">
        <f>HYPERLINK("https://finance.yahoo.com/quote/RF-PF","RF-PF")</f>
        <v/>
      </c>
      <c r="B8702" t="inlineStr">
        <is>
          <t>REGIONS FINANCIAL CORP</t>
        </is>
      </c>
      <c r="C8702" t="inlineStr">
        <is>
          <t>NYSE</t>
        </is>
      </c>
      <c r="D8702" t="n">
        <v>1281761</v>
      </c>
      <c r="E8702" t="inlineStr">
        <is>
          <t>SEC</t>
        </is>
      </c>
    </row>
    <row r="8703">
      <c r="A8703" s="5">
        <f>HYPERLINK("https://finance.yahoo.com/quote/GLU-PA","GLU-PA")</f>
        <v/>
      </c>
      <c r="B8703" t="inlineStr">
        <is>
          <t>GABELLI GLOBAL UTILITY &amp; INCOME TRUST</t>
        </is>
      </c>
      <c r="C8703" t="inlineStr">
        <is>
          <t>NYSE</t>
        </is>
      </c>
      <c r="D8703" t="n">
        <v>1282957</v>
      </c>
      <c r="E8703" t="inlineStr">
        <is>
          <t>SEC</t>
        </is>
      </c>
    </row>
    <row r="8704">
      <c r="A8704" s="5">
        <f>HYPERLINK("https://finance.yahoo.com/quote/TMUSI","TMUSI")</f>
        <v/>
      </c>
      <c r="B8704" t="inlineStr">
        <is>
          <t>T-Mobile US, Inc.</t>
        </is>
      </c>
      <c r="C8704" t="inlineStr">
        <is>
          <t>Nasdaq</t>
        </is>
      </c>
      <c r="D8704" t="n">
        <v>1283699</v>
      </c>
      <c r="E8704" t="inlineStr">
        <is>
          <t>SEC</t>
        </is>
      </c>
    </row>
    <row r="8705">
      <c r="A8705" s="5">
        <f>HYPERLINK("https://finance.yahoo.com/quote/TMUSL","TMUSL")</f>
        <v/>
      </c>
      <c r="B8705" t="inlineStr">
        <is>
          <t>T-Mobile US, Inc.</t>
        </is>
      </c>
      <c r="C8705" t="inlineStr">
        <is>
          <t>Nasdaq</t>
        </is>
      </c>
      <c r="D8705" t="n">
        <v>1283699</v>
      </c>
      <c r="E8705" t="inlineStr">
        <is>
          <t>SEC</t>
        </is>
      </c>
    </row>
    <row r="8706">
      <c r="A8706" s="5">
        <f>HYPERLINK("https://finance.yahoo.com/quote/TMUSZ","TMUSZ")</f>
        <v/>
      </c>
      <c r="B8706" t="inlineStr">
        <is>
          <t>T-Mobile US, Inc.</t>
        </is>
      </c>
      <c r="C8706" t="inlineStr">
        <is>
          <t>Nasdaq</t>
        </is>
      </c>
      <c r="D8706" t="n">
        <v>1283699</v>
      </c>
      <c r="E8706" t="inlineStr">
        <is>
          <t>SEC</t>
        </is>
      </c>
    </row>
    <row r="8707">
      <c r="A8707" s="5">
        <f>HYPERLINK("https://finance.yahoo.com/quote/FITY","FITY")</f>
        <v/>
      </c>
      <c r="B8707" t="inlineStr">
        <is>
          <t>Fifty 1 Labs, Inc.</t>
        </is>
      </c>
      <c r="C8707" t="inlineStr">
        <is>
          <t>OTC</t>
        </is>
      </c>
      <c r="D8707" t="n">
        <v>1285828</v>
      </c>
      <c r="E8707" t="inlineStr">
        <is>
          <t>SEC</t>
        </is>
      </c>
    </row>
    <row r="8708">
      <c r="A8708" s="5">
        <f>HYPERLINK("https://finance.yahoo.com/quote/PSEC-PA","PSEC-PA")</f>
        <v/>
      </c>
      <c r="B8708" t="inlineStr">
        <is>
          <t>PROSPECT CAPITAL CORP</t>
        </is>
      </c>
      <c r="C8708" t="inlineStr">
        <is>
          <t>NYSE</t>
        </is>
      </c>
      <c r="D8708" t="n">
        <v>1287032</v>
      </c>
      <c r="E8708" t="inlineStr">
        <is>
          <t>SEC</t>
        </is>
      </c>
    </row>
    <row r="8709">
      <c r="A8709" s="5">
        <f>HYPERLINK("https://finance.yahoo.com/quote/CFOR","CFOR")</f>
        <v/>
      </c>
      <c r="B8709" t="inlineStr">
        <is>
          <t>CapForce Inc.</t>
        </is>
      </c>
      <c r="C8709" t="inlineStr">
        <is>
          <t>OTC</t>
        </is>
      </c>
      <c r="D8709" t="n">
        <v>1293818</v>
      </c>
      <c r="E8709" t="inlineStr">
        <is>
          <t>SEC</t>
        </is>
      </c>
    </row>
    <row r="8710">
      <c r="A8710" s="5">
        <f>HYPERLINK("https://finance.yahoo.com/quote/SHO-PH","SHO-PH")</f>
        <v/>
      </c>
      <c r="B8710" t="inlineStr">
        <is>
          <t>Sunstone Hotel Investors, Inc.</t>
        </is>
      </c>
      <c r="C8710" t="inlineStr">
        <is>
          <t>NYSE</t>
        </is>
      </c>
      <c r="D8710" t="n">
        <v>1295810</v>
      </c>
      <c r="E8710" t="inlineStr">
        <is>
          <t>SEC</t>
        </is>
      </c>
    </row>
    <row r="8711">
      <c r="A8711" s="5">
        <f>HYPERLINK("https://finance.yahoo.com/quote/SHO-PI","SHO-PI")</f>
        <v/>
      </c>
      <c r="B8711" t="inlineStr">
        <is>
          <t>Sunstone Hotel Investors, Inc.</t>
        </is>
      </c>
      <c r="C8711" t="inlineStr">
        <is>
          <t>NYSE</t>
        </is>
      </c>
      <c r="D8711" t="n">
        <v>1295810</v>
      </c>
      <c r="E8711" t="inlineStr">
        <is>
          <t>SEC</t>
        </is>
      </c>
    </row>
    <row r="8712">
      <c r="A8712" s="5">
        <f>HYPERLINK("https://finance.yahoo.com/quote/DLR-PJ","DLR-PJ")</f>
        <v/>
      </c>
      <c r="B8712" t="inlineStr">
        <is>
          <t>DIGITAL REALTY TRUST, INC.</t>
        </is>
      </c>
      <c r="C8712" t="inlineStr">
        <is>
          <t>NYSE</t>
        </is>
      </c>
      <c r="D8712" t="n">
        <v>1297996</v>
      </c>
      <c r="E8712" t="inlineStr">
        <is>
          <t>SEC</t>
        </is>
      </c>
    </row>
    <row r="8713">
      <c r="A8713" s="5">
        <f>HYPERLINK("https://finance.yahoo.com/quote/DLR-PL","DLR-PL")</f>
        <v/>
      </c>
      <c r="B8713" t="inlineStr">
        <is>
          <t>DIGITAL REALTY TRUST, INC.</t>
        </is>
      </c>
      <c r="C8713" t="inlineStr">
        <is>
          <t>NYSE</t>
        </is>
      </c>
      <c r="D8713" t="n">
        <v>1297996</v>
      </c>
      <c r="E8713" t="inlineStr">
        <is>
          <t>SEC</t>
        </is>
      </c>
    </row>
    <row r="8714">
      <c r="A8714" s="5">
        <f>HYPERLINK("https://finance.yahoo.com/quote/SEAL-PA","SEAL-PA")</f>
        <v/>
      </c>
      <c r="B8714" t="inlineStr">
        <is>
          <t>Seapeak LLC</t>
        </is>
      </c>
      <c r="C8714" t="inlineStr">
        <is>
          <t>NYSE</t>
        </is>
      </c>
      <c r="D8714" t="n">
        <v>1308106</v>
      </c>
      <c r="E8714" t="inlineStr">
        <is>
          <t>SEC</t>
        </is>
      </c>
    </row>
    <row r="8715">
      <c r="A8715" s="5">
        <f>HYPERLINK("https://finance.yahoo.com/quote/SEAL-PB","SEAL-PB")</f>
        <v/>
      </c>
      <c r="B8715" t="inlineStr">
        <is>
          <t>Seapeak LLC</t>
        </is>
      </c>
      <c r="C8715" t="inlineStr">
        <is>
          <t>NYSE</t>
        </is>
      </c>
      <c r="D8715" t="n">
        <v>1308106</v>
      </c>
      <c r="E8715" t="inlineStr">
        <is>
          <t>SEC</t>
        </is>
      </c>
    </row>
    <row r="8716">
      <c r="A8716" s="5">
        <f>HYPERLINK("https://finance.yahoo.com/quote/LNXSF","LNXSF")</f>
        <v/>
      </c>
      <c r="B8716" t="inlineStr">
        <is>
          <t>LANXESS AG</t>
        </is>
      </c>
      <c r="C8716" t="inlineStr">
        <is>
          <t>OTC</t>
        </is>
      </c>
      <c r="D8716" t="n">
        <v>1311307</v>
      </c>
      <c r="E8716" t="inlineStr">
        <is>
          <t>SEC</t>
        </is>
      </c>
    </row>
    <row r="8717">
      <c r="A8717" s="5">
        <f>HYPERLINK("https://finance.yahoo.com/quote/GGN-PB","GGN-PB")</f>
        <v/>
      </c>
      <c r="B8717" t="inlineStr">
        <is>
          <t>GAMCO Global Gold, Natural Resources &amp; Income Trust</t>
        </is>
      </c>
      <c r="C8717" t="inlineStr">
        <is>
          <t>NYSE</t>
        </is>
      </c>
      <c r="D8717" t="n">
        <v>1313510</v>
      </c>
      <c r="E8717" t="inlineStr">
        <is>
          <t>SEC</t>
        </is>
      </c>
    </row>
    <row r="8718">
      <c r="A8718" s="5">
        <f>HYPERLINK("https://finance.yahoo.com/quote/CITAF","CITAF")</f>
        <v/>
      </c>
      <c r="B8718" t="inlineStr">
        <is>
          <t>CHINA SHIPPING CONTAINER LINES CO LTD</t>
        </is>
      </c>
      <c r="C8718" t="inlineStr">
        <is>
          <t>OTC</t>
        </is>
      </c>
      <c r="D8718" t="n">
        <v>1317295</v>
      </c>
      <c r="E8718" t="inlineStr">
        <is>
          <t>SEC</t>
        </is>
      </c>
    </row>
    <row r="8719">
      <c r="A8719" s="5">
        <f>HYPERLINK("https://finance.yahoo.com/quote/DSX-WT","DSX-WT")</f>
        <v/>
      </c>
      <c r="B8719" t="inlineStr">
        <is>
          <t>DIANA SHIPPING INC.</t>
        </is>
      </c>
      <c r="C8719" t="inlineStr">
        <is>
          <t>NYSE</t>
        </is>
      </c>
      <c r="D8719" t="n">
        <v>1318885</v>
      </c>
      <c r="E8719" t="inlineStr">
        <is>
          <t>SEC</t>
        </is>
      </c>
    </row>
    <row r="8720">
      <c r="A8720" s="5">
        <f>HYPERLINK("https://finance.yahoo.com/quote/GAING","GAING")</f>
        <v/>
      </c>
      <c r="B8720" t="inlineStr">
        <is>
          <t>GLADSTONE INVESTMENT CORPORATIONDE</t>
        </is>
      </c>
      <c r="C8720" t="inlineStr">
        <is>
          <t>Nasdaq</t>
        </is>
      </c>
      <c r="D8720" t="n">
        <v>1321741</v>
      </c>
      <c r="E8720" t="inlineStr">
        <is>
          <t>SEC</t>
        </is>
      </c>
    </row>
    <row r="8721">
      <c r="A8721" s="5">
        <f>HYPERLINK("https://finance.yahoo.com/quote/GAINI","GAINI")</f>
        <v/>
      </c>
      <c r="B8721" t="inlineStr">
        <is>
          <t>GLADSTONE INVESTMENT CORPORATIONDE</t>
        </is>
      </c>
      <c r="C8721" t="inlineStr">
        <is>
          <t>Nasdaq</t>
        </is>
      </c>
      <c r="D8721" t="n">
        <v>1321741</v>
      </c>
      <c r="E8721" t="inlineStr">
        <is>
          <t>SEC</t>
        </is>
      </c>
    </row>
    <row r="8722">
      <c r="A8722" s="5">
        <f>HYPERLINK("https://finance.yahoo.com/quote/GAINZ","GAINZ")</f>
        <v/>
      </c>
      <c r="B8722" t="inlineStr">
        <is>
          <t>GLADSTONE INVESTMENT CORPORATIONDE</t>
        </is>
      </c>
      <c r="C8722" t="inlineStr">
        <is>
          <t>Nasdaq</t>
        </is>
      </c>
      <c r="D8722" t="n">
        <v>1321741</v>
      </c>
      <c r="E8722" t="inlineStr">
        <is>
          <t>SEC</t>
        </is>
      </c>
    </row>
    <row r="8723">
      <c r="A8723" s="5">
        <f>HYPERLINK("https://finance.yahoo.com/quote/DUKB","DUKB")</f>
        <v/>
      </c>
      <c r="B8723" t="inlineStr">
        <is>
          <t>Duke Energy CORP</t>
        </is>
      </c>
      <c r="C8723" t="inlineStr">
        <is>
          <t>NYSE</t>
        </is>
      </c>
      <c r="D8723" t="n">
        <v>1326160</v>
      </c>
      <c r="E8723" t="inlineStr">
        <is>
          <t>SEC</t>
        </is>
      </c>
    </row>
    <row r="8724">
      <c r="A8724" s="5">
        <f>HYPERLINK("https://finance.yahoo.com/quote/DUK-PA","DUK-PA")</f>
        <v/>
      </c>
      <c r="B8724" t="inlineStr">
        <is>
          <t>Duke Energy CORP</t>
        </is>
      </c>
      <c r="C8724" t="inlineStr">
        <is>
          <t>NYSE</t>
        </is>
      </c>
      <c r="D8724" t="n">
        <v>1326160</v>
      </c>
      <c r="E8724" t="inlineStr">
        <is>
          <t>SEC</t>
        </is>
      </c>
    </row>
    <row r="8725">
      <c r="A8725" s="5">
        <f>HYPERLINK("https://finance.yahoo.com/quote/DUKU","DUKU")</f>
        <v/>
      </c>
      <c r="B8725" t="inlineStr">
        <is>
          <t>Duke Energy CORP</t>
        </is>
      </c>
      <c r="C8725" t="inlineStr">
        <is>
          <t>NYSE</t>
        </is>
      </c>
      <c r="D8725" t="n">
        <v>1326160</v>
      </c>
      <c r="E8725" t="inlineStr">
        <is>
          <t>SEC</t>
        </is>
      </c>
    </row>
    <row r="8726">
      <c r="A8726" s="5">
        <f>HYPERLINK("https://finance.yahoo.com/quote/GME-WT","GME-WT")</f>
        <v/>
      </c>
      <c r="B8726" t="inlineStr">
        <is>
          <t>GameStop Corp.</t>
        </is>
      </c>
      <c r="C8726" t="inlineStr">
        <is>
          <t>NYSE</t>
        </is>
      </c>
      <c r="D8726" t="n">
        <v>1326380</v>
      </c>
      <c r="E8726" t="inlineStr">
        <is>
          <t>SEC</t>
        </is>
      </c>
    </row>
    <row r="8727">
      <c r="A8727" s="5">
        <f>HYPERLINK("https://finance.yahoo.com/quote/ZARE","ZARE")</f>
        <v/>
      </c>
      <c r="B8727" t="inlineStr">
        <is>
          <t>Ares Real Estate Income Trust Inc.</t>
        </is>
      </c>
      <c r="C8727" t="inlineStr">
        <is>
          <t>OTC</t>
        </is>
      </c>
      <c r="D8727" t="n">
        <v>1327978</v>
      </c>
      <c r="E8727" t="inlineStr">
        <is>
          <t>SEC</t>
        </is>
      </c>
    </row>
    <row r="8728">
      <c r="A8728" s="5">
        <f>HYPERLINK("https://finance.yahoo.com/quote/ISMCF","ISMCF")</f>
        <v/>
      </c>
      <c r="B8728" t="inlineStr">
        <is>
          <t>iShares S&amp;P GSCI Commodity-Indexed Trust</t>
        </is>
      </c>
      <c r="C8728" t="inlineStr">
        <is>
          <t>OTC</t>
        </is>
      </c>
      <c r="D8728" t="n">
        <v>1332174</v>
      </c>
      <c r="E8728" t="inlineStr">
        <is>
          <t>SEC</t>
        </is>
      </c>
    </row>
    <row r="8729">
      <c r="A8729" s="5">
        <f>HYPERLINK("https://finance.yahoo.com/quote/ACR-PC","ACR-PC")</f>
        <v/>
      </c>
      <c r="B8729" t="inlineStr">
        <is>
          <t>ACRES Commercial Realty Corp.</t>
        </is>
      </c>
      <c r="C8729" t="inlineStr">
        <is>
          <t>NYSE</t>
        </is>
      </c>
      <c r="D8729" t="n">
        <v>1332551</v>
      </c>
      <c r="E8729" t="inlineStr">
        <is>
          <t>SEC</t>
        </is>
      </c>
    </row>
    <row r="8730">
      <c r="A8730" s="5">
        <f>HYPERLINK("https://finance.yahoo.com/quote/ACR-PD","ACR-PD")</f>
        <v/>
      </c>
      <c r="B8730" t="inlineStr">
        <is>
          <t>ACRES Commercial Realty Corp.</t>
        </is>
      </c>
      <c r="C8730" t="inlineStr">
        <is>
          <t>NYSE</t>
        </is>
      </c>
      <c r="D8730" t="n">
        <v>1332551</v>
      </c>
      <c r="E8730" t="inlineStr">
        <is>
          <t>SEC</t>
        </is>
      </c>
    </row>
    <row r="8731">
      <c r="A8731" s="5">
        <f>HYPERLINK("https://finance.yahoo.com/quote/NMPRY","NMPRY")</f>
        <v/>
      </c>
      <c r="B8731" t="inlineStr">
        <is>
          <t>Navios Maritime Holdings Inc.</t>
        </is>
      </c>
      <c r="C8731" t="inlineStr">
        <is>
          <t>OTC</t>
        </is>
      </c>
      <c r="D8731" t="n">
        <v>1333172</v>
      </c>
      <c r="E8731" t="inlineStr">
        <is>
          <t>SEC</t>
        </is>
      </c>
    </row>
    <row r="8732">
      <c r="A8732" s="5">
        <f>HYPERLINK("https://finance.yahoo.com/quote/EQH-PA","EQH-PA")</f>
        <v/>
      </c>
      <c r="B8732" t="inlineStr">
        <is>
          <t>Equitable Holdings, Inc.</t>
        </is>
      </c>
      <c r="C8732" t="inlineStr">
        <is>
          <t>NYSE</t>
        </is>
      </c>
      <c r="D8732" t="n">
        <v>1333986</v>
      </c>
      <c r="E8732" t="inlineStr">
        <is>
          <t>SEC</t>
        </is>
      </c>
    </row>
    <row r="8733">
      <c r="A8733" s="5">
        <f>HYPERLINK("https://finance.yahoo.com/quote/EQH-PC","EQH-PC")</f>
        <v/>
      </c>
      <c r="B8733" t="inlineStr">
        <is>
          <t>Equitable Holdings, Inc.</t>
        </is>
      </c>
      <c r="C8733" t="inlineStr">
        <is>
          <t>NYSE</t>
        </is>
      </c>
      <c r="D8733" t="n">
        <v>1333986</v>
      </c>
      <c r="E8733" t="inlineStr">
        <is>
          <t>SEC</t>
        </is>
      </c>
    </row>
    <row r="8734">
      <c r="A8734" s="5">
        <f>HYPERLINK("https://finance.yahoo.com/quote/GIGGF","GIGGF")</f>
        <v/>
      </c>
      <c r="B8734" t="inlineStr">
        <is>
          <t>Giga Metals Corp</t>
        </is>
      </c>
      <c r="C8734" t="inlineStr">
        <is>
          <t>OTC</t>
        </is>
      </c>
      <c r="D8734" t="n">
        <v>1336364</v>
      </c>
      <c r="E8734" t="inlineStr">
        <is>
          <t>SEC</t>
        </is>
      </c>
    </row>
    <row r="8735">
      <c r="A8735" s="5">
        <f>HYPERLINK("https://finance.yahoo.com/quote/BWBBP","BWBBP")</f>
        <v/>
      </c>
      <c r="B8735" t="inlineStr">
        <is>
          <t>Bridgewater Bancshares Inc</t>
        </is>
      </c>
      <c r="C8735" t="inlineStr">
        <is>
          <t>Nasdaq</t>
        </is>
      </c>
      <c r="D8735" t="n">
        <v>1341317</v>
      </c>
      <c r="E8735" t="inlineStr">
        <is>
          <t>SEC</t>
        </is>
      </c>
    </row>
    <row r="8736">
      <c r="A8736" s="5">
        <f>HYPERLINK("https://finance.yahoo.com/quote/ORCL-PD","ORCL-PD")</f>
        <v/>
      </c>
      <c r="B8736" t="inlineStr">
        <is>
          <t>ORACLE CORP</t>
        </is>
      </c>
      <c r="C8736" t="inlineStr">
        <is>
          <t>NYSE</t>
        </is>
      </c>
      <c r="D8736" t="n">
        <v>1341439</v>
      </c>
      <c r="E8736" t="inlineStr">
        <is>
          <t>SEC</t>
        </is>
      </c>
    </row>
    <row r="8737">
      <c r="A8737" s="5">
        <f>HYPERLINK("https://finance.yahoo.com/quote/CODI-PA","CODI-PA")</f>
        <v/>
      </c>
      <c r="B8737" t="inlineStr">
        <is>
          <t>Compass Diversified Holdings</t>
        </is>
      </c>
      <c r="C8737" t="inlineStr">
        <is>
          <t>NYSE</t>
        </is>
      </c>
      <c r="D8737" t="n">
        <v>1345126</v>
      </c>
      <c r="E8737" t="inlineStr">
        <is>
          <t>SEC</t>
        </is>
      </c>
    </row>
    <row r="8738">
      <c r="A8738" s="5">
        <f>HYPERLINK("https://finance.yahoo.com/quote/CODI-PC","CODI-PC")</f>
        <v/>
      </c>
      <c r="B8738" t="inlineStr">
        <is>
          <t>Compass Diversified Holdings</t>
        </is>
      </c>
      <c r="C8738" t="inlineStr">
        <is>
          <t>NYSE</t>
        </is>
      </c>
      <c r="D8738" t="n">
        <v>1345126</v>
      </c>
      <c r="E8738" t="inlineStr">
        <is>
          <t>SEC</t>
        </is>
      </c>
    </row>
    <row r="8739">
      <c r="A8739" s="5">
        <f>HYPERLINK("https://finance.yahoo.com/quote/NFTM","NFTM")</f>
        <v/>
      </c>
      <c r="B8739" t="inlineStr">
        <is>
          <t>Buildablock Corp.</t>
        </is>
      </c>
      <c r="C8739" t="inlineStr">
        <is>
          <t>OTC</t>
        </is>
      </c>
      <c r="D8739" t="n">
        <v>1345865</v>
      </c>
      <c r="E8739" t="inlineStr">
        <is>
          <t>SEC</t>
        </is>
      </c>
    </row>
    <row r="8740">
      <c r="A8740" s="5">
        <f>HYPERLINK("https://finance.yahoo.com/quote/SGBAF","SGBAF")</f>
        <v/>
      </c>
      <c r="B8740" t="inlineStr">
        <is>
          <t>SES S.A.</t>
        </is>
      </c>
      <c r="C8740" t="inlineStr">
        <is>
          <t>OTC</t>
        </is>
      </c>
      <c r="D8740" t="n">
        <v>1347408</v>
      </c>
      <c r="E8740" t="inlineStr">
        <is>
          <t>SEC</t>
        </is>
      </c>
    </row>
    <row r="8741">
      <c r="A8741" s="5">
        <f>HYPERLINK("https://finance.yahoo.com/quote/TOGIW","TOGIW")</f>
        <v/>
      </c>
      <c r="B8741" t="inlineStr">
        <is>
          <t>TurnOnGreen, Inc.</t>
        </is>
      </c>
      <c r="C8741" t="inlineStr">
        <is>
          <t>OTC</t>
        </is>
      </c>
      <c r="D8741" t="n">
        <v>1349706</v>
      </c>
      <c r="E8741" t="inlineStr">
        <is>
          <t>SEC</t>
        </is>
      </c>
    </row>
    <row r="8742">
      <c r="A8742" s="5">
        <f>HYPERLINK("https://finance.yahoo.com/quote/NXDT-PA","NXDT-PA")</f>
        <v/>
      </c>
      <c r="B8742" t="inlineStr">
        <is>
          <t>NEXPOINT DIVERSIFIED REAL ESTATE TRUST</t>
        </is>
      </c>
      <c r="C8742" t="inlineStr">
        <is>
          <t>NYSE</t>
        </is>
      </c>
      <c r="D8742" t="n">
        <v>1356115</v>
      </c>
      <c r="E8742" t="inlineStr">
        <is>
          <t>SEC</t>
        </is>
      </c>
    </row>
    <row r="8743">
      <c r="A8743" s="5">
        <f>HYPERLINK("https://finance.yahoo.com/quote/KPHMW","KPHMW")</f>
        <v/>
      </c>
      <c r="B8743" t="inlineStr">
        <is>
          <t>KIORA PHARMACEUTICALS INC</t>
        </is>
      </c>
      <c r="C8743" t="inlineStr">
        <is>
          <t>OTC</t>
        </is>
      </c>
      <c r="D8743" t="n">
        <v>1372514</v>
      </c>
      <c r="E8743" t="inlineStr">
        <is>
          <t>SEC</t>
        </is>
      </c>
    </row>
    <row r="8744">
      <c r="A8744" s="5">
        <f>HYPERLINK("https://finance.yahoo.com/quote/BXCAP","BXCAP")</f>
        <v/>
      </c>
      <c r="B8744" t="inlineStr">
        <is>
          <t>BOX INC</t>
        </is>
      </c>
      <c r="C8744" t="inlineStr">
        <is>
          <t>OTC</t>
        </is>
      </c>
      <c r="D8744" t="n">
        <v>1372612</v>
      </c>
      <c r="E8744" t="inlineStr">
        <is>
          <t>SEC</t>
        </is>
      </c>
    </row>
    <row r="8745">
      <c r="A8745" s="5">
        <f>HYPERLINK("https://finance.yahoo.com/quote/GRBK-PA","GRBK-PA")</f>
        <v/>
      </c>
      <c r="B8745" t="inlineStr">
        <is>
          <t>Green Brick Partners, Inc.</t>
        </is>
      </c>
      <c r="C8745" t="inlineStr">
        <is>
          <t>NYSE</t>
        </is>
      </c>
      <c r="D8745" t="n">
        <v>1373670</v>
      </c>
      <c r="E8745" t="inlineStr">
        <is>
          <t>SEC</t>
        </is>
      </c>
    </row>
    <row r="8746">
      <c r="A8746" s="5">
        <f>HYPERLINK("https://finance.yahoo.com/quote/SMCIP","SMCIP")</f>
        <v/>
      </c>
      <c r="B8746" t="inlineStr">
        <is>
          <t>Super Micro Computer, Inc.</t>
        </is>
      </c>
      <c r="C8746" t="inlineStr">
        <is>
          <t>Nasdaq</t>
        </is>
      </c>
      <c r="D8746" t="n">
        <v>1375365</v>
      </c>
      <c r="E8746" t="inlineStr">
        <is>
          <t>SEC</t>
        </is>
      </c>
    </row>
    <row r="8747">
      <c r="A8747" s="5">
        <f>HYPERLINK("https://finance.yahoo.com/quote/RDCT","RDCT")</f>
        <v/>
      </c>
      <c r="B8747" t="inlineStr">
        <is>
          <t>VNUE, Inc.</t>
        </is>
      </c>
      <c r="C8747" t="inlineStr">
        <is>
          <t>OTC</t>
        </is>
      </c>
      <c r="D8747" t="n">
        <v>1376804</v>
      </c>
      <c r="E8747" t="inlineStr">
        <is>
          <t>SEC</t>
        </is>
      </c>
    </row>
    <row r="8748">
      <c r="A8748" s="5">
        <f>HYPERLINK("https://finance.yahoo.com/quote/SAJ","SAJ")</f>
        <v/>
      </c>
      <c r="B8748" t="inlineStr">
        <is>
          <t>SARATOGA INVESTMENT CORP.</t>
        </is>
      </c>
      <c r="C8748" t="inlineStr">
        <is>
          <t>NYSE</t>
        </is>
      </c>
      <c r="D8748" t="n">
        <v>1377936</v>
      </c>
      <c r="E8748" t="inlineStr">
        <is>
          <t>SEC</t>
        </is>
      </c>
    </row>
    <row r="8749">
      <c r="A8749" s="5">
        <f>HYPERLINK("https://finance.yahoo.com/quote/SAV","SAV")</f>
        <v/>
      </c>
      <c r="B8749" t="inlineStr">
        <is>
          <t>SARATOGA INVESTMENT CORP.</t>
        </is>
      </c>
      <c r="C8749" t="inlineStr">
        <is>
          <t>NYSE</t>
        </is>
      </c>
      <c r="D8749" t="n">
        <v>1377936</v>
      </c>
      <c r="E8749" t="inlineStr">
        <is>
          <t>SEC</t>
        </is>
      </c>
    </row>
    <row r="8750">
      <c r="A8750" s="5">
        <f>HYPERLINK("https://finance.yahoo.com/quote/SAX","SAX")</f>
        <v/>
      </c>
      <c r="B8750" t="inlineStr">
        <is>
          <t>SARATOGA INVESTMENT CORP.</t>
        </is>
      </c>
      <c r="C8750" t="inlineStr">
        <is>
          <t>NYSE</t>
        </is>
      </c>
      <c r="D8750" t="n">
        <v>1377936</v>
      </c>
      <c r="E8750" t="inlineStr">
        <is>
          <t>SEC</t>
        </is>
      </c>
    </row>
    <row r="8751">
      <c r="A8751" s="5">
        <f>HYPERLINK("https://finance.yahoo.com/quote/SAY","SAY")</f>
        <v/>
      </c>
      <c r="B8751" t="inlineStr">
        <is>
          <t>SARATOGA INVESTMENT CORP.</t>
        </is>
      </c>
      <c r="C8751" t="inlineStr">
        <is>
          <t>NYSE</t>
        </is>
      </c>
      <c r="D8751" t="n">
        <v>1377936</v>
      </c>
      <c r="E8751" t="inlineStr">
        <is>
          <t>SEC</t>
        </is>
      </c>
    </row>
    <row r="8752">
      <c r="A8752" s="5">
        <f>HYPERLINK("https://finance.yahoo.com/quote/SAZ","SAZ")</f>
        <v/>
      </c>
      <c r="B8752" t="inlineStr">
        <is>
          <t>SARATOGA INVESTMENT CORP.</t>
        </is>
      </c>
      <c r="C8752" t="inlineStr">
        <is>
          <t>NYSE</t>
        </is>
      </c>
      <c r="D8752" t="n">
        <v>1377936</v>
      </c>
      <c r="E8752" t="inlineStr">
        <is>
          <t>SEC</t>
        </is>
      </c>
    </row>
    <row r="8753">
      <c r="A8753" s="5">
        <f>HYPERLINK("https://finance.yahoo.com/quote/GFSAY","GFSAY")</f>
        <v/>
      </c>
      <c r="B8753" t="inlineStr">
        <is>
          <t>Gafisa S.A.</t>
        </is>
      </c>
      <c r="C8753" t="inlineStr">
        <is>
          <t>OTC</t>
        </is>
      </c>
      <c r="D8753" t="n">
        <v>1389207</v>
      </c>
      <c r="E8753" t="inlineStr">
        <is>
          <t>SEC</t>
        </is>
      </c>
    </row>
    <row r="8754">
      <c r="A8754" s="5">
        <f>HYPERLINK("https://finance.yahoo.com/quote/BNY-PK","BNY-PK")</f>
        <v/>
      </c>
      <c r="B8754" t="inlineStr">
        <is>
          <t>Bank of New York Mellon Corp</t>
        </is>
      </c>
      <c r="C8754" t="inlineStr">
        <is>
          <t>NYSE</t>
        </is>
      </c>
      <c r="D8754" t="n">
        <v>1390777</v>
      </c>
      <c r="E8754" t="inlineStr">
        <is>
          <t>SEC</t>
        </is>
      </c>
    </row>
    <row r="8755">
      <c r="A8755" s="5">
        <f>HYPERLINK("https://finance.yahoo.com/quote/PSA-PF","PSA-PF")</f>
        <v/>
      </c>
      <c r="B8755" t="inlineStr">
        <is>
          <t>Public Storage</t>
        </is>
      </c>
      <c r="C8755" t="inlineStr">
        <is>
          <t>NYSE</t>
        </is>
      </c>
      <c r="D8755" t="n">
        <v>1393311</v>
      </c>
      <c r="E8755" t="inlineStr">
        <is>
          <t>SEC</t>
        </is>
      </c>
    </row>
    <row r="8756">
      <c r="A8756" s="5">
        <f>HYPERLINK("https://finance.yahoo.com/quote/PSA-PG","PSA-PG")</f>
        <v/>
      </c>
      <c r="B8756" t="inlineStr">
        <is>
          <t>Public Storage</t>
        </is>
      </c>
      <c r="C8756" t="inlineStr">
        <is>
          <t>NYSE</t>
        </is>
      </c>
      <c r="D8756" t="n">
        <v>1393311</v>
      </c>
      <c r="E8756" t="inlineStr">
        <is>
          <t>SEC</t>
        </is>
      </c>
    </row>
    <row r="8757">
      <c r="A8757" s="5">
        <f>HYPERLINK("https://finance.yahoo.com/quote/PSA-PI","PSA-PI")</f>
        <v/>
      </c>
      <c r="B8757" t="inlineStr">
        <is>
          <t>Public Storage</t>
        </is>
      </c>
      <c r="C8757" t="inlineStr">
        <is>
          <t>NYSE</t>
        </is>
      </c>
      <c r="D8757" t="n">
        <v>1393311</v>
      </c>
      <c r="E8757" t="inlineStr">
        <is>
          <t>SEC</t>
        </is>
      </c>
    </row>
    <row r="8758">
      <c r="A8758" s="5">
        <f>HYPERLINK("https://finance.yahoo.com/quote/PSA-PJ","PSA-PJ")</f>
        <v/>
      </c>
      <c r="B8758" t="inlineStr">
        <is>
          <t>Public Storage</t>
        </is>
      </c>
      <c r="C8758" t="inlineStr">
        <is>
          <t>NYSE</t>
        </is>
      </c>
      <c r="D8758" t="n">
        <v>1393311</v>
      </c>
      <c r="E8758" t="inlineStr">
        <is>
          <t>SEC</t>
        </is>
      </c>
    </row>
    <row r="8759">
      <c r="A8759" s="5">
        <f>HYPERLINK("https://finance.yahoo.com/quote/PSA-PK","PSA-PK")</f>
        <v/>
      </c>
      <c r="B8759" t="inlineStr">
        <is>
          <t>Public Storage</t>
        </is>
      </c>
      <c r="C8759" t="inlineStr">
        <is>
          <t>NYSE</t>
        </is>
      </c>
      <c r="D8759" t="n">
        <v>1393311</v>
      </c>
      <c r="E8759" t="inlineStr">
        <is>
          <t>SEC</t>
        </is>
      </c>
    </row>
    <row r="8760">
      <c r="A8760" s="5">
        <f>HYPERLINK("https://finance.yahoo.com/quote/PSA-PL","PSA-PL")</f>
        <v/>
      </c>
      <c r="B8760" t="inlineStr">
        <is>
          <t>Public Storage</t>
        </is>
      </c>
      <c r="C8760" t="inlineStr">
        <is>
          <t>NYSE</t>
        </is>
      </c>
      <c r="D8760" t="n">
        <v>1393311</v>
      </c>
      <c r="E8760" t="inlineStr">
        <is>
          <t>SEC</t>
        </is>
      </c>
    </row>
    <row r="8761">
      <c r="A8761" s="5">
        <f>HYPERLINK("https://finance.yahoo.com/quote/PSA-PM","PSA-PM")</f>
        <v/>
      </c>
      <c r="B8761" t="inlineStr">
        <is>
          <t>Public Storage</t>
        </is>
      </c>
      <c r="C8761" t="inlineStr">
        <is>
          <t>NYSE</t>
        </is>
      </c>
      <c r="D8761" t="n">
        <v>1393311</v>
      </c>
      <c r="E8761" t="inlineStr">
        <is>
          <t>SEC</t>
        </is>
      </c>
    </row>
    <row r="8762">
      <c r="A8762" s="5">
        <f>HYPERLINK("https://finance.yahoo.com/quote/PSA-PN","PSA-PN")</f>
        <v/>
      </c>
      <c r="B8762" t="inlineStr">
        <is>
          <t>Public Storage</t>
        </is>
      </c>
      <c r="C8762" t="inlineStr">
        <is>
          <t>NYSE</t>
        </is>
      </c>
      <c r="D8762" t="n">
        <v>1393311</v>
      </c>
      <c r="E8762" t="inlineStr">
        <is>
          <t>SEC</t>
        </is>
      </c>
    </row>
    <row r="8763">
      <c r="A8763" s="5">
        <f>HYPERLINK("https://finance.yahoo.com/quote/PSA-PO","PSA-PO")</f>
        <v/>
      </c>
      <c r="B8763" t="inlineStr">
        <is>
          <t>Public Storage</t>
        </is>
      </c>
      <c r="C8763" t="inlineStr">
        <is>
          <t>NYSE</t>
        </is>
      </c>
      <c r="D8763" t="n">
        <v>1393311</v>
      </c>
      <c r="E8763" t="inlineStr">
        <is>
          <t>SEC</t>
        </is>
      </c>
    </row>
    <row r="8764">
      <c r="A8764" s="5">
        <f>HYPERLINK("https://finance.yahoo.com/quote/PSA-PP","PSA-PP")</f>
        <v/>
      </c>
      <c r="B8764" t="inlineStr">
        <is>
          <t>Public Storage</t>
        </is>
      </c>
      <c r="C8764" t="inlineStr">
        <is>
          <t>NYSE</t>
        </is>
      </c>
      <c r="D8764" t="n">
        <v>1393311</v>
      </c>
      <c r="E8764" t="inlineStr">
        <is>
          <t>SEC</t>
        </is>
      </c>
    </row>
    <row r="8765">
      <c r="A8765" s="5">
        <f>HYPERLINK("https://finance.yahoo.com/quote/PSA-PQ","PSA-PQ")</f>
        <v/>
      </c>
      <c r="B8765" t="inlineStr">
        <is>
          <t>Public Storage</t>
        </is>
      </c>
      <c r="C8765" t="inlineStr">
        <is>
          <t>NYSE</t>
        </is>
      </c>
      <c r="D8765" t="n">
        <v>1393311</v>
      </c>
      <c r="E8765" t="inlineStr">
        <is>
          <t>SEC</t>
        </is>
      </c>
    </row>
    <row r="8766">
      <c r="A8766" s="5">
        <f>HYPERLINK("https://finance.yahoo.com/quote/PSA-PR","PSA-PR")</f>
        <v/>
      </c>
      <c r="B8766" t="inlineStr">
        <is>
          <t>Public Storage</t>
        </is>
      </c>
      <c r="C8766" t="inlineStr">
        <is>
          <t>NYSE</t>
        </is>
      </c>
      <c r="D8766" t="n">
        <v>1393311</v>
      </c>
      <c r="E8766" t="inlineStr">
        <is>
          <t>SEC</t>
        </is>
      </c>
    </row>
    <row r="8767">
      <c r="A8767" s="5">
        <f>HYPERLINK("https://finance.yahoo.com/quote/PSA-PS","PSA-PS")</f>
        <v/>
      </c>
      <c r="B8767" t="inlineStr">
        <is>
          <t>Public Storage</t>
        </is>
      </c>
      <c r="C8767" t="inlineStr">
        <is>
          <t>NYSE</t>
        </is>
      </c>
      <c r="D8767" t="n">
        <v>1393311</v>
      </c>
      <c r="E8767" t="inlineStr">
        <is>
          <t>SEC</t>
        </is>
      </c>
    </row>
    <row r="8768">
      <c r="A8768" s="5">
        <f>HYPERLINK("https://finance.yahoo.com/quote/PSA-PT","PSA-PT")</f>
        <v/>
      </c>
      <c r="B8768" t="inlineStr">
        <is>
          <t>Public Storage</t>
        </is>
      </c>
      <c r="C8768" t="inlineStr">
        <is>
          <t>NYSE</t>
        </is>
      </c>
      <c r="D8768" t="n">
        <v>1393311</v>
      </c>
      <c r="E8768" t="inlineStr">
        <is>
          <t>SEC</t>
        </is>
      </c>
    </row>
    <row r="8769">
      <c r="A8769" s="5">
        <f>HYPERLINK("https://finance.yahoo.com/quote/IVDAW","IVDAW")</f>
        <v/>
      </c>
      <c r="B8769" t="inlineStr">
        <is>
          <t>Iveda Solutions, Inc.</t>
        </is>
      </c>
      <c r="C8769" t="inlineStr">
        <is>
          <t>Nasdaq</t>
        </is>
      </c>
      <c r="D8769" t="n">
        <v>1397183</v>
      </c>
      <c r="E8769" t="inlineStr">
        <is>
          <t>SEC</t>
        </is>
      </c>
    </row>
    <row r="8770">
      <c r="A8770" s="5">
        <f>HYPERLINK("https://finance.yahoo.com/quote/BRRND","BRRND")</f>
        <v/>
      </c>
      <c r="B8770" t="inlineStr">
        <is>
          <t>Bryn Inc.</t>
        </is>
      </c>
      <c r="C8770" t="inlineStr">
        <is>
          <t>OTC</t>
        </is>
      </c>
      <c r="D8770" t="n">
        <v>1397795</v>
      </c>
      <c r="E8770" t="inlineStr">
        <is>
          <t>SEC</t>
        </is>
      </c>
    </row>
    <row r="8771">
      <c r="A8771" s="5">
        <f>HYPERLINK("https://finance.yahoo.com/quote/HCIIP","HCIIP")</f>
        <v/>
      </c>
      <c r="B8771" t="inlineStr">
        <is>
          <t>HCI Group, Inc.</t>
        </is>
      </c>
      <c r="C8771" t="inlineStr">
        <is>
          <t>OTC</t>
        </is>
      </c>
      <c r="D8771" t="n">
        <v>1400810</v>
      </c>
      <c r="E8771" t="inlineStr">
        <is>
          <t>SEC</t>
        </is>
      </c>
    </row>
    <row r="8772">
      <c r="A8772" s="5">
        <f>HYPERLINK("https://finance.yahoo.com/quote/IHETW","IHETW")</f>
        <v/>
      </c>
      <c r="B8772" t="inlineStr">
        <is>
          <t>iHeartMedia, Inc.</t>
        </is>
      </c>
      <c r="C8772" t="inlineStr">
        <is>
          <t>OTC</t>
        </is>
      </c>
      <c r="D8772" t="n">
        <v>1400891</v>
      </c>
      <c r="E8772" t="inlineStr">
        <is>
          <t>SEC</t>
        </is>
      </c>
    </row>
    <row r="8773">
      <c r="A8773" s="5">
        <f>HYPERLINK("https://finance.yahoo.com/quote/SBFMW","SBFMW")</f>
        <v/>
      </c>
      <c r="B8773" t="inlineStr">
        <is>
          <t>Sunshine Biopharma Inc.</t>
        </is>
      </c>
      <c r="C8773" t="inlineStr">
        <is>
          <t>Nasdaq</t>
        </is>
      </c>
      <c r="D8773" t="n">
        <v>1402328</v>
      </c>
      <c r="E8773" t="inlineStr">
        <is>
          <t>SEC</t>
        </is>
      </c>
    </row>
    <row r="8774">
      <c r="A8774" s="5">
        <f>HYPERLINK("https://finance.yahoo.com/quote/OAK-PB","OAK-PB")</f>
        <v/>
      </c>
      <c r="B8774" t="inlineStr">
        <is>
          <t>Brookfield Oaktree Holdings, LLC</t>
        </is>
      </c>
      <c r="C8774" t="inlineStr">
        <is>
          <t>NYSE</t>
        </is>
      </c>
      <c r="D8774" t="n">
        <v>1403528</v>
      </c>
      <c r="E8774" t="inlineStr">
        <is>
          <t>SEC</t>
        </is>
      </c>
    </row>
    <row r="8775">
      <c r="A8775" s="5">
        <f>HYPERLINK("https://finance.yahoo.com/quote/KKR-PD","KKR-PD")</f>
        <v/>
      </c>
      <c r="B8775" t="inlineStr">
        <is>
          <t>KKR &amp; Co. Inc.</t>
        </is>
      </c>
      <c r="C8775" t="inlineStr">
        <is>
          <t>NYSE</t>
        </is>
      </c>
      <c r="D8775" t="n">
        <v>1404912</v>
      </c>
      <c r="E8775" t="inlineStr">
        <is>
          <t>SEC</t>
        </is>
      </c>
    </row>
    <row r="8776">
      <c r="A8776" s="5">
        <f>HYPERLINK("https://finance.yahoo.com/quote/KKRS","KKRS")</f>
        <v/>
      </c>
      <c r="B8776" t="inlineStr">
        <is>
          <t>KKR &amp; Co. Inc.</t>
        </is>
      </c>
      <c r="C8776" t="inlineStr">
        <is>
          <t>NYSE</t>
        </is>
      </c>
      <c r="D8776" t="n">
        <v>1404912</v>
      </c>
      <c r="E8776" t="inlineStr">
        <is>
          <t>SEC</t>
        </is>
      </c>
    </row>
    <row r="8777">
      <c r="A8777" s="5">
        <f>HYPERLINK("https://finance.yahoo.com/quote/KKRT","KKRT")</f>
        <v/>
      </c>
      <c r="B8777" t="inlineStr">
        <is>
          <t>KKR &amp; Co. Inc.</t>
        </is>
      </c>
      <c r="C8777" t="inlineStr">
        <is>
          <t>NYSE</t>
        </is>
      </c>
      <c r="D8777" t="n">
        <v>1404912</v>
      </c>
      <c r="E8777" t="inlineStr">
        <is>
          <t>SEC</t>
        </is>
      </c>
    </row>
    <row r="8778">
      <c r="A8778" s="5">
        <f>HYPERLINK("https://finance.yahoo.com/quote/BILPF","BILPF")</f>
        <v/>
      </c>
      <c r="B8778" t="inlineStr">
        <is>
          <t>Brookfield Infrastructure Partners L.P.</t>
        </is>
      </c>
      <c r="C8778" t="inlineStr">
        <is>
          <t>OTC</t>
        </is>
      </c>
      <c r="D8778" t="n">
        <v>1406234</v>
      </c>
      <c r="E8778" t="inlineStr">
        <is>
          <t>SEC</t>
        </is>
      </c>
    </row>
    <row r="8779">
      <c r="A8779" s="5">
        <f>HYPERLINK("https://finance.yahoo.com/quote/BIPI","BIPI")</f>
        <v/>
      </c>
      <c r="B8779" t="inlineStr">
        <is>
          <t>Brookfield Infrastructure Partners L.P.</t>
        </is>
      </c>
      <c r="C8779" t="inlineStr">
        <is>
          <t>NYSE</t>
        </is>
      </c>
      <c r="D8779" t="n">
        <v>1406234</v>
      </c>
      <c r="E8779" t="inlineStr">
        <is>
          <t>SEC</t>
        </is>
      </c>
    </row>
    <row r="8780">
      <c r="A8780" s="5">
        <f>HYPERLINK("https://finance.yahoo.com/quote/BIPJ","BIPJ")</f>
        <v/>
      </c>
      <c r="B8780" t="inlineStr">
        <is>
          <t>Brookfield Infrastructure Partners L.P.</t>
        </is>
      </c>
      <c r="C8780" t="inlineStr">
        <is>
          <t>NYSE</t>
        </is>
      </c>
      <c r="D8780" t="n">
        <v>1406234</v>
      </c>
      <c r="E8780" t="inlineStr">
        <is>
          <t>SEC</t>
        </is>
      </c>
    </row>
    <row r="8781">
      <c r="A8781" s="5">
        <f>HYPERLINK("https://finance.yahoo.com/quote/BIP-PA","BIP-PA")</f>
        <v/>
      </c>
      <c r="B8781" t="inlineStr">
        <is>
          <t>Brookfield Infrastructure Partners L.P.</t>
        </is>
      </c>
      <c r="C8781" t="inlineStr">
        <is>
          <t>NYSE</t>
        </is>
      </c>
      <c r="D8781" t="n">
        <v>1406234</v>
      </c>
      <c r="E8781" t="inlineStr">
        <is>
          <t>SEC</t>
        </is>
      </c>
    </row>
    <row r="8782">
      <c r="A8782" s="5">
        <f>HYPERLINK("https://finance.yahoo.com/quote/BIP-PB","BIP-PB")</f>
        <v/>
      </c>
      <c r="B8782" t="inlineStr">
        <is>
          <t>Brookfield Infrastructure Partners L.P.</t>
        </is>
      </c>
      <c r="C8782" t="inlineStr">
        <is>
          <t>NYSE</t>
        </is>
      </c>
      <c r="D8782" t="n">
        <v>1406234</v>
      </c>
      <c r="E8782" t="inlineStr">
        <is>
          <t>SEC</t>
        </is>
      </c>
    </row>
    <row r="8783">
      <c r="A8783" s="5">
        <f>HYPERLINK("https://finance.yahoo.com/quote/BRIPF","BRIPF")</f>
        <v/>
      </c>
      <c r="B8783" t="inlineStr">
        <is>
          <t>Brookfield Infrastructure Partners L.P.</t>
        </is>
      </c>
      <c r="C8783" t="inlineStr">
        <is>
          <t>OTC</t>
        </is>
      </c>
      <c r="D8783" t="n">
        <v>1406234</v>
      </c>
      <c r="E8783" t="inlineStr">
        <is>
          <t>SEC</t>
        </is>
      </c>
    </row>
    <row r="8784">
      <c r="A8784" s="5">
        <f>HYPERLINK("https://finance.yahoo.com/quote/FGBIP","FGBIP")</f>
        <v/>
      </c>
      <c r="B8784" t="inlineStr">
        <is>
          <t>First Guaranty Bancshares, Inc.</t>
        </is>
      </c>
      <c r="C8784" t="inlineStr">
        <is>
          <t>Nasdaq</t>
        </is>
      </c>
      <c r="D8784" t="n">
        <v>1408534</v>
      </c>
      <c r="E8784" t="inlineStr">
        <is>
          <t>SEC</t>
        </is>
      </c>
    </row>
    <row r="8785">
      <c r="A8785" s="5">
        <f>HYPERLINK("https://finance.yahoo.com/quote/THRC","THRC")</f>
        <v/>
      </c>
      <c r="B8785" t="inlineStr">
        <is>
          <t>Havana Roasters Coffee Companies, Inc.</t>
        </is>
      </c>
      <c r="C8785" t="inlineStr">
        <is>
          <t>OTC</t>
        </is>
      </c>
      <c r="D8785" t="n">
        <v>1409253</v>
      </c>
      <c r="E8785" t="inlineStr">
        <is>
          <t>SEC</t>
        </is>
      </c>
    </row>
    <row r="8786">
      <c r="A8786" s="5">
        <f>HYPERLINK("https://finance.yahoo.com/quote/CIMN","CIMN")</f>
        <v/>
      </c>
      <c r="B8786" t="inlineStr">
        <is>
          <t>CHIMERA INVESTMENT CORP</t>
        </is>
      </c>
      <c r="C8786" t="inlineStr">
        <is>
          <t>NYSE</t>
        </is>
      </c>
      <c r="D8786" t="n">
        <v>1409493</v>
      </c>
      <c r="E8786" t="inlineStr">
        <is>
          <t>SEC</t>
        </is>
      </c>
    </row>
    <row r="8787">
      <c r="A8787" s="5">
        <f>HYPERLINK("https://finance.yahoo.com/quote/CIMO","CIMO")</f>
        <v/>
      </c>
      <c r="B8787" t="inlineStr">
        <is>
          <t>CHIMERA INVESTMENT CORP</t>
        </is>
      </c>
      <c r="C8787" t="inlineStr">
        <is>
          <t>NYSE</t>
        </is>
      </c>
      <c r="D8787" t="n">
        <v>1409493</v>
      </c>
      <c r="E8787" t="inlineStr">
        <is>
          <t>SEC</t>
        </is>
      </c>
    </row>
    <row r="8788">
      <c r="A8788" s="5">
        <f>HYPERLINK("https://finance.yahoo.com/quote/CIMP","CIMP")</f>
        <v/>
      </c>
      <c r="B8788" t="inlineStr">
        <is>
          <t>CHIMERA INVESTMENT CORP</t>
        </is>
      </c>
      <c r="C8788" t="inlineStr">
        <is>
          <t>NYSE</t>
        </is>
      </c>
      <c r="D8788" t="n">
        <v>1409493</v>
      </c>
      <c r="E8788" t="inlineStr">
        <is>
          <t>SEC</t>
        </is>
      </c>
    </row>
    <row r="8789">
      <c r="A8789" s="5">
        <f>HYPERLINK("https://finance.yahoo.com/quote/CIM-PB","CIM-PB")</f>
        <v/>
      </c>
      <c r="B8789" t="inlineStr">
        <is>
          <t>CHIMERA INVESTMENT CORP</t>
        </is>
      </c>
      <c r="C8789" t="inlineStr">
        <is>
          <t>NYSE</t>
        </is>
      </c>
      <c r="D8789" t="n">
        <v>1409493</v>
      </c>
      <c r="E8789" t="inlineStr">
        <is>
          <t>SEC</t>
        </is>
      </c>
    </row>
    <row r="8790">
      <c r="A8790" s="5">
        <f>HYPERLINK("https://finance.yahoo.com/quote/CIM-PC","CIM-PC")</f>
        <v/>
      </c>
      <c r="B8790" t="inlineStr">
        <is>
          <t>CHIMERA INVESTMENT CORP</t>
        </is>
      </c>
      <c r="C8790" t="inlineStr">
        <is>
          <t>NYSE</t>
        </is>
      </c>
      <c r="D8790" t="n">
        <v>1409493</v>
      </c>
      <c r="E8790" t="inlineStr">
        <is>
          <t>SEC</t>
        </is>
      </c>
    </row>
    <row r="8791">
      <c r="A8791" s="5">
        <f>HYPERLINK("https://finance.yahoo.com/quote/CIM-PD","CIM-PD")</f>
        <v/>
      </c>
      <c r="B8791" t="inlineStr">
        <is>
          <t>CHIMERA INVESTMENT CORP</t>
        </is>
      </c>
      <c r="C8791" t="inlineStr">
        <is>
          <t>NYSE</t>
        </is>
      </c>
      <c r="D8791" t="n">
        <v>1409493</v>
      </c>
      <c r="E8791" t="inlineStr">
        <is>
          <t>SEC</t>
        </is>
      </c>
    </row>
    <row r="8792">
      <c r="A8792" s="5">
        <f>HYPERLINK("https://finance.yahoo.com/quote/EFC-PB","EFC-PB")</f>
        <v/>
      </c>
      <c r="B8792" t="inlineStr">
        <is>
          <t>Ellington Financial Inc.</t>
        </is>
      </c>
      <c r="C8792" t="inlineStr">
        <is>
          <t>NYSE</t>
        </is>
      </c>
      <c r="D8792" t="n">
        <v>1411342</v>
      </c>
      <c r="E8792" t="inlineStr">
        <is>
          <t>SEC</t>
        </is>
      </c>
    </row>
    <row r="8793">
      <c r="A8793" s="5">
        <f>HYPERLINK("https://finance.yahoo.com/quote/EFC-PC","EFC-PC")</f>
        <v/>
      </c>
      <c r="B8793" t="inlineStr">
        <is>
          <t>Ellington Financial Inc.</t>
        </is>
      </c>
      <c r="C8793" t="inlineStr">
        <is>
          <t>NYSE</t>
        </is>
      </c>
      <c r="D8793" t="n">
        <v>1411342</v>
      </c>
      <c r="E8793" t="inlineStr">
        <is>
          <t>SEC</t>
        </is>
      </c>
    </row>
    <row r="8794">
      <c r="A8794" s="5">
        <f>HYPERLINK("https://finance.yahoo.com/quote/EFC-PD","EFC-PD")</f>
        <v/>
      </c>
      <c r="B8794" t="inlineStr">
        <is>
          <t>Ellington Financial Inc.</t>
        </is>
      </c>
      <c r="C8794" t="inlineStr">
        <is>
          <t>NYSE</t>
        </is>
      </c>
      <c r="D8794" t="n">
        <v>1411342</v>
      </c>
      <c r="E8794" t="inlineStr">
        <is>
          <t>SEC</t>
        </is>
      </c>
    </row>
    <row r="8795">
      <c r="A8795" s="5">
        <f>HYPERLINK("https://finance.yahoo.com/quote/MHNC","MHNC")</f>
        <v/>
      </c>
      <c r="B8795" t="inlineStr">
        <is>
          <t>Maiden Holdings, Ltd.</t>
        </is>
      </c>
      <c r="C8795" t="inlineStr">
        <is>
          <t>NYSE</t>
        </is>
      </c>
      <c r="D8795" t="n">
        <v>1412100</v>
      </c>
      <c r="E8795" t="inlineStr">
        <is>
          <t>SEC</t>
        </is>
      </c>
    </row>
    <row r="8796">
      <c r="A8796" s="5">
        <f>HYPERLINK("https://finance.yahoo.com/quote/NCPLW","NCPLW")</f>
        <v/>
      </c>
      <c r="B8796" t="inlineStr">
        <is>
          <t>Netcapital Inc.</t>
        </is>
      </c>
      <c r="C8796" t="inlineStr">
        <is>
          <t>Nasdaq</t>
        </is>
      </c>
      <c r="D8796" t="n">
        <v>1414767</v>
      </c>
      <c r="E8796" t="inlineStr">
        <is>
          <t>SEC</t>
        </is>
      </c>
    </row>
    <row r="8797">
      <c r="A8797" s="5">
        <f>HYPERLINK("https://finance.yahoo.com/quote/AGQ","AGQ")</f>
        <v/>
      </c>
      <c r="B8797" t="inlineStr">
        <is>
          <t>ProShares Trust II</t>
        </is>
      </c>
      <c r="C8797" t="inlineStr">
        <is>
          <t>NYSE</t>
        </is>
      </c>
      <c r="D8797" t="n">
        <v>1415311</v>
      </c>
      <c r="E8797" t="inlineStr">
        <is>
          <t>SEC</t>
        </is>
      </c>
    </row>
    <row r="8798">
      <c r="A8798" s="5">
        <f>HYPERLINK("https://finance.yahoo.com/quote/BOIL","BOIL")</f>
        <v/>
      </c>
      <c r="B8798" t="inlineStr">
        <is>
          <t>ProShares Trust II</t>
        </is>
      </c>
      <c r="C8798" t="inlineStr">
        <is>
          <t>NYSE</t>
        </is>
      </c>
      <c r="D8798" t="n">
        <v>1415311</v>
      </c>
      <c r="E8798" t="inlineStr">
        <is>
          <t>SEC</t>
        </is>
      </c>
    </row>
    <row r="8799">
      <c r="A8799" s="5">
        <f>HYPERLINK("https://finance.yahoo.com/quote/EUO","EUO")</f>
        <v/>
      </c>
      <c r="B8799" t="inlineStr">
        <is>
          <t>ProShares Trust II</t>
        </is>
      </c>
      <c r="C8799" t="inlineStr">
        <is>
          <t>NYSE</t>
        </is>
      </c>
      <c r="D8799" t="n">
        <v>1415311</v>
      </c>
      <c r="E8799" t="inlineStr">
        <is>
          <t>SEC</t>
        </is>
      </c>
    </row>
    <row r="8800">
      <c r="A8800" s="5">
        <f>HYPERLINK("https://finance.yahoo.com/quote/GLL","GLL")</f>
        <v/>
      </c>
      <c r="B8800" t="inlineStr">
        <is>
          <t>ProShares Trust II</t>
        </is>
      </c>
      <c r="C8800" t="inlineStr">
        <is>
          <t>NYSE</t>
        </is>
      </c>
      <c r="D8800" t="n">
        <v>1415311</v>
      </c>
      <c r="E8800" t="inlineStr">
        <is>
          <t>SEC</t>
        </is>
      </c>
    </row>
    <row r="8801">
      <c r="A8801" s="5">
        <f>HYPERLINK("https://finance.yahoo.com/quote/KOLD","KOLD")</f>
        <v/>
      </c>
      <c r="B8801" t="inlineStr">
        <is>
          <t>ProShares Trust II</t>
        </is>
      </c>
      <c r="C8801" t="inlineStr">
        <is>
          <t>NYSE</t>
        </is>
      </c>
      <c r="D8801" t="n">
        <v>1415311</v>
      </c>
      <c r="E8801" t="inlineStr">
        <is>
          <t>SEC</t>
        </is>
      </c>
    </row>
    <row r="8802">
      <c r="A8802" s="5">
        <f>HYPERLINK("https://finance.yahoo.com/quote/SCO","SCO")</f>
        <v/>
      </c>
      <c r="B8802" t="inlineStr">
        <is>
          <t>ProShares Trust II</t>
        </is>
      </c>
      <c r="C8802" t="inlineStr">
        <is>
          <t>NYSE</t>
        </is>
      </c>
      <c r="D8802" t="n">
        <v>1415311</v>
      </c>
      <c r="E8802" t="inlineStr">
        <is>
          <t>SEC</t>
        </is>
      </c>
    </row>
    <row r="8803">
      <c r="A8803" s="5">
        <f>HYPERLINK("https://finance.yahoo.com/quote/SVXY","SVXY")</f>
        <v/>
      </c>
      <c r="B8803" t="inlineStr">
        <is>
          <t>ProShares Trust II</t>
        </is>
      </c>
      <c r="C8803" t="inlineStr">
        <is>
          <t>CBOE</t>
        </is>
      </c>
      <c r="D8803" t="n">
        <v>1415311</v>
      </c>
      <c r="E8803" t="inlineStr">
        <is>
          <t>SEC</t>
        </is>
      </c>
    </row>
    <row r="8804">
      <c r="A8804" s="5">
        <f>HYPERLINK("https://finance.yahoo.com/quote/UCO","UCO")</f>
        <v/>
      </c>
      <c r="B8804" t="inlineStr">
        <is>
          <t>ProShares Trust II</t>
        </is>
      </c>
      <c r="C8804" t="inlineStr">
        <is>
          <t>NYSE</t>
        </is>
      </c>
      <c r="D8804" t="n">
        <v>1415311</v>
      </c>
      <c r="E8804" t="inlineStr">
        <is>
          <t>SEC</t>
        </is>
      </c>
    </row>
    <row r="8805">
      <c r="A8805" s="5">
        <f>HYPERLINK("https://finance.yahoo.com/quote/UGL","UGL")</f>
        <v/>
      </c>
      <c r="B8805" t="inlineStr">
        <is>
          <t>ProShares Trust II</t>
        </is>
      </c>
      <c r="C8805" t="inlineStr">
        <is>
          <t>NYSE</t>
        </is>
      </c>
      <c r="D8805" t="n">
        <v>1415311</v>
      </c>
      <c r="E8805" t="inlineStr">
        <is>
          <t>SEC</t>
        </is>
      </c>
    </row>
    <row r="8806">
      <c r="A8806" s="5">
        <f>HYPERLINK("https://finance.yahoo.com/quote/ULE","ULE")</f>
        <v/>
      </c>
      <c r="B8806" t="inlineStr">
        <is>
          <t>ProShares Trust II</t>
        </is>
      </c>
      <c r="C8806" t="inlineStr">
        <is>
          <t>NYSE</t>
        </is>
      </c>
      <c r="D8806" t="n">
        <v>1415311</v>
      </c>
      <c r="E8806" t="inlineStr">
        <is>
          <t>SEC</t>
        </is>
      </c>
    </row>
    <row r="8807">
      <c r="A8807" s="5">
        <f>HYPERLINK("https://finance.yahoo.com/quote/UVXY","UVXY")</f>
        <v/>
      </c>
      <c r="B8807" t="inlineStr">
        <is>
          <t>ProShares Trust II</t>
        </is>
      </c>
      <c r="C8807" t="inlineStr">
        <is>
          <t>CBOE</t>
        </is>
      </c>
      <c r="D8807" t="n">
        <v>1415311</v>
      </c>
      <c r="E8807" t="inlineStr">
        <is>
          <t>SEC</t>
        </is>
      </c>
    </row>
    <row r="8808">
      <c r="A8808" s="5">
        <f>HYPERLINK("https://finance.yahoo.com/quote/VIXM","VIXM")</f>
        <v/>
      </c>
      <c r="B8808" t="inlineStr">
        <is>
          <t>ProShares Trust II</t>
        </is>
      </c>
      <c r="C8808" t="inlineStr">
        <is>
          <t>CBOE</t>
        </is>
      </c>
      <c r="D8808" t="n">
        <v>1415311</v>
      </c>
      <c r="E8808" t="inlineStr">
        <is>
          <t>SEC</t>
        </is>
      </c>
    </row>
    <row r="8809">
      <c r="A8809" s="5">
        <f>HYPERLINK("https://finance.yahoo.com/quote/VIXY","VIXY")</f>
        <v/>
      </c>
      <c r="B8809" t="inlineStr">
        <is>
          <t>ProShares Trust II</t>
        </is>
      </c>
      <c r="C8809" t="inlineStr">
        <is>
          <t>CBOE</t>
        </is>
      </c>
      <c r="D8809" t="n">
        <v>1415311</v>
      </c>
      <c r="E8809" t="inlineStr">
        <is>
          <t>SEC</t>
        </is>
      </c>
    </row>
    <row r="8810">
      <c r="A8810" s="5">
        <f>HYPERLINK("https://finance.yahoo.com/quote/YCL","YCL")</f>
        <v/>
      </c>
      <c r="B8810" t="inlineStr">
        <is>
          <t>ProShares Trust II</t>
        </is>
      </c>
      <c r="C8810" t="inlineStr">
        <is>
          <t>NYSE</t>
        </is>
      </c>
      <c r="D8810" t="n">
        <v>1415311</v>
      </c>
      <c r="E8810" t="inlineStr">
        <is>
          <t>SEC</t>
        </is>
      </c>
    </row>
    <row r="8811">
      <c r="A8811" s="5">
        <f>HYPERLINK("https://finance.yahoo.com/quote/YCS","YCS")</f>
        <v/>
      </c>
      <c r="B8811" t="inlineStr">
        <is>
          <t>ProShares Trust II</t>
        </is>
      </c>
      <c r="C8811" t="inlineStr">
        <is>
          <t>NYSE</t>
        </is>
      </c>
      <c r="D8811" t="n">
        <v>1415311</v>
      </c>
      <c r="E8811" t="inlineStr">
        <is>
          <t>SEC</t>
        </is>
      </c>
    </row>
    <row r="8812">
      <c r="A8812" s="5">
        <f>HYPERLINK("https://finance.yahoo.com/quote/ZSL","ZSL")</f>
        <v/>
      </c>
      <c r="B8812" t="inlineStr">
        <is>
          <t>ProShares Trust II</t>
        </is>
      </c>
      <c r="C8812" t="inlineStr">
        <is>
          <t>NYSE</t>
        </is>
      </c>
      <c r="D8812" t="n">
        <v>1415311</v>
      </c>
      <c r="E8812" t="inlineStr">
        <is>
          <t>SEC</t>
        </is>
      </c>
    </row>
    <row r="8813">
      <c r="A8813" s="5">
        <f>HYPERLINK("https://finance.yahoo.com/quote/AGNCL","AGNCL")</f>
        <v/>
      </c>
      <c r="B8813" t="inlineStr">
        <is>
          <t>AGNC Investment Corp.</t>
        </is>
      </c>
      <c r="C8813" t="inlineStr">
        <is>
          <t>Nasdaq</t>
        </is>
      </c>
      <c r="D8813" t="n">
        <v>1423689</v>
      </c>
      <c r="E8813" t="inlineStr">
        <is>
          <t>SEC</t>
        </is>
      </c>
    </row>
    <row r="8814">
      <c r="A8814" s="5">
        <f>HYPERLINK("https://finance.yahoo.com/quote/AGNCM","AGNCM")</f>
        <v/>
      </c>
      <c r="B8814" t="inlineStr">
        <is>
          <t>AGNC Investment Corp.</t>
        </is>
      </c>
      <c r="C8814" t="inlineStr">
        <is>
          <t>Nasdaq</t>
        </is>
      </c>
      <c r="D8814" t="n">
        <v>1423689</v>
      </c>
      <c r="E8814" t="inlineStr">
        <is>
          <t>SEC</t>
        </is>
      </c>
    </row>
    <row r="8815">
      <c r="A8815" s="5">
        <f>HYPERLINK("https://finance.yahoo.com/quote/AGNCN","AGNCN")</f>
        <v/>
      </c>
      <c r="B8815" t="inlineStr">
        <is>
          <t>AGNC Investment Corp.</t>
        </is>
      </c>
      <c r="C8815" t="inlineStr">
        <is>
          <t>Nasdaq</t>
        </is>
      </c>
      <c r="D8815" t="n">
        <v>1423689</v>
      </c>
      <c r="E8815" t="inlineStr">
        <is>
          <t>SEC</t>
        </is>
      </c>
    </row>
    <row r="8816">
      <c r="A8816" s="5">
        <f>HYPERLINK("https://finance.yahoo.com/quote/AGNCO","AGNCO")</f>
        <v/>
      </c>
      <c r="B8816" t="inlineStr">
        <is>
          <t>AGNC Investment Corp.</t>
        </is>
      </c>
      <c r="C8816" t="inlineStr">
        <is>
          <t>Nasdaq</t>
        </is>
      </c>
      <c r="D8816" t="n">
        <v>1423689</v>
      </c>
      <c r="E8816" t="inlineStr">
        <is>
          <t>SEC</t>
        </is>
      </c>
    </row>
    <row r="8817">
      <c r="A8817" s="5">
        <f>HYPERLINK("https://finance.yahoo.com/quote/AGNCP","AGNCP")</f>
        <v/>
      </c>
      <c r="B8817" t="inlineStr">
        <is>
          <t>AGNC Investment Corp.</t>
        </is>
      </c>
      <c r="C8817" t="inlineStr">
        <is>
          <t>Nasdaq</t>
        </is>
      </c>
      <c r="D8817" t="n">
        <v>1423689</v>
      </c>
      <c r="E8817" t="inlineStr">
        <is>
          <t>SEC</t>
        </is>
      </c>
    </row>
    <row r="8818">
      <c r="A8818" s="5">
        <f>HYPERLINK("https://finance.yahoo.com/quote/AGNCZ","AGNCZ")</f>
        <v/>
      </c>
      <c r="B8818" t="inlineStr">
        <is>
          <t>AGNC Investment Corp.</t>
        </is>
      </c>
      <c r="C8818" t="inlineStr">
        <is>
          <t>Nasdaq</t>
        </is>
      </c>
      <c r="D8818" t="n">
        <v>1423689</v>
      </c>
      <c r="E8818" t="inlineStr">
        <is>
          <t>SEC</t>
        </is>
      </c>
    </row>
    <row r="8819">
      <c r="A8819" s="5">
        <f>HYPERLINK("https://finance.yahoo.com/quote/CUENW","CUENW")</f>
        <v/>
      </c>
      <c r="B8819" t="inlineStr">
        <is>
          <t>Cuentas Inc.</t>
        </is>
      </c>
      <c r="C8819" t="inlineStr">
        <is>
          <t>OTC</t>
        </is>
      </c>
      <c r="D8819" t="n">
        <v>1424657</v>
      </c>
      <c r="E8819" t="inlineStr">
        <is>
          <t>SEC</t>
        </is>
      </c>
    </row>
    <row r="8820">
      <c r="A8820" s="5">
        <f>HYPERLINK("https://finance.yahoo.com/quote/ARR-PC","ARR-PC")</f>
        <v/>
      </c>
      <c r="B8820" t="inlineStr">
        <is>
          <t>Armour Residential REIT, Inc.</t>
        </is>
      </c>
      <c r="C8820" t="inlineStr">
        <is>
          <t>NYSE</t>
        </is>
      </c>
      <c r="D8820" t="n">
        <v>1428205</v>
      </c>
      <c r="E8820" t="inlineStr">
        <is>
          <t>SEC</t>
        </is>
      </c>
    </row>
    <row r="8821">
      <c r="A8821" s="5">
        <f>HYPERLINK("https://finance.yahoo.com/quote/FBIOP","FBIOP")</f>
        <v/>
      </c>
      <c r="B8821" t="inlineStr">
        <is>
          <t>Fortress Biotech, Inc.</t>
        </is>
      </c>
      <c r="C8821" t="inlineStr">
        <is>
          <t>Nasdaq</t>
        </is>
      </c>
      <c r="D8821" t="n">
        <v>1429260</v>
      </c>
      <c r="E8821" t="inlineStr">
        <is>
          <t>SEC</t>
        </is>
      </c>
    </row>
    <row r="8822">
      <c r="A8822" s="5">
        <f>HYPERLINK("https://finance.yahoo.com/quote/CSANY","CSANY")</f>
        <v/>
      </c>
      <c r="B8822" t="inlineStr">
        <is>
          <t>Cosan S.A.</t>
        </is>
      </c>
      <c r="C8822" t="inlineStr">
        <is>
          <t>OTC</t>
        </is>
      </c>
      <c r="D8822" t="n">
        <v>1430162</v>
      </c>
      <c r="E8822" t="inlineStr">
        <is>
          <t>SEC</t>
        </is>
      </c>
    </row>
    <row r="8823">
      <c r="A8823" s="5">
        <f>HYPERLINK("https://finance.yahoo.com/quote/OGGWZ","OGGWZ")</f>
        <v/>
      </c>
      <c r="B8823" t="inlineStr">
        <is>
          <t>Osisko Gold Group Inc.</t>
        </is>
      </c>
      <c r="C8823" t="inlineStr">
        <is>
          <t>Nasdaq</t>
        </is>
      </c>
      <c r="D8823" t="n">
        <v>1431852</v>
      </c>
      <c r="E8823" t="inlineStr">
        <is>
          <t>SEC</t>
        </is>
      </c>
    </row>
    <row r="8824">
      <c r="A8824" s="5">
        <f>HYPERLINK("https://finance.yahoo.com/quote/OSDVF","OSDVF")</f>
        <v/>
      </c>
      <c r="B8824" t="inlineStr">
        <is>
          <t>Osisko Gold Group Inc.</t>
        </is>
      </c>
      <c r="C8824" t="inlineStr">
        <is>
          <t>OTC</t>
        </is>
      </c>
      <c r="D8824" t="n">
        <v>1431852</v>
      </c>
      <c r="E8824" t="inlineStr">
        <is>
          <t>SEC</t>
        </is>
      </c>
    </row>
    <row r="8825">
      <c r="A8825" s="5">
        <f>HYPERLINK("https://finance.yahoo.com/quote/AZUXY","AZUXY")</f>
        <v/>
      </c>
      <c r="B8825" t="inlineStr">
        <is>
          <t>AZUL SA</t>
        </is>
      </c>
      <c r="C8825" t="inlineStr">
        <is>
          <t>OTC</t>
        </is>
      </c>
      <c r="D8825" t="n">
        <v>1432364</v>
      </c>
      <c r="E8825" t="inlineStr">
        <is>
          <t>SEC</t>
        </is>
      </c>
    </row>
    <row r="8826">
      <c r="A8826" s="5">
        <f>HYPERLINK("https://finance.yahoo.com/quote/SB-PD","SB-PD")</f>
        <v/>
      </c>
      <c r="B8826" t="inlineStr">
        <is>
          <t>SAFE BULKERS, INC.</t>
        </is>
      </c>
      <c r="C8826" t="inlineStr">
        <is>
          <t>NYSE</t>
        </is>
      </c>
      <c r="D8826" t="n">
        <v>1434754</v>
      </c>
      <c r="E8826" t="inlineStr">
        <is>
          <t>SEC</t>
        </is>
      </c>
    </row>
    <row r="8827">
      <c r="A8827" s="5">
        <f>HYPERLINK("https://finance.yahoo.com/quote/CYJBF","CYJBF")</f>
        <v/>
      </c>
      <c r="B8827" t="inlineStr">
        <is>
          <t>Cargotec Corp OYJ</t>
        </is>
      </c>
      <c r="C8827" t="inlineStr">
        <is>
          <t>OTC</t>
        </is>
      </c>
      <c r="D8827" t="n">
        <v>1436741</v>
      </c>
      <c r="E8827" t="inlineStr">
        <is>
          <t>SEC</t>
        </is>
      </c>
    </row>
    <row r="8828">
      <c r="A8828" s="5">
        <f>HYPERLINK("https://finance.yahoo.com/quote/IVR-PC","IVR-PC")</f>
        <v/>
      </c>
      <c r="B8828" t="inlineStr">
        <is>
          <t>Invesco Mortgage Capital Inc.</t>
        </is>
      </c>
      <c r="C8828" t="inlineStr">
        <is>
          <t>NYSE</t>
        </is>
      </c>
      <c r="D8828" t="n">
        <v>1437071</v>
      </c>
      <c r="E8828" t="inlineStr">
        <is>
          <t>SEC</t>
        </is>
      </c>
    </row>
    <row r="8829">
      <c r="A8829" s="5">
        <f>HYPERLINK("https://finance.yahoo.com/quote/GRKZF","GRKZF")</f>
        <v/>
      </c>
      <c r="B8829" t="inlineStr">
        <is>
          <t>Greek Organisation of Football Prognostics S.A.</t>
        </is>
      </c>
      <c r="C8829" t="inlineStr">
        <is>
          <t>OTC</t>
        </is>
      </c>
      <c r="D8829" t="n">
        <v>1437462</v>
      </c>
      <c r="E8829" t="inlineStr">
        <is>
          <t>SEC</t>
        </is>
      </c>
    </row>
    <row r="8830">
      <c r="A8830" s="5">
        <f>HYPERLINK("https://finance.yahoo.com/quote/DCCPF","DCCPF")</f>
        <v/>
      </c>
      <c r="B8830" t="inlineStr">
        <is>
          <t>DCC plc</t>
        </is>
      </c>
      <c r="C8830" t="inlineStr">
        <is>
          <t>OTC</t>
        </is>
      </c>
      <c r="D8830" t="n">
        <v>1437712</v>
      </c>
      <c r="E8830" t="inlineStr">
        <is>
          <t>SEC</t>
        </is>
      </c>
    </row>
    <row r="8831">
      <c r="A8831" s="5">
        <f>HYPERLINK("https://finance.yahoo.com/quote/GNT-PA","GNT-PA")</f>
        <v/>
      </c>
      <c r="B8831" t="inlineStr">
        <is>
          <t>GAMCO Natural Resources, Gold &amp; Income Trust</t>
        </is>
      </c>
      <c r="C8831" t="inlineStr">
        <is>
          <t>NYSE</t>
        </is>
      </c>
      <c r="D8831" t="n">
        <v>1438893</v>
      </c>
      <c r="E8831" t="inlineStr">
        <is>
          <t>SEC</t>
        </is>
      </c>
    </row>
    <row r="8832">
      <c r="A8832" s="5">
        <f>HYPERLINK("https://finance.yahoo.com/quote/AXIAY","AXIAY")</f>
        <v/>
      </c>
      <c r="B8832" t="inlineStr">
        <is>
          <t>AXIA Energia S.A.</t>
        </is>
      </c>
      <c r="C8832" t="inlineStr">
        <is>
          <t>OTC</t>
        </is>
      </c>
      <c r="D8832" t="n">
        <v>1439124</v>
      </c>
      <c r="E8832" t="inlineStr">
        <is>
          <t>SEC</t>
        </is>
      </c>
    </row>
    <row r="8833">
      <c r="A8833" s="5">
        <f>HYPERLINK("https://finance.yahoo.com/quote/AXICY","AXICY")</f>
        <v/>
      </c>
      <c r="B8833" t="inlineStr">
        <is>
          <t>AXIA Energia S.A.</t>
        </is>
      </c>
      <c r="C8833" t="inlineStr">
        <is>
          <t>OTC</t>
        </is>
      </c>
      <c r="D8833" t="n">
        <v>1439124</v>
      </c>
      <c r="E8833" t="inlineStr">
        <is>
          <t>SEC</t>
        </is>
      </c>
    </row>
    <row r="8834">
      <c r="A8834" s="5">
        <f>HYPERLINK("https://finance.yahoo.com/quote/MVNCD","MVNCD")</f>
        <v/>
      </c>
      <c r="B8834" t="inlineStr">
        <is>
          <t>Marvion Inc.</t>
        </is>
      </c>
      <c r="C8834" t="inlineStr">
        <is>
          <t>OTC</t>
        </is>
      </c>
      <c r="D8834" t="n">
        <v>1439264</v>
      </c>
      <c r="E8834" t="inlineStr">
        <is>
          <t>SEC</t>
        </is>
      </c>
    </row>
    <row r="8835">
      <c r="A8835" s="5">
        <f>HYPERLINK("https://finance.yahoo.com/quote/NGKSF","NGKSF")</f>
        <v/>
      </c>
      <c r="B8835" t="inlineStr">
        <is>
          <t>NGK Spark Plug Co., Ltd.</t>
        </is>
      </c>
      <c r="C8835" t="inlineStr">
        <is>
          <t>OTC</t>
        </is>
      </c>
      <c r="D8835" t="n">
        <v>1442655</v>
      </c>
      <c r="E8835" t="inlineStr">
        <is>
          <t>SEC</t>
        </is>
      </c>
    </row>
    <row r="8836">
      <c r="A8836" s="5">
        <f>HYPERLINK("https://finance.yahoo.com/quote/SLOIF","SLOIF")</f>
        <v/>
      </c>
      <c r="B8836" t="inlineStr">
        <is>
          <t>Soitec SA</t>
        </is>
      </c>
      <c r="C8836" t="inlineStr">
        <is>
          <t>OTC</t>
        </is>
      </c>
      <c r="D8836" t="n">
        <v>1445214</v>
      </c>
      <c r="E8836" t="inlineStr">
        <is>
          <t>SEC</t>
        </is>
      </c>
    </row>
    <row r="8837">
      <c r="A8837" s="5">
        <f>HYPERLINK("https://finance.yahoo.com/quote/NIFCF","NIFCF")</f>
        <v/>
      </c>
      <c r="B8837" t="inlineStr">
        <is>
          <t>Nifco Inc/Japan</t>
        </is>
      </c>
      <c r="C8837" t="inlineStr">
        <is>
          <t>OTC</t>
        </is>
      </c>
      <c r="D8837" t="n">
        <v>1446589</v>
      </c>
      <c r="E8837" t="inlineStr">
        <is>
          <t>SEC</t>
        </is>
      </c>
    </row>
    <row r="8838">
      <c r="A8838" s="5">
        <f>HYPERLINK("https://finance.yahoo.com/quote/HCHDF","HCHDF")</f>
        <v/>
      </c>
      <c r="B8838" t="inlineStr">
        <is>
          <t>Hochschild Mining PLC</t>
        </is>
      </c>
      <c r="C8838" t="inlineStr">
        <is>
          <t>OTC</t>
        </is>
      </c>
      <c r="D8838" t="n">
        <v>1446962</v>
      </c>
      <c r="E8838" t="inlineStr">
        <is>
          <t>SEC</t>
        </is>
      </c>
    </row>
    <row r="8839">
      <c r="A8839" s="5">
        <f>HYPERLINK("https://finance.yahoo.com/quote/SKPJF","SKPJF")</f>
        <v/>
      </c>
      <c r="B8839" t="inlineStr">
        <is>
          <t>SKY Perfect JSAT Holdings Inc</t>
        </is>
      </c>
      <c r="C8839" t="inlineStr">
        <is>
          <t>OTC</t>
        </is>
      </c>
      <c r="D8839" t="n">
        <v>1447108</v>
      </c>
      <c r="E8839" t="inlineStr">
        <is>
          <t>SEC</t>
        </is>
      </c>
    </row>
    <row r="8840">
      <c r="A8840" s="5">
        <f>HYPERLINK("https://finance.yahoo.com/quote/RSNHF","RSNHF")</f>
        <v/>
      </c>
      <c r="B8840" t="inlineStr">
        <is>
          <t>RESONA HOLDINGS INC</t>
        </is>
      </c>
      <c r="C8840" t="inlineStr">
        <is>
          <t>OTC</t>
        </is>
      </c>
      <c r="D8840" t="n">
        <v>1447391</v>
      </c>
      <c r="E8840" t="inlineStr">
        <is>
          <t>SEC</t>
        </is>
      </c>
    </row>
    <row r="8841">
      <c r="A8841" s="5">
        <f>HYPERLINK("https://finance.yahoo.com/quote/BYDIF","BYDIF")</f>
        <v/>
      </c>
      <c r="B8841" t="inlineStr">
        <is>
          <t>BYD Electronic (International) Co Ltd</t>
        </is>
      </c>
      <c r="C8841" t="inlineStr">
        <is>
          <t>OTC</t>
        </is>
      </c>
      <c r="D8841" t="n">
        <v>1447956</v>
      </c>
      <c r="E8841" t="inlineStr">
        <is>
          <t>SEC</t>
        </is>
      </c>
    </row>
    <row r="8842">
      <c r="A8842" s="5">
        <f>HYPERLINK("https://finance.yahoo.com/quote/CMCLF","CMCLF")</f>
        <v/>
      </c>
      <c r="B8842" t="inlineStr">
        <is>
          <t>China Molybdenum Co., Ltd.</t>
        </is>
      </c>
      <c r="C8842" t="inlineStr">
        <is>
          <t>OTC</t>
        </is>
      </c>
      <c r="D8842" t="n">
        <v>1447960</v>
      </c>
      <c r="E8842" t="inlineStr">
        <is>
          <t>SEC</t>
        </is>
      </c>
    </row>
    <row r="8843">
      <c r="A8843" s="5">
        <f>HYPERLINK("https://finance.yahoo.com/quote/RWDMU","RWDMU")</f>
        <v/>
      </c>
      <c r="B8843" t="inlineStr">
        <is>
          <t>Redwood Mortgage Investors IX</t>
        </is>
      </c>
      <c r="C8843" t="inlineStr">
        <is>
          <t>OTC</t>
        </is>
      </c>
      <c r="D8843" t="n">
        <v>1448038</v>
      </c>
      <c r="E8843" t="inlineStr">
        <is>
          <t>SEC</t>
        </is>
      </c>
    </row>
    <row r="8844">
      <c r="A8844" s="5">
        <f>HYPERLINK("https://finance.yahoo.com/quote/NWSZF","NWSZF")</f>
        <v/>
      </c>
      <c r="B8844" t="inlineStr">
        <is>
          <t>CTF Services Ltd</t>
        </is>
      </c>
      <c r="C8844" t="inlineStr">
        <is>
          <t>OTC</t>
        </is>
      </c>
      <c r="D8844" t="n">
        <v>1449664</v>
      </c>
      <c r="E8844" t="inlineStr">
        <is>
          <t>SEC</t>
        </is>
      </c>
    </row>
    <row r="8845">
      <c r="A8845" s="5">
        <f>HYPERLINK("https://finance.yahoo.com/quote/GMBLP","GMBLP")</f>
        <v/>
      </c>
      <c r="B8845" t="inlineStr">
        <is>
          <t>ESPORTS ENTERTAINMENT GROUP, INC.</t>
        </is>
      </c>
      <c r="C8845" t="inlineStr">
        <is>
          <t>OTC</t>
        </is>
      </c>
      <c r="D8845" t="n">
        <v>1451448</v>
      </c>
      <c r="E8845" t="inlineStr">
        <is>
          <t>SEC</t>
        </is>
      </c>
    </row>
    <row r="8846">
      <c r="A8846" s="5">
        <f>HYPERLINK("https://finance.yahoo.com/quote/GMBLZ","GMBLZ")</f>
        <v/>
      </c>
      <c r="B8846" t="inlineStr">
        <is>
          <t>ESPORTS ENTERTAINMENT GROUP, INC.</t>
        </is>
      </c>
      <c r="C8846" t="inlineStr">
        <is>
          <t>OTC</t>
        </is>
      </c>
      <c r="D8846" t="n">
        <v>1451448</v>
      </c>
      <c r="E8846" t="inlineStr">
        <is>
          <t>SEC</t>
        </is>
      </c>
    </row>
    <row r="8847">
      <c r="A8847" s="5">
        <f>HYPERLINK("https://finance.yahoo.com/quote/SBBTF","SBBTF")</f>
        <v/>
      </c>
      <c r="B8847" t="inlineStr">
        <is>
          <t>Vend Marketplaces ASA/ADR</t>
        </is>
      </c>
      <c r="C8847" t="inlineStr">
        <is>
          <t>OTC</t>
        </is>
      </c>
      <c r="D8847" t="n">
        <v>1451561</v>
      </c>
      <c r="E8847" t="inlineStr">
        <is>
          <t>SEC</t>
        </is>
      </c>
    </row>
    <row r="8848">
      <c r="A8848" s="5">
        <f>HYPERLINK("https://finance.yahoo.com/quote/LOIMF","LOIMF")</f>
        <v/>
      </c>
      <c r="B8848" t="inlineStr">
        <is>
          <t>Loomis AB / ADR</t>
        </is>
      </c>
      <c r="C8848" t="inlineStr">
        <is>
          <t>OTC</t>
        </is>
      </c>
      <c r="D8848" t="n">
        <v>1454147</v>
      </c>
      <c r="E8848" t="inlineStr">
        <is>
          <t>SEC</t>
        </is>
      </c>
    </row>
    <row r="8849">
      <c r="A8849" s="5">
        <f>HYPERLINK("https://finance.yahoo.com/quote/GBCMF","GBCMF")</f>
        <v/>
      </c>
      <c r="B8849" t="inlineStr">
        <is>
          <t>Global Bio-chem Technology Group Co. Ltd / ADR</t>
        </is>
      </c>
      <c r="C8849" t="inlineStr">
        <is>
          <t>OTC</t>
        </is>
      </c>
      <c r="D8849" t="n">
        <v>1454475</v>
      </c>
      <c r="E8849" t="inlineStr">
        <is>
          <t>SEC</t>
        </is>
      </c>
    </row>
    <row r="8850">
      <c r="A8850" s="5">
        <f>HYPERLINK("https://finance.yahoo.com/quote/GBCMY","GBCMY")</f>
        <v/>
      </c>
      <c r="B8850" t="inlineStr">
        <is>
          <t>Global Bio-chem Technology Group Co. Ltd / ADR</t>
        </is>
      </c>
      <c r="C8850" t="inlineStr">
        <is>
          <t>OTC</t>
        </is>
      </c>
      <c r="D8850" t="n">
        <v>1454475</v>
      </c>
      <c r="E8850" t="inlineStr">
        <is>
          <t>SEC</t>
        </is>
      </c>
    </row>
    <row r="8851">
      <c r="A8851" s="5">
        <f>HYPERLINK("https://finance.yahoo.com/quote/NXPGF","NXPGF")</f>
        <v/>
      </c>
      <c r="B8851" t="inlineStr">
        <is>
          <t>Mobico Group PLC/ADR</t>
        </is>
      </c>
      <c r="C8851" t="inlineStr">
        <is>
          <t>OTC</t>
        </is>
      </c>
      <c r="D8851" t="n">
        <v>1455632</v>
      </c>
      <c r="E8851" t="inlineStr">
        <is>
          <t>SEC</t>
        </is>
      </c>
    </row>
    <row r="8852">
      <c r="A8852" s="5">
        <f>HYPERLINK("https://finance.yahoo.com/quote/BKZHF","BKZHF")</f>
        <v/>
      </c>
      <c r="B8852" t="inlineStr">
        <is>
          <t>Santander Bank Polska SA/ADR</t>
        </is>
      </c>
      <c r="C8852" t="inlineStr">
        <is>
          <t>OTC</t>
        </is>
      </c>
      <c r="D8852" t="n">
        <v>1459334</v>
      </c>
      <c r="E8852" t="inlineStr">
        <is>
          <t>SEC</t>
        </is>
      </c>
    </row>
    <row r="8853">
      <c r="A8853" s="5">
        <f>HYPERLINK("https://finance.yahoo.com/quote/MIMTF","MIMTF")</f>
        <v/>
      </c>
      <c r="B8853" t="inlineStr">
        <is>
          <t>Mitsubishi Materials Corp / ADR</t>
        </is>
      </c>
      <c r="C8853" t="inlineStr">
        <is>
          <t>OTC</t>
        </is>
      </c>
      <c r="D8853" t="n">
        <v>1460447</v>
      </c>
      <c r="E8853" t="inlineStr">
        <is>
          <t>SEC</t>
        </is>
      </c>
    </row>
    <row r="8854">
      <c r="A8854" s="5">
        <f>HYPERLINK("https://finance.yahoo.com/quote/LOB-PA","LOB-PA")</f>
        <v/>
      </c>
      <c r="B8854" t="inlineStr">
        <is>
          <t>Live Oak Bancshares, Inc.</t>
        </is>
      </c>
      <c r="C8854" t="inlineStr">
        <is>
          <t>NYSE</t>
        </is>
      </c>
      <c r="D8854" t="n">
        <v>1462120</v>
      </c>
      <c r="E8854" t="inlineStr">
        <is>
          <t>SEC</t>
        </is>
      </c>
    </row>
    <row r="8855">
      <c r="A8855" s="5">
        <f>HYPERLINK("https://finance.yahoo.com/quote/ASPSW","ASPSW")</f>
        <v/>
      </c>
      <c r="B8855" t="inlineStr">
        <is>
          <t>ALTISOURCE PORTFOLIO SOLUTIONS S.A.</t>
        </is>
      </c>
      <c r="C8855" t="inlineStr">
        <is>
          <t>Nasdaq</t>
        </is>
      </c>
      <c r="D8855" t="n">
        <v>1462418</v>
      </c>
      <c r="E8855" t="inlineStr">
        <is>
          <t>SEC</t>
        </is>
      </c>
    </row>
    <row r="8856">
      <c r="A8856" s="5">
        <f>HYPERLINK("https://finance.yahoo.com/quote/ASPSZ","ASPSZ")</f>
        <v/>
      </c>
      <c r="B8856" t="inlineStr">
        <is>
          <t>ALTISOURCE PORTFOLIO SOLUTIONS S.A.</t>
        </is>
      </c>
      <c r="C8856" t="inlineStr">
        <is>
          <t>Nasdaq</t>
        </is>
      </c>
      <c r="D8856" t="n">
        <v>1462418</v>
      </c>
      <c r="E8856" t="inlineStr">
        <is>
          <t>SEC</t>
        </is>
      </c>
    </row>
    <row r="8857">
      <c r="A8857" s="5">
        <f>HYPERLINK("https://finance.yahoo.com/quote/TLSSD","TLSSD")</f>
        <v/>
      </c>
      <c r="B8857" t="inlineStr">
        <is>
          <t>Transportation &amp; Logistics Systems, Inc.</t>
        </is>
      </c>
      <c r="C8857" t="inlineStr">
        <is>
          <t>OTC</t>
        </is>
      </c>
      <c r="D8857" t="n">
        <v>1463208</v>
      </c>
      <c r="E8857" t="inlineStr">
        <is>
          <t>SEC</t>
        </is>
      </c>
    </row>
    <row r="8858">
      <c r="A8858" s="5">
        <f>HYPERLINK("https://finance.yahoo.com/quote/ATLCL","ATLCL")</f>
        <v/>
      </c>
      <c r="B8858" t="inlineStr">
        <is>
          <t>Atlanticus Holdings Corp</t>
        </is>
      </c>
      <c r="C8858" t="inlineStr">
        <is>
          <t>Nasdaq</t>
        </is>
      </c>
      <c r="D8858" t="n">
        <v>1464343</v>
      </c>
      <c r="E8858" t="inlineStr">
        <is>
          <t>SEC</t>
        </is>
      </c>
    </row>
    <row r="8859">
      <c r="A8859" s="5">
        <f>HYPERLINK("https://finance.yahoo.com/quote/ATLCP","ATLCP")</f>
        <v/>
      </c>
      <c r="B8859" t="inlineStr">
        <is>
          <t>Atlanticus Holdings Corp</t>
        </is>
      </c>
      <c r="C8859" t="inlineStr">
        <is>
          <t>Nasdaq</t>
        </is>
      </c>
      <c r="D8859" t="n">
        <v>1464343</v>
      </c>
      <c r="E8859" t="inlineStr">
        <is>
          <t>SEC</t>
        </is>
      </c>
    </row>
    <row r="8860">
      <c r="A8860" s="5">
        <f>HYPERLINK("https://finance.yahoo.com/quote/ATLCZ","ATLCZ")</f>
        <v/>
      </c>
      <c r="B8860" t="inlineStr">
        <is>
          <t>Atlanticus Holdings Corp</t>
        </is>
      </c>
      <c r="C8860" t="inlineStr">
        <is>
          <t>Nasdaq</t>
        </is>
      </c>
      <c r="D8860" t="n">
        <v>1464343</v>
      </c>
      <c r="E8860" t="inlineStr">
        <is>
          <t>SEC</t>
        </is>
      </c>
    </row>
    <row r="8861">
      <c r="A8861" s="5">
        <f>HYPERLINK("https://finance.yahoo.com/quote/PMT-PC","PMT-PC")</f>
        <v/>
      </c>
      <c r="B8861" t="inlineStr">
        <is>
          <t>PennyMac Mortgage Investment Trust</t>
        </is>
      </c>
      <c r="C8861" t="inlineStr">
        <is>
          <t>NYSE</t>
        </is>
      </c>
      <c r="D8861" t="n">
        <v>1464423</v>
      </c>
      <c r="E8861" t="inlineStr">
        <is>
          <t>SEC</t>
        </is>
      </c>
    </row>
    <row r="8862">
      <c r="A8862" s="5">
        <f>HYPERLINK("https://finance.yahoo.com/quote/PMTU","PMTU")</f>
        <v/>
      </c>
      <c r="B8862" t="inlineStr">
        <is>
          <t>PennyMac Mortgage Investment Trust</t>
        </is>
      </c>
      <c r="C8862" t="inlineStr">
        <is>
          <t>NYSE</t>
        </is>
      </c>
      <c r="D8862" t="n">
        <v>1464423</v>
      </c>
      <c r="E8862" t="inlineStr">
        <is>
          <t>SEC</t>
        </is>
      </c>
    </row>
    <row r="8863">
      <c r="A8863" s="5">
        <f>HYPERLINK("https://finance.yahoo.com/quote/PMTV","PMTV")</f>
        <v/>
      </c>
      <c r="B8863" t="inlineStr">
        <is>
          <t>PennyMac Mortgage Investment Trust</t>
        </is>
      </c>
      <c r="C8863" t="inlineStr">
        <is>
          <t>NYSE</t>
        </is>
      </c>
      <c r="D8863" t="n">
        <v>1464423</v>
      </c>
      <c r="E8863" t="inlineStr">
        <is>
          <t>SEC</t>
        </is>
      </c>
    </row>
    <row r="8864">
      <c r="A8864" s="5">
        <f>HYPERLINK("https://finance.yahoo.com/quote/PMTW","PMTW")</f>
        <v/>
      </c>
      <c r="B8864" t="inlineStr">
        <is>
          <t>PennyMac Mortgage Investment Trust</t>
        </is>
      </c>
      <c r="C8864" t="inlineStr">
        <is>
          <t>NYSE</t>
        </is>
      </c>
      <c r="D8864" t="n">
        <v>1464423</v>
      </c>
      <c r="E8864" t="inlineStr">
        <is>
          <t>SEC</t>
        </is>
      </c>
    </row>
    <row r="8865">
      <c r="A8865" s="5">
        <f>HYPERLINK("https://finance.yahoo.com/quote/RILYG","RILYG")</f>
        <v/>
      </c>
      <c r="B8865" t="inlineStr">
        <is>
          <t>BRC Group Holdings, Inc.</t>
        </is>
      </c>
      <c r="C8865" t="inlineStr">
        <is>
          <t>Nasdaq</t>
        </is>
      </c>
      <c r="D8865" t="n">
        <v>1464790</v>
      </c>
      <c r="E8865" t="inlineStr">
        <is>
          <t>SEC</t>
        </is>
      </c>
    </row>
    <row r="8866">
      <c r="A8866" s="5">
        <f>HYPERLINK("https://finance.yahoo.com/quote/RILYL","RILYL")</f>
        <v/>
      </c>
      <c r="B8866" t="inlineStr">
        <is>
          <t>BRC Group Holdings, Inc.</t>
        </is>
      </c>
      <c r="C8866" t="inlineStr">
        <is>
          <t>Nasdaq</t>
        </is>
      </c>
      <c r="D8866" t="n">
        <v>1464790</v>
      </c>
      <c r="E8866" t="inlineStr">
        <is>
          <t>SEC</t>
        </is>
      </c>
    </row>
    <row r="8867">
      <c r="A8867" s="5">
        <f>HYPERLINK("https://finance.yahoo.com/quote/RILYP","RILYP")</f>
        <v/>
      </c>
      <c r="B8867" t="inlineStr">
        <is>
          <t>BRC Group Holdings, Inc.</t>
        </is>
      </c>
      <c r="C8867" t="inlineStr">
        <is>
          <t>Nasdaq</t>
        </is>
      </c>
      <c r="D8867" t="n">
        <v>1464790</v>
      </c>
      <c r="E8867" t="inlineStr">
        <is>
          <t>SEC</t>
        </is>
      </c>
    </row>
    <row r="8868">
      <c r="A8868" s="5">
        <f>HYPERLINK("https://finance.yahoo.com/quote/RILYT","RILYT")</f>
        <v/>
      </c>
      <c r="B8868" t="inlineStr">
        <is>
          <t>BRC Group Holdings, Inc.</t>
        </is>
      </c>
      <c r="C8868" t="inlineStr">
        <is>
          <t>Nasdaq</t>
        </is>
      </c>
      <c r="D8868" t="n">
        <v>1464790</v>
      </c>
      <c r="E8868" t="inlineStr">
        <is>
          <t>SEC</t>
        </is>
      </c>
    </row>
    <row r="8869">
      <c r="A8869" s="5">
        <f>HYPERLINK("https://finance.yahoo.com/quote/RILYZ","RILYZ")</f>
        <v/>
      </c>
      <c r="B8869" t="inlineStr">
        <is>
          <t>BRC Group Holdings, Inc.</t>
        </is>
      </c>
      <c r="C8869" t="inlineStr">
        <is>
          <t>Nasdaq</t>
        </is>
      </c>
      <c r="D8869" t="n">
        <v>1464790</v>
      </c>
      <c r="E8869" t="inlineStr">
        <is>
          <t>SEC</t>
        </is>
      </c>
    </row>
    <row r="8870">
      <c r="A8870" s="5">
        <f>HYPERLINK("https://finance.yahoo.com/quote/TWOD","TWOD")</f>
        <v/>
      </c>
      <c r="B8870" t="inlineStr">
        <is>
          <t>TWO HARBORS INVESTMENT CORP.</t>
        </is>
      </c>
      <c r="C8870" t="inlineStr">
        <is>
          <t>OTC</t>
        </is>
      </c>
      <c r="D8870" t="n">
        <v>1465740</v>
      </c>
      <c r="E8870" t="inlineStr">
        <is>
          <t>SEC</t>
        </is>
      </c>
    </row>
    <row r="8871">
      <c r="A8871" s="5">
        <f>HYPERLINK("https://finance.yahoo.com/quote/MSBIP","MSBIP")</f>
        <v/>
      </c>
      <c r="B8871" t="inlineStr">
        <is>
          <t>Midland States Bancorp, Inc.</t>
        </is>
      </c>
      <c r="C8871" t="inlineStr">
        <is>
          <t>Nasdaq</t>
        </is>
      </c>
      <c r="D8871" t="n">
        <v>1466026</v>
      </c>
      <c r="E8871" t="inlineStr">
        <is>
          <t>SEC</t>
        </is>
      </c>
    </row>
    <row r="8872">
      <c r="A8872" s="5">
        <f>HYPERLINK("https://finance.yahoo.com/quote/HSCSW","HSCSW")</f>
        <v/>
      </c>
      <c r="B8872" t="inlineStr">
        <is>
          <t>HeartSciences Inc.</t>
        </is>
      </c>
      <c r="C8872" t="inlineStr">
        <is>
          <t>Nasdaq</t>
        </is>
      </c>
      <c r="D8872" t="n">
        <v>1468492</v>
      </c>
      <c r="E8872" t="inlineStr">
        <is>
          <t>SEC</t>
        </is>
      </c>
    </row>
    <row r="8873">
      <c r="A8873" s="5">
        <f>HYPERLINK("https://finance.yahoo.com/quote/NXGLW","NXGLW")</f>
        <v/>
      </c>
      <c r="B8873" t="inlineStr">
        <is>
          <t>NEXGEL, INC.</t>
        </is>
      </c>
      <c r="C8873" t="inlineStr">
        <is>
          <t>Nasdaq</t>
        </is>
      </c>
      <c r="D8873" t="n">
        <v>1468929</v>
      </c>
      <c r="E8873" t="inlineStr">
        <is>
          <t>SEC</t>
        </is>
      </c>
    </row>
    <row r="8874">
      <c r="A8874" s="5">
        <f>HYPERLINK("https://finance.yahoo.com/quote/CKHGY","CKHGY")</f>
        <v/>
      </c>
      <c r="B8874" t="inlineStr">
        <is>
          <t>Capitec Limited/ADR</t>
        </is>
      </c>
      <c r="C8874" t="inlineStr">
        <is>
          <t>OTC</t>
        </is>
      </c>
      <c r="D8874" t="n">
        <v>1469059</v>
      </c>
      <c r="E8874" t="inlineStr">
        <is>
          <t>SEC</t>
        </is>
      </c>
    </row>
    <row r="8875">
      <c r="A8875" s="5">
        <f>HYPERLINK("https://finance.yahoo.com/quote/EJTTF","EJTTF")</f>
        <v/>
      </c>
      <c r="B8875" t="inlineStr">
        <is>
          <t>easyJet plc</t>
        </is>
      </c>
      <c r="C8875" t="inlineStr">
        <is>
          <t>OTC</t>
        </is>
      </c>
      <c r="D8875" t="n">
        <v>1470419</v>
      </c>
      <c r="E8875" t="inlineStr">
        <is>
          <t>SEC</t>
        </is>
      </c>
    </row>
    <row r="8876">
      <c r="A8876" s="5">
        <f>HYPERLINK("https://finance.yahoo.com/quote/BTCK","BTCK")</f>
        <v/>
      </c>
      <c r="B8876" t="inlineStr">
        <is>
          <t>Teucrium Commodity Trust</t>
        </is>
      </c>
      <c r="C8876" t="inlineStr">
        <is>
          <t>NYSE</t>
        </is>
      </c>
      <c r="D8876" t="n">
        <v>1471824</v>
      </c>
      <c r="E8876" t="inlineStr">
        <is>
          <t>SEC</t>
        </is>
      </c>
    </row>
    <row r="8877">
      <c r="A8877" s="5">
        <f>HYPERLINK("https://finance.yahoo.com/quote/CANE","CANE")</f>
        <v/>
      </c>
      <c r="B8877" t="inlineStr">
        <is>
          <t>Teucrium Commodity Trust</t>
        </is>
      </c>
      <c r="C8877" t="inlineStr">
        <is>
          <t>NYSE</t>
        </is>
      </c>
      <c r="D8877" t="n">
        <v>1471824</v>
      </c>
      <c r="E8877" t="inlineStr">
        <is>
          <t>SEC</t>
        </is>
      </c>
    </row>
    <row r="8878">
      <c r="A8878" s="5">
        <f>HYPERLINK("https://finance.yahoo.com/quote/CORN","CORN")</f>
        <v/>
      </c>
      <c r="B8878" t="inlineStr">
        <is>
          <t>Teucrium Commodity Trust</t>
        </is>
      </c>
      <c r="C8878" t="inlineStr">
        <is>
          <t>NYSE</t>
        </is>
      </c>
      <c r="D8878" t="n">
        <v>1471824</v>
      </c>
      <c r="E8878" t="inlineStr">
        <is>
          <t>SEC</t>
        </is>
      </c>
    </row>
    <row r="8879">
      <c r="A8879" s="5">
        <f>HYPERLINK("https://finance.yahoo.com/quote/SOYB","SOYB")</f>
        <v/>
      </c>
      <c r="B8879" t="inlineStr">
        <is>
          <t>Teucrium Commodity Trust</t>
        </is>
      </c>
      <c r="C8879" t="inlineStr">
        <is>
          <t>NYSE</t>
        </is>
      </c>
      <c r="D8879" t="n">
        <v>1471824</v>
      </c>
      <c r="E8879" t="inlineStr">
        <is>
          <t>SEC</t>
        </is>
      </c>
    </row>
    <row r="8880">
      <c r="A8880" s="5">
        <f>HYPERLINK("https://finance.yahoo.com/quote/TAGS","TAGS")</f>
        <v/>
      </c>
      <c r="B8880" t="inlineStr">
        <is>
          <t>Teucrium Commodity Trust</t>
        </is>
      </c>
      <c r="C8880" t="inlineStr">
        <is>
          <t>NYSE</t>
        </is>
      </c>
      <c r="D8880" t="n">
        <v>1471824</v>
      </c>
      <c r="E8880" t="inlineStr">
        <is>
          <t>SEC</t>
        </is>
      </c>
    </row>
    <row r="8881">
      <c r="A8881" s="5">
        <f>HYPERLINK("https://finance.yahoo.com/quote/WEAT","WEAT")</f>
        <v/>
      </c>
      <c r="B8881" t="inlineStr">
        <is>
          <t>Teucrium Commodity Trust</t>
        </is>
      </c>
      <c r="C8881" t="inlineStr">
        <is>
          <t>NYSE</t>
        </is>
      </c>
      <c r="D8881" t="n">
        <v>1471824</v>
      </c>
      <c r="E8881" t="inlineStr">
        <is>
          <t>SEC</t>
        </is>
      </c>
    </row>
    <row r="8882">
      <c r="A8882" s="5">
        <f>HYPERLINK("https://finance.yahoo.com/quote/JTGLF","JTGLF")</f>
        <v/>
      </c>
      <c r="B8882" t="inlineStr">
        <is>
          <t>Citibank,N.A./ADR</t>
        </is>
      </c>
      <c r="C8882" t="inlineStr">
        <is>
          <t>OTC</t>
        </is>
      </c>
      <c r="D8882" t="n">
        <v>1472033</v>
      </c>
      <c r="E8882" t="inlineStr">
        <is>
          <t>SEC</t>
        </is>
      </c>
    </row>
    <row r="8883">
      <c r="A8883" s="5">
        <f>HYPERLINK("https://finance.yahoo.com/quote/WCPRF","WCPRF")</f>
        <v/>
      </c>
      <c r="B8883" t="inlineStr">
        <is>
          <t>WHITECAP RESOURCES INC.</t>
        </is>
      </c>
      <c r="C8883" t="inlineStr">
        <is>
          <t>OTC</t>
        </is>
      </c>
      <c r="D8883" t="n">
        <v>1472879</v>
      </c>
      <c r="E8883" t="inlineStr">
        <is>
          <t>SEC</t>
        </is>
      </c>
    </row>
    <row r="8884">
      <c r="A8884" s="5">
        <f>HYPERLINK("https://finance.yahoo.com/quote/PEB-PG","PEB-PG")</f>
        <v/>
      </c>
      <c r="B8884" t="inlineStr">
        <is>
          <t>Pebblebrook Hotel Trust</t>
        </is>
      </c>
      <c r="C8884" t="inlineStr">
        <is>
          <t>NYSE</t>
        </is>
      </c>
      <c r="D8884" t="n">
        <v>1474098</v>
      </c>
      <c r="E8884" t="inlineStr">
        <is>
          <t>SEC</t>
        </is>
      </c>
    </row>
    <row r="8885">
      <c r="A8885" s="5">
        <f>HYPERLINK("https://finance.yahoo.com/quote/PEB-PH","PEB-PH")</f>
        <v/>
      </c>
      <c r="B8885" t="inlineStr">
        <is>
          <t>Pebblebrook Hotel Trust</t>
        </is>
      </c>
      <c r="C8885" t="inlineStr">
        <is>
          <t>NYSE</t>
        </is>
      </c>
      <c r="D8885" t="n">
        <v>1474098</v>
      </c>
      <c r="E8885" t="inlineStr">
        <is>
          <t>SEC</t>
        </is>
      </c>
    </row>
    <row r="8886">
      <c r="A8886" s="5">
        <f>HYPERLINK("https://finance.yahoo.com/quote/CLDT-PA","CLDT-PA")</f>
        <v/>
      </c>
      <c r="B8886" t="inlineStr">
        <is>
          <t>Chatham Lodging Trust</t>
        </is>
      </c>
      <c r="C8886" t="inlineStr">
        <is>
          <t>NYSE</t>
        </is>
      </c>
      <c r="D8886" t="n">
        <v>1476045</v>
      </c>
      <c r="E8886" t="inlineStr">
        <is>
          <t>SEC</t>
        </is>
      </c>
    </row>
    <row r="8887">
      <c r="A8887" s="5">
        <f>HYPERLINK("https://finance.yahoo.com/quote/CPER","CPER")</f>
        <v/>
      </c>
      <c r="B8887" t="inlineStr">
        <is>
          <t>United States Commodity Index Funds Trust</t>
        </is>
      </c>
      <c r="C8887" t="inlineStr">
        <is>
          <t>NYSE</t>
        </is>
      </c>
      <c r="D8887" t="n">
        <v>1479247</v>
      </c>
      <c r="E8887" t="inlineStr">
        <is>
          <t>SEC</t>
        </is>
      </c>
    </row>
    <row r="8888">
      <c r="A8888" s="5">
        <f>HYPERLINK("https://finance.yahoo.com/quote/HPP-PC","HPP-PC")</f>
        <v/>
      </c>
      <c r="B8888" t="inlineStr">
        <is>
          <t>Hudson Pacific Properties, Inc.</t>
        </is>
      </c>
      <c r="C8888" t="inlineStr">
        <is>
          <t>NYSE</t>
        </is>
      </c>
      <c r="D8888" t="n">
        <v>1482512</v>
      </c>
      <c r="E8888" t="inlineStr">
        <is>
          <t>SEC</t>
        </is>
      </c>
    </row>
    <row r="8889">
      <c r="A8889" s="5">
        <f>HYPERLINK("https://finance.yahoo.com/quote/BNCWW","BNCWW")</f>
        <v/>
      </c>
      <c r="B8889" t="inlineStr">
        <is>
          <t>BNB Standard Corp</t>
        </is>
      </c>
      <c r="C8889" t="inlineStr">
        <is>
          <t>Nasdaq</t>
        </is>
      </c>
      <c r="D8889" t="n">
        <v>1482541</v>
      </c>
      <c r="E8889" t="inlineStr">
        <is>
          <t>SEC</t>
        </is>
      </c>
    </row>
    <row r="8890">
      <c r="A8890" s="5">
        <f>HYPERLINK("https://finance.yahoo.com/quote/BNCWZ","BNCWZ")</f>
        <v/>
      </c>
      <c r="B8890" t="inlineStr">
        <is>
          <t>BNB Standard Corp</t>
        </is>
      </c>
      <c r="C8890" t="inlineStr">
        <is>
          <t>Nasdaq</t>
        </is>
      </c>
      <c r="D8890" t="n">
        <v>1482541</v>
      </c>
      <c r="E8890" t="inlineStr">
        <is>
          <t>SEC</t>
        </is>
      </c>
    </row>
    <row r="8891">
      <c r="A8891" s="5">
        <f>HYPERLINK("https://finance.yahoo.com/quote/HWLDF","HWLDF")</f>
        <v/>
      </c>
      <c r="B8891" t="inlineStr">
        <is>
          <t>H World Group Ltd</t>
        </is>
      </c>
      <c r="C8891" t="inlineStr">
        <is>
          <t>OTC</t>
        </is>
      </c>
      <c r="D8891" t="n">
        <v>1483994</v>
      </c>
      <c r="E8891" t="inlineStr">
        <is>
          <t>SEC</t>
        </is>
      </c>
    </row>
    <row r="8892">
      <c r="A8892" s="5">
        <f>HYPERLINK("https://finance.yahoo.com/quote/SKLTF","SKLTF")</f>
        <v/>
      </c>
      <c r="B8892" t="inlineStr">
        <is>
          <t>Seek Ltd</t>
        </is>
      </c>
      <c r="C8892" t="inlineStr">
        <is>
          <t>OTC</t>
        </is>
      </c>
      <c r="D8892" t="n">
        <v>1487139</v>
      </c>
      <c r="E8892" t="inlineStr">
        <is>
          <t>SEC</t>
        </is>
      </c>
    </row>
    <row r="8893">
      <c r="A8893" s="5">
        <f>HYPERLINK("https://finance.yahoo.com/quote/HTFC","HTFC")</f>
        <v/>
      </c>
      <c r="B8893" t="inlineStr">
        <is>
          <t>Horizon Technology Finance Corp</t>
        </is>
      </c>
      <c r="C8893" t="inlineStr">
        <is>
          <t>NYSE</t>
        </is>
      </c>
      <c r="D8893" t="n">
        <v>1487428</v>
      </c>
      <c r="E8893" t="inlineStr">
        <is>
          <t>SEC</t>
        </is>
      </c>
    </row>
    <row r="8894">
      <c r="A8894" s="5">
        <f>HYPERLINK("https://finance.yahoo.com/quote/OFSSH","OFSSH")</f>
        <v/>
      </c>
      <c r="B8894" t="inlineStr">
        <is>
          <t>OFS Capital Corp</t>
        </is>
      </c>
      <c r="C8894" t="inlineStr">
        <is>
          <t>Nasdaq</t>
        </is>
      </c>
      <c r="D8894" t="n">
        <v>1487918</v>
      </c>
      <c r="E8894" t="inlineStr">
        <is>
          <t>SEC</t>
        </is>
      </c>
    </row>
    <row r="8895">
      <c r="A8895" s="5">
        <f>HYPERLINK("https://finance.yahoo.com/quote/OFSSO","OFSSO")</f>
        <v/>
      </c>
      <c r="B8895" t="inlineStr">
        <is>
          <t>OFS Capital Corp</t>
        </is>
      </c>
      <c r="C8895" t="inlineStr">
        <is>
          <t>Nasdaq</t>
        </is>
      </c>
      <c r="D8895" t="n">
        <v>1487918</v>
      </c>
      <c r="E8895" t="inlineStr">
        <is>
          <t>SEC</t>
        </is>
      </c>
    </row>
    <row r="8896">
      <c r="A8896" s="5">
        <f>HYPERLINK("https://finance.yahoo.com/quote/CUBB","CUBB")</f>
        <v/>
      </c>
      <c r="B8896" t="inlineStr">
        <is>
          <t>Customers Bancorp, Inc.</t>
        </is>
      </c>
      <c r="C8896" t="inlineStr">
        <is>
          <t>NYSE</t>
        </is>
      </c>
      <c r="D8896" t="n">
        <v>1488813</v>
      </c>
      <c r="E8896" t="inlineStr">
        <is>
          <t>SEC</t>
        </is>
      </c>
    </row>
    <row r="8897">
      <c r="A8897" s="5">
        <f>HYPERLINK("https://finance.yahoo.com/quote/PBATF","PBATF")</f>
        <v/>
      </c>
      <c r="B8897" t="inlineStr">
        <is>
          <t>PT Bukit Asam Tbk/ADR</t>
        </is>
      </c>
      <c r="C8897" t="inlineStr">
        <is>
          <t>OTC</t>
        </is>
      </c>
      <c r="D8897" t="n">
        <v>1489088</v>
      </c>
      <c r="E8897" t="inlineStr">
        <is>
          <t>SEC</t>
        </is>
      </c>
    </row>
    <row r="8898">
      <c r="A8898" s="5">
        <f>HYPERLINK("https://finance.yahoo.com/quote/FRSPF","FRSPF")</f>
        <v/>
      </c>
      <c r="B8898" t="inlineStr">
        <is>
          <t>First Phosphate Corp.</t>
        </is>
      </c>
      <c r="C8898" t="inlineStr">
        <is>
          <t>OTC</t>
        </is>
      </c>
      <c r="D8898" t="n">
        <v>1490078</v>
      </c>
      <c r="E8898" t="inlineStr">
        <is>
          <t>SEC</t>
        </is>
      </c>
    </row>
    <row r="8899">
      <c r="A8899" s="5">
        <f>HYPERLINK("https://finance.yahoo.com/quote/PFXNZ","PFXNZ")</f>
        <v/>
      </c>
      <c r="B8899" t="inlineStr">
        <is>
          <t>PhenixFIN Corp</t>
        </is>
      </c>
      <c r="C8899" t="inlineStr">
        <is>
          <t>Nasdaq</t>
        </is>
      </c>
      <c r="D8899" t="n">
        <v>1490349</v>
      </c>
      <c r="E8899" t="inlineStr">
        <is>
          <t>SEC</t>
        </is>
      </c>
    </row>
    <row r="8900">
      <c r="A8900" s="5">
        <f>HYPERLINK("https://finance.yahoo.com/quote/SFDMF","SFDMF")</f>
        <v/>
      </c>
      <c r="B8900" t="inlineStr">
        <is>
          <t>Shanghai Fudan Microelectronics Co Limited/ADR/</t>
        </is>
      </c>
      <c r="C8900" t="inlineStr">
        <is>
          <t>OTC</t>
        </is>
      </c>
      <c r="D8900" t="n">
        <v>1493507</v>
      </c>
      <c r="E8900" t="inlineStr">
        <is>
          <t>SEC</t>
        </is>
      </c>
    </row>
    <row r="8901">
      <c r="A8901" s="5">
        <f>HYPERLINK("https://finance.yahoo.com/quote/KRNGF","KRNGF")</f>
        <v/>
      </c>
      <c r="B8901" t="inlineStr">
        <is>
          <t>Karoon Gas Australia Ltd /ADR/</t>
        </is>
      </c>
      <c r="C8901" t="inlineStr">
        <is>
          <t>OTC</t>
        </is>
      </c>
      <c r="D8901" t="n">
        <v>1494191</v>
      </c>
      <c r="E8901" t="inlineStr">
        <is>
          <t>SEC</t>
        </is>
      </c>
    </row>
    <row r="8902">
      <c r="A8902" s="5">
        <f>HYPERLINK("https://finance.yahoo.com/quote/OXLCG","OXLCG")</f>
        <v/>
      </c>
      <c r="B8902" t="inlineStr">
        <is>
          <t>Oxford Lane Capital Corp.</t>
        </is>
      </c>
      <c r="C8902" t="inlineStr">
        <is>
          <t>Nasdaq</t>
        </is>
      </c>
      <c r="D8902" t="n">
        <v>1495222</v>
      </c>
      <c r="E8902" t="inlineStr">
        <is>
          <t>SEC</t>
        </is>
      </c>
    </row>
    <row r="8903">
      <c r="A8903" s="5">
        <f>HYPERLINK("https://finance.yahoo.com/quote/OXLCI","OXLCI")</f>
        <v/>
      </c>
      <c r="B8903" t="inlineStr">
        <is>
          <t>Oxford Lane Capital Corp.</t>
        </is>
      </c>
      <c r="C8903" t="inlineStr">
        <is>
          <t>Nasdaq</t>
        </is>
      </c>
      <c r="D8903" t="n">
        <v>1495222</v>
      </c>
      <c r="E8903" t="inlineStr">
        <is>
          <t>SEC</t>
        </is>
      </c>
    </row>
    <row r="8904">
      <c r="A8904" s="5">
        <f>HYPERLINK("https://finance.yahoo.com/quote/OXLCL","OXLCL")</f>
        <v/>
      </c>
      <c r="B8904" t="inlineStr">
        <is>
          <t>Oxford Lane Capital Corp.</t>
        </is>
      </c>
      <c r="C8904" t="inlineStr">
        <is>
          <t>Nasdaq</t>
        </is>
      </c>
      <c r="D8904" t="n">
        <v>1495222</v>
      </c>
      <c r="E8904" t="inlineStr">
        <is>
          <t>SEC</t>
        </is>
      </c>
    </row>
    <row r="8905">
      <c r="A8905" s="5">
        <f>HYPERLINK("https://finance.yahoo.com/quote/OXLCN","OXLCN")</f>
        <v/>
      </c>
      <c r="B8905" t="inlineStr">
        <is>
          <t>Oxford Lane Capital Corp.</t>
        </is>
      </c>
      <c r="C8905" t="inlineStr">
        <is>
          <t>Nasdaq</t>
        </is>
      </c>
      <c r="D8905" t="n">
        <v>1495222</v>
      </c>
      <c r="E8905" t="inlineStr">
        <is>
          <t>SEC</t>
        </is>
      </c>
    </row>
    <row r="8906">
      <c r="A8906" s="5">
        <f>HYPERLINK("https://finance.yahoo.com/quote/OXLCZ","OXLCZ")</f>
        <v/>
      </c>
      <c r="B8906" t="inlineStr">
        <is>
          <t>Oxford Lane Capital Corp.</t>
        </is>
      </c>
      <c r="C8906" t="inlineStr">
        <is>
          <t>Nasdaq</t>
        </is>
      </c>
      <c r="D8906" t="n">
        <v>1495222</v>
      </c>
      <c r="E8906" t="inlineStr">
        <is>
          <t>SEC</t>
        </is>
      </c>
    </row>
    <row r="8907">
      <c r="A8907" s="5">
        <f>HYPERLINK("https://finance.yahoo.com/quote/LANDO","LANDO")</f>
        <v/>
      </c>
      <c r="B8907" t="inlineStr">
        <is>
          <t>GLADSTONE LAND Corp</t>
        </is>
      </c>
      <c r="C8907" t="inlineStr">
        <is>
          <t>Nasdaq</t>
        </is>
      </c>
      <c r="D8907" t="n">
        <v>1495240</v>
      </c>
      <c r="E8907" t="inlineStr">
        <is>
          <t>SEC</t>
        </is>
      </c>
    </row>
    <row r="8908">
      <c r="A8908" s="5">
        <f>HYPERLINK("https://finance.yahoo.com/quote/NMFCZ","NMFCZ")</f>
        <v/>
      </c>
      <c r="B8908" t="inlineStr">
        <is>
          <t>New Mountain Finance Corp</t>
        </is>
      </c>
      <c r="C8908" t="inlineStr">
        <is>
          <t>Nasdaq</t>
        </is>
      </c>
      <c r="D8908" t="n">
        <v>1496099</v>
      </c>
      <c r="E8908" t="inlineStr">
        <is>
          <t>SEC</t>
        </is>
      </c>
    </row>
    <row r="8909">
      <c r="A8909" s="5">
        <f>HYPERLINK("https://finance.yahoo.com/quote/LTAFX","LTAFX")</f>
        <v/>
      </c>
      <c r="B8909" t="inlineStr">
        <is>
          <t>Alternative Strategies Income Fund</t>
        </is>
      </c>
      <c r="C8909" t="inlineStr"/>
      <c r="D8909" t="n">
        <v>1496254</v>
      </c>
      <c r="E8909" t="inlineStr">
        <is>
          <t>SEC</t>
        </is>
      </c>
    </row>
    <row r="8910">
      <c r="A8910" s="5">
        <f>HYPERLINK("https://finance.yahoo.com/quote/LTCFX","LTCFX")</f>
        <v/>
      </c>
      <c r="B8910" t="inlineStr">
        <is>
          <t>Alternative Strategies Income Fund</t>
        </is>
      </c>
      <c r="C8910" t="inlineStr"/>
      <c r="D8910" t="n">
        <v>1496254</v>
      </c>
      <c r="E8910" t="inlineStr">
        <is>
          <t>SEC</t>
        </is>
      </c>
    </row>
    <row r="8911">
      <c r="A8911" s="5">
        <f>HYPERLINK("https://finance.yahoo.com/quote/INN-PE","INN-PE")</f>
        <v/>
      </c>
      <c r="B8911" t="inlineStr">
        <is>
          <t>Summit Hotel Properties, Inc.</t>
        </is>
      </c>
      <c r="C8911" t="inlineStr">
        <is>
          <t>NYSE</t>
        </is>
      </c>
      <c r="D8911" t="n">
        <v>1497645</v>
      </c>
      <c r="E8911" t="inlineStr">
        <is>
          <t>SEC</t>
        </is>
      </c>
    </row>
    <row r="8912">
      <c r="A8912" s="5">
        <f>HYPERLINK("https://finance.yahoo.com/quote/INN-PF","INN-PF")</f>
        <v/>
      </c>
      <c r="B8912" t="inlineStr">
        <is>
          <t>Summit Hotel Properties, Inc.</t>
        </is>
      </c>
      <c r="C8912" t="inlineStr">
        <is>
          <t>NYSE</t>
        </is>
      </c>
      <c r="D8912" t="n">
        <v>1497645</v>
      </c>
      <c r="E8912" t="inlineStr">
        <is>
          <t>SEC</t>
        </is>
      </c>
    </row>
    <row r="8913">
      <c r="A8913" s="5">
        <f>HYPERLINK("https://finance.yahoo.com/quote/RIV-PA","RIV-PA")</f>
        <v/>
      </c>
      <c r="B8913" t="inlineStr">
        <is>
          <t>RIVERNORTH OPPORTUNITIES FUND, INC.</t>
        </is>
      </c>
      <c r="C8913" t="inlineStr">
        <is>
          <t>NYSE</t>
        </is>
      </c>
      <c r="D8913" t="n">
        <v>1501072</v>
      </c>
      <c r="E8913" t="inlineStr">
        <is>
          <t>SEC</t>
        </is>
      </c>
    </row>
    <row r="8914">
      <c r="A8914" s="5">
        <f>HYPERLINK("https://finance.yahoo.com/quote/PRHIZ","PRHIZ")</f>
        <v/>
      </c>
      <c r="B8914" t="inlineStr">
        <is>
          <t>Presurance Holdings, Inc.</t>
        </is>
      </c>
      <c r="C8914" t="inlineStr">
        <is>
          <t>Nasdaq</t>
        </is>
      </c>
      <c r="D8914" t="n">
        <v>1502292</v>
      </c>
      <c r="E8914" t="inlineStr">
        <is>
          <t>SEC</t>
        </is>
      </c>
    </row>
    <row r="8915">
      <c r="A8915" s="5">
        <f>HYPERLINK("https://finance.yahoo.com/quote/ACP-PA","ACP-PA")</f>
        <v/>
      </c>
      <c r="B8915" t="inlineStr">
        <is>
          <t>abrdn Income Credit Strategies Fund</t>
        </is>
      </c>
      <c r="C8915" t="inlineStr">
        <is>
          <t>NYSE</t>
        </is>
      </c>
      <c r="D8915" t="n">
        <v>1503290</v>
      </c>
      <c r="E8915" t="inlineStr">
        <is>
          <t>SEC</t>
        </is>
      </c>
    </row>
    <row r="8916">
      <c r="A8916" s="5">
        <f>HYPERLINK("https://finance.yahoo.com/quote/CMRE-PB","CMRE-PB")</f>
        <v/>
      </c>
      <c r="B8916" t="inlineStr">
        <is>
          <t>Costamare Inc.</t>
        </is>
      </c>
      <c r="C8916" t="inlineStr">
        <is>
          <t>NYSE</t>
        </is>
      </c>
      <c r="D8916" t="n">
        <v>1503584</v>
      </c>
      <c r="E8916" t="inlineStr">
        <is>
          <t>SEC</t>
        </is>
      </c>
    </row>
    <row r="8917">
      <c r="A8917" s="5">
        <f>HYPERLINK("https://finance.yahoo.com/quote/CMRE-PD","CMRE-PD")</f>
        <v/>
      </c>
      <c r="B8917" t="inlineStr">
        <is>
          <t>Costamare Inc.</t>
        </is>
      </c>
      <c r="C8917" t="inlineStr">
        <is>
          <t>NYSE</t>
        </is>
      </c>
      <c r="D8917" t="n">
        <v>1503584</v>
      </c>
      <c r="E8917" t="inlineStr">
        <is>
          <t>SEC</t>
        </is>
      </c>
    </row>
    <row r="8918">
      <c r="A8918" s="5">
        <f>HYPERLINK("https://finance.yahoo.com/quote/PRBZF","PRBZF")</f>
        <v/>
      </c>
      <c r="B8918" t="inlineStr">
        <is>
          <t>PREMIUM BRANDS HOLDINGS Corp</t>
        </is>
      </c>
      <c r="C8918" t="inlineStr">
        <is>
          <t>OTC</t>
        </is>
      </c>
      <c r="D8918" t="n">
        <v>1503812</v>
      </c>
      <c r="E8918" t="inlineStr">
        <is>
          <t>SEC</t>
        </is>
      </c>
    </row>
    <row r="8919">
      <c r="A8919" s="5">
        <f>HYPERLINK("https://finance.yahoo.com/quote/NGL-PB","NGL-PB")</f>
        <v/>
      </c>
      <c r="B8919" t="inlineStr">
        <is>
          <t>NGL Energy Partners LP</t>
        </is>
      </c>
      <c r="C8919" t="inlineStr">
        <is>
          <t>NYSE</t>
        </is>
      </c>
      <c r="D8919" t="n">
        <v>1504461</v>
      </c>
      <c r="E8919" t="inlineStr">
        <is>
          <t>SEC</t>
        </is>
      </c>
    </row>
    <row r="8920">
      <c r="A8920" s="5">
        <f>HYPERLINK("https://finance.yahoo.com/quote/PFLA","PFLA")</f>
        <v/>
      </c>
      <c r="B8920" t="inlineStr">
        <is>
          <t>PennantPark Floating Rate Capital Ltd.</t>
        </is>
      </c>
      <c r="C8920" t="inlineStr">
        <is>
          <t>NYSE</t>
        </is>
      </c>
      <c r="D8920" t="n">
        <v>1504619</v>
      </c>
      <c r="E8920" t="inlineStr">
        <is>
          <t>SEC</t>
        </is>
      </c>
    </row>
    <row r="8921">
      <c r="A8921" s="5">
        <f>HYPERLINK("https://finance.yahoo.com/quote/PNDZF","PNDZF")</f>
        <v/>
      </c>
      <c r="B8921" t="inlineStr">
        <is>
          <t>Pandora A/S / ADR</t>
        </is>
      </c>
      <c r="C8921" t="inlineStr">
        <is>
          <t>OTC</t>
        </is>
      </c>
      <c r="D8921" t="n">
        <v>1505880</v>
      </c>
      <c r="E8921" t="inlineStr">
        <is>
          <t>SEC</t>
        </is>
      </c>
    </row>
    <row r="8922">
      <c r="A8922" s="5">
        <f>HYPERLINK("https://finance.yahoo.com/quote/EP-PC","EP-PC")</f>
        <v/>
      </c>
      <c r="B8922" t="inlineStr">
        <is>
          <t>KINDER MORGAN, INC.</t>
        </is>
      </c>
      <c r="C8922" t="inlineStr">
        <is>
          <t>NYSE</t>
        </is>
      </c>
      <c r="D8922" t="n">
        <v>1506307</v>
      </c>
      <c r="E8922" t="inlineStr">
        <is>
          <t>SEC</t>
        </is>
      </c>
    </row>
    <row r="8923">
      <c r="A8923" s="5">
        <f>HYPERLINK("https://finance.yahoo.com/quote/BAFBF","BAFBF")</f>
        <v/>
      </c>
      <c r="B8923" t="inlineStr">
        <is>
          <t>Balfour Beatty plc/ADR</t>
        </is>
      </c>
      <c r="C8923" t="inlineStr">
        <is>
          <t>OTC</t>
        </is>
      </c>
      <c r="D8923" t="n">
        <v>1506721</v>
      </c>
      <c r="E8923" t="inlineStr">
        <is>
          <t>SEC</t>
        </is>
      </c>
    </row>
    <row r="8924">
      <c r="A8924" s="5">
        <f>HYPERLINK("https://finance.yahoo.com/quote/LOMWF","LOMWF")</f>
        <v/>
      </c>
      <c r="B8924" t="inlineStr">
        <is>
          <t>Lion One Metals Ltd.</t>
        </is>
      </c>
      <c r="C8924" t="inlineStr">
        <is>
          <t>OTC</t>
        </is>
      </c>
      <c r="D8924" t="n">
        <v>1509397</v>
      </c>
      <c r="E8924" t="inlineStr">
        <is>
          <t>SEC</t>
        </is>
      </c>
    </row>
    <row r="8925">
      <c r="A8925" s="5">
        <f>HYPERLINK("https://finance.yahoo.com/quote/NSLRL","NSLRL")</f>
        <v/>
      </c>
      <c r="B8925" t="inlineStr">
        <is>
          <t>Neostellar Capital Corp.</t>
        </is>
      </c>
      <c r="C8925" t="inlineStr">
        <is>
          <t>Nasdaq</t>
        </is>
      </c>
      <c r="D8925" t="n">
        <v>1509470</v>
      </c>
      <c r="E8925" t="inlineStr">
        <is>
          <t>SEC</t>
        </is>
      </c>
    </row>
    <row r="8926">
      <c r="A8926" s="5">
        <f>HYPERLINK("https://finance.yahoo.com/quote/NASC","NASC")</f>
        <v/>
      </c>
      <c r="B8926" t="inlineStr">
        <is>
          <t>Can B Corp</t>
        </is>
      </c>
      <c r="C8926" t="inlineStr">
        <is>
          <t>OTC</t>
        </is>
      </c>
      <c r="D8926" t="n">
        <v>1509957</v>
      </c>
      <c r="E8926" t="inlineStr">
        <is>
          <t>SEC</t>
        </is>
      </c>
    </row>
    <row r="8927">
      <c r="A8927" s="5">
        <f>HYPERLINK("https://finance.yahoo.com/quote/NIOBW","NIOBW")</f>
        <v/>
      </c>
      <c r="B8927" t="inlineStr">
        <is>
          <t>NIOCORP DEVELOPMENTS LTD</t>
        </is>
      </c>
      <c r="C8927" t="inlineStr">
        <is>
          <t>Nasdaq</t>
        </is>
      </c>
      <c r="D8927" t="n">
        <v>1512228</v>
      </c>
      <c r="E8927" t="inlineStr">
        <is>
          <t>SEC</t>
        </is>
      </c>
    </row>
    <row r="8928">
      <c r="A8928" s="5">
        <f>HYPERLINK("https://finance.yahoo.com/quote/MITN","MITN")</f>
        <v/>
      </c>
      <c r="B8928" t="inlineStr">
        <is>
          <t>TPG Mortgage Investment Trust, Inc.</t>
        </is>
      </c>
      <c r="C8928" t="inlineStr">
        <is>
          <t>NYSE</t>
        </is>
      </c>
      <c r="D8928" t="n">
        <v>1514281</v>
      </c>
      <c r="E8928" t="inlineStr">
        <is>
          <t>SEC</t>
        </is>
      </c>
    </row>
    <row r="8929">
      <c r="A8929" s="5">
        <f>HYPERLINK("https://finance.yahoo.com/quote/MITP","MITP")</f>
        <v/>
      </c>
      <c r="B8929" t="inlineStr">
        <is>
          <t>TPG Mortgage Investment Trust, Inc.</t>
        </is>
      </c>
      <c r="C8929" t="inlineStr">
        <is>
          <t>NYSE</t>
        </is>
      </c>
      <c r="D8929" t="n">
        <v>1514281</v>
      </c>
      <c r="E8929" t="inlineStr">
        <is>
          <t>SEC</t>
        </is>
      </c>
    </row>
    <row r="8930">
      <c r="A8930" s="5">
        <f>HYPERLINK("https://finance.yahoo.com/quote/MITT-PA","MITT-PA")</f>
        <v/>
      </c>
      <c r="B8930" t="inlineStr">
        <is>
          <t>TPG Mortgage Investment Trust, Inc.</t>
        </is>
      </c>
      <c r="C8930" t="inlineStr">
        <is>
          <t>NYSE</t>
        </is>
      </c>
      <c r="D8930" t="n">
        <v>1514281</v>
      </c>
      <c r="E8930" t="inlineStr">
        <is>
          <t>SEC</t>
        </is>
      </c>
    </row>
    <row r="8931">
      <c r="A8931" s="5">
        <f>HYPERLINK("https://finance.yahoo.com/quote/MITT-PB","MITT-PB")</f>
        <v/>
      </c>
      <c r="B8931" t="inlineStr">
        <is>
          <t>TPG Mortgage Investment Trust, Inc.</t>
        </is>
      </c>
      <c r="C8931" t="inlineStr">
        <is>
          <t>NYSE</t>
        </is>
      </c>
      <c r="D8931" t="n">
        <v>1514281</v>
      </c>
      <c r="E8931" t="inlineStr">
        <is>
          <t>SEC</t>
        </is>
      </c>
    </row>
    <row r="8932">
      <c r="A8932" s="5">
        <f>HYPERLINK("https://finance.yahoo.com/quote/MITT-PC","MITT-PC")</f>
        <v/>
      </c>
      <c r="B8932" t="inlineStr">
        <is>
          <t>TPG Mortgage Investment Trust, Inc.</t>
        </is>
      </c>
      <c r="C8932" t="inlineStr">
        <is>
          <t>NYSE</t>
        </is>
      </c>
      <c r="D8932" t="n">
        <v>1514281</v>
      </c>
      <c r="E8932" t="inlineStr">
        <is>
          <t>SEC</t>
        </is>
      </c>
    </row>
    <row r="8933">
      <c r="A8933" s="5">
        <f>HYPERLINK("https://finance.yahoo.com/quote/BCKIF","BCKIF")</f>
        <v/>
      </c>
      <c r="B8933" t="inlineStr">
        <is>
          <t>Babcock International Group PLC/ADR</t>
        </is>
      </c>
      <c r="C8933" t="inlineStr">
        <is>
          <t>OTC</t>
        </is>
      </c>
      <c r="D8933" t="n">
        <v>1516323</v>
      </c>
      <c r="E8933" t="inlineStr">
        <is>
          <t>SEC</t>
        </is>
      </c>
    </row>
    <row r="8934">
      <c r="A8934" s="5">
        <f>HYPERLINK("https://finance.yahoo.com/quote/BTDPF","BTDPF")</f>
        <v/>
      </c>
      <c r="B8934" t="inlineStr">
        <is>
          <t>Barratt Developments PLC/ADR</t>
        </is>
      </c>
      <c r="C8934" t="inlineStr">
        <is>
          <t>OTC</t>
        </is>
      </c>
      <c r="D8934" t="n">
        <v>1516324</v>
      </c>
      <c r="E8934" t="inlineStr">
        <is>
          <t>SEC</t>
        </is>
      </c>
    </row>
    <row r="8935">
      <c r="A8935" s="5">
        <f>HYPERLINK("https://finance.yahoo.com/quote/EDRVF","EDRVF")</f>
        <v/>
      </c>
      <c r="B8935" t="inlineStr">
        <is>
          <t>EDP Renewables S.A./ADR</t>
        </is>
      </c>
      <c r="C8935" t="inlineStr">
        <is>
          <t>OTC</t>
        </is>
      </c>
      <c r="D8935" t="n">
        <v>1516534</v>
      </c>
      <c r="E8935" t="inlineStr">
        <is>
          <t>SEC</t>
        </is>
      </c>
    </row>
    <row r="8936">
      <c r="A8936" s="5">
        <f>HYPERLINK("https://finance.yahoo.com/quote/MLSPF","MLSPF")</f>
        <v/>
      </c>
      <c r="B8936" t="inlineStr">
        <is>
          <t>Melrose Industries Plc/ADR</t>
        </is>
      </c>
      <c r="C8936" t="inlineStr">
        <is>
          <t>OTC</t>
        </is>
      </c>
      <c r="D8936" t="n">
        <v>1516535</v>
      </c>
      <c r="E8936" t="inlineStr">
        <is>
          <t>SEC</t>
        </is>
      </c>
    </row>
    <row r="8937">
      <c r="A8937" s="5">
        <f>HYPERLINK("https://finance.yahoo.com/quote/CCID","CCID")</f>
        <v/>
      </c>
      <c r="B8937" t="inlineStr">
        <is>
          <t>Carlyle Credit Income Fund</t>
        </is>
      </c>
      <c r="C8937" t="inlineStr">
        <is>
          <t>NYSE</t>
        </is>
      </c>
      <c r="D8937" t="n">
        <v>1517767</v>
      </c>
      <c r="E8937" t="inlineStr">
        <is>
          <t>SEC</t>
        </is>
      </c>
    </row>
    <row r="8938">
      <c r="A8938" s="5">
        <f>HYPERLINK("https://finance.yahoo.com/quote/AMPGZ","AMPGZ")</f>
        <v/>
      </c>
      <c r="B8938" t="inlineStr">
        <is>
          <t>AmpliTech Group, Inc.</t>
        </is>
      </c>
      <c r="C8938" t="inlineStr">
        <is>
          <t>Nasdaq</t>
        </is>
      </c>
      <c r="D8938" t="n">
        <v>1518461</v>
      </c>
      <c r="E8938" t="inlineStr">
        <is>
          <t>SEC</t>
        </is>
      </c>
    </row>
    <row r="8939">
      <c r="A8939" s="5">
        <f>HYPERLINK("https://finance.yahoo.com/quote/CTTRF","CTTRF")</f>
        <v/>
      </c>
      <c r="B8939" t="inlineStr">
        <is>
          <t>Controladora Vuela Compania de Aviacion, S.A.B. de C.V.</t>
        </is>
      </c>
      <c r="C8939" t="inlineStr">
        <is>
          <t>OTC</t>
        </is>
      </c>
      <c r="D8939" t="n">
        <v>1520504</v>
      </c>
      <c r="E8939" t="inlineStr">
        <is>
          <t>SEC</t>
        </is>
      </c>
    </row>
    <row r="8940">
      <c r="A8940" s="5">
        <f>HYPERLINK("https://finance.yahoo.com/quote/GNL-PA","GNL-PA")</f>
        <v/>
      </c>
      <c r="B8940" t="inlineStr">
        <is>
          <t>Global Net Lease, Inc.</t>
        </is>
      </c>
      <c r="C8940" t="inlineStr">
        <is>
          <t>NYSE</t>
        </is>
      </c>
      <c r="D8940" t="n">
        <v>1526113</v>
      </c>
      <c r="E8940" t="inlineStr">
        <is>
          <t>SEC</t>
        </is>
      </c>
    </row>
    <row r="8941">
      <c r="A8941" s="5">
        <f>HYPERLINK("https://finance.yahoo.com/quote/GNL-PB","GNL-PB")</f>
        <v/>
      </c>
      <c r="B8941" t="inlineStr">
        <is>
          <t>Global Net Lease, Inc.</t>
        </is>
      </c>
      <c r="C8941" t="inlineStr">
        <is>
          <t>NYSE</t>
        </is>
      </c>
      <c r="D8941" t="n">
        <v>1526113</v>
      </c>
      <c r="E8941" t="inlineStr">
        <is>
          <t>SEC</t>
        </is>
      </c>
    </row>
    <row r="8942">
      <c r="A8942" s="5">
        <f>HYPERLINK("https://finance.yahoo.com/quote/GNL-PD","GNL-PD")</f>
        <v/>
      </c>
      <c r="B8942" t="inlineStr">
        <is>
          <t>Global Net Lease, Inc.</t>
        </is>
      </c>
      <c r="C8942" t="inlineStr">
        <is>
          <t>NYSE</t>
        </is>
      </c>
      <c r="D8942" t="n">
        <v>1526113</v>
      </c>
      <c r="E8942" t="inlineStr">
        <is>
          <t>SEC</t>
        </is>
      </c>
    </row>
    <row r="8943">
      <c r="A8943" s="5">
        <f>HYPERLINK("https://finance.yahoo.com/quote/GNL-PE","GNL-PE")</f>
        <v/>
      </c>
      <c r="B8943" t="inlineStr">
        <is>
          <t>Global Net Lease, Inc.</t>
        </is>
      </c>
      <c r="C8943" t="inlineStr">
        <is>
          <t>NYSE</t>
        </is>
      </c>
      <c r="D8943" t="n">
        <v>1526113</v>
      </c>
      <c r="E8943" t="inlineStr">
        <is>
          <t>SEC</t>
        </is>
      </c>
    </row>
    <row r="8944">
      <c r="A8944" s="5">
        <f>HYPERLINK("https://finance.yahoo.com/quote/GDHLF","GDHLF")</f>
        <v/>
      </c>
      <c r="B8944" t="inlineStr">
        <is>
          <t>GDS Holdings Ltd</t>
        </is>
      </c>
      <c r="C8944" t="inlineStr">
        <is>
          <t>OTC</t>
        </is>
      </c>
      <c r="D8944" t="n">
        <v>1526125</v>
      </c>
      <c r="E8944" t="inlineStr">
        <is>
          <t>SEC</t>
        </is>
      </c>
    </row>
    <row r="8945">
      <c r="A8945" s="5">
        <f>HYPERLINK("https://finance.yahoo.com/quote/CGABL","CGABL")</f>
        <v/>
      </c>
      <c r="B8945" t="inlineStr">
        <is>
          <t>Carlyle Group Inc.</t>
        </is>
      </c>
      <c r="C8945" t="inlineStr">
        <is>
          <t>Nasdaq</t>
        </is>
      </c>
      <c r="D8945" t="n">
        <v>1527166</v>
      </c>
      <c r="E8945" t="inlineStr">
        <is>
          <t>SEC</t>
        </is>
      </c>
    </row>
    <row r="8946">
      <c r="A8946" s="5">
        <f>HYPERLINK("https://finance.yahoo.com/quote/ATH-PA","ATH-PA")</f>
        <v/>
      </c>
      <c r="B8946" t="inlineStr">
        <is>
          <t>Athene Holding Ltd.</t>
        </is>
      </c>
      <c r="C8946" t="inlineStr">
        <is>
          <t>NYSE</t>
        </is>
      </c>
      <c r="D8946" t="n">
        <v>1527469</v>
      </c>
      <c r="E8946" t="inlineStr">
        <is>
          <t>SEC</t>
        </is>
      </c>
    </row>
    <row r="8947">
      <c r="A8947" s="5">
        <f>HYPERLINK("https://finance.yahoo.com/quote/ATH-PB","ATH-PB")</f>
        <v/>
      </c>
      <c r="B8947" t="inlineStr">
        <is>
          <t>Athene Holding Ltd.</t>
        </is>
      </c>
      <c r="C8947" t="inlineStr">
        <is>
          <t>NYSE</t>
        </is>
      </c>
      <c r="D8947" t="n">
        <v>1527469</v>
      </c>
      <c r="E8947" t="inlineStr">
        <is>
          <t>SEC</t>
        </is>
      </c>
    </row>
    <row r="8948">
      <c r="A8948" s="5">
        <f>HYPERLINK("https://finance.yahoo.com/quote/ATH-PD","ATH-PD")</f>
        <v/>
      </c>
      <c r="B8948" t="inlineStr">
        <is>
          <t>Athene Holding Ltd.</t>
        </is>
      </c>
      <c r="C8948" t="inlineStr">
        <is>
          <t>NYSE</t>
        </is>
      </c>
      <c r="D8948" t="n">
        <v>1527469</v>
      </c>
      <c r="E8948" t="inlineStr">
        <is>
          <t>SEC</t>
        </is>
      </c>
    </row>
    <row r="8949">
      <c r="A8949" s="5">
        <f>HYPERLINK("https://finance.yahoo.com/quote/ATH-PE","ATH-PE")</f>
        <v/>
      </c>
      <c r="B8949" t="inlineStr">
        <is>
          <t>Athene Holding Ltd.</t>
        </is>
      </c>
      <c r="C8949" t="inlineStr">
        <is>
          <t>NYSE</t>
        </is>
      </c>
      <c r="D8949" t="n">
        <v>1527469</v>
      </c>
      <c r="E8949" t="inlineStr">
        <is>
          <t>SEC</t>
        </is>
      </c>
    </row>
    <row r="8950">
      <c r="A8950" s="5">
        <f>HYPERLINK("https://finance.yahoo.com/quote/ATHS","ATHS")</f>
        <v/>
      </c>
      <c r="B8950" t="inlineStr">
        <is>
          <t>Athene Holding Ltd.</t>
        </is>
      </c>
      <c r="C8950" t="inlineStr">
        <is>
          <t>NYSE</t>
        </is>
      </c>
      <c r="D8950" t="n">
        <v>1527469</v>
      </c>
      <c r="E8950" t="inlineStr">
        <is>
          <t>SEC</t>
        </is>
      </c>
    </row>
    <row r="8951">
      <c r="A8951" s="5">
        <f>HYPERLINK("https://finance.yahoo.com/quote/WHLRL","WHLRL")</f>
        <v/>
      </c>
      <c r="B8951" t="inlineStr">
        <is>
          <t>Wheeler Real Estate Investment Trust, Inc.</t>
        </is>
      </c>
      <c r="C8951" t="inlineStr">
        <is>
          <t>Nasdaq</t>
        </is>
      </c>
      <c r="D8951" t="n">
        <v>1527541</v>
      </c>
      <c r="E8951" t="inlineStr">
        <is>
          <t>SEC</t>
        </is>
      </c>
    </row>
    <row r="8952">
      <c r="A8952" s="5">
        <f>HYPERLINK("https://finance.yahoo.com/quote/RCD","RCD")</f>
        <v/>
      </c>
      <c r="B8952" t="inlineStr">
        <is>
          <t>Ready Capital Corp</t>
        </is>
      </c>
      <c r="C8952" t="inlineStr">
        <is>
          <t>NYSE</t>
        </is>
      </c>
      <c r="D8952" t="n">
        <v>1527590</v>
      </c>
      <c r="E8952" t="inlineStr">
        <is>
          <t>SEC</t>
        </is>
      </c>
    </row>
    <row r="8953">
      <c r="A8953" s="5">
        <f>HYPERLINK("https://finance.yahoo.com/quote/RC-PC","RC-PC")</f>
        <v/>
      </c>
      <c r="B8953" t="inlineStr">
        <is>
          <t>Ready Capital Corp</t>
        </is>
      </c>
      <c r="C8953" t="inlineStr">
        <is>
          <t>NYSE</t>
        </is>
      </c>
      <c r="D8953" t="n">
        <v>1527590</v>
      </c>
      <c r="E8953" t="inlineStr">
        <is>
          <t>SEC</t>
        </is>
      </c>
    </row>
    <row r="8954">
      <c r="A8954" s="5">
        <f>HYPERLINK("https://finance.yahoo.com/quote/RC-PE","RC-PE")</f>
        <v/>
      </c>
      <c r="B8954" t="inlineStr">
        <is>
          <t>Ready Capital Corp</t>
        </is>
      </c>
      <c r="C8954" t="inlineStr">
        <is>
          <t>NYSE</t>
        </is>
      </c>
      <c r="D8954" t="n">
        <v>1527590</v>
      </c>
      <c r="E8954" t="inlineStr">
        <is>
          <t>SEC</t>
        </is>
      </c>
    </row>
    <row r="8955">
      <c r="A8955" s="5">
        <f>HYPERLINK("https://finance.yahoo.com/quote/DPLMF","DPLMF")</f>
        <v/>
      </c>
      <c r="B8955" t="inlineStr">
        <is>
          <t>Diploma plc/ADR</t>
        </is>
      </c>
      <c r="C8955" t="inlineStr">
        <is>
          <t>OTC</t>
        </is>
      </c>
      <c r="D8955" t="n">
        <v>1529906</v>
      </c>
      <c r="E8955" t="inlineStr">
        <is>
          <t>SEC</t>
        </is>
      </c>
    </row>
    <row r="8956">
      <c r="A8956" s="5">
        <f>HYPERLINK("https://finance.yahoo.com/quote/NHFOF","NHFOF")</f>
        <v/>
      </c>
      <c r="B8956" t="inlineStr">
        <is>
          <t>NH Foods Ltd./ADR</t>
        </is>
      </c>
      <c r="C8956" t="inlineStr">
        <is>
          <t>OTC</t>
        </is>
      </c>
      <c r="D8956" t="n">
        <v>1532175</v>
      </c>
      <c r="E8956" t="inlineStr">
        <is>
          <t>SEC</t>
        </is>
      </c>
    </row>
    <row r="8957">
      <c r="A8957" s="5">
        <f>HYPERLINK("https://finance.yahoo.com/quote/PW-PA","PW-PA")</f>
        <v/>
      </c>
      <c r="B8957" t="inlineStr">
        <is>
          <t>Power REIT</t>
        </is>
      </c>
      <c r="C8957" t="inlineStr">
        <is>
          <t>NYSE</t>
        </is>
      </c>
      <c r="D8957" t="n">
        <v>1532619</v>
      </c>
      <c r="E8957" t="inlineStr">
        <is>
          <t>SEC</t>
        </is>
      </c>
    </row>
    <row r="8958">
      <c r="A8958" s="5">
        <f>HYPERLINK("https://finance.yahoo.com/quote/EBOSF","EBOSF")</f>
        <v/>
      </c>
      <c r="B8958" t="inlineStr">
        <is>
          <t>EBOS Group Limited/ADR</t>
        </is>
      </c>
      <c r="C8958" t="inlineStr">
        <is>
          <t>OTC</t>
        </is>
      </c>
      <c r="D8958" t="n">
        <v>1533082</v>
      </c>
      <c r="E8958" t="inlineStr">
        <is>
          <t>SEC</t>
        </is>
      </c>
    </row>
    <row r="8959">
      <c r="A8959" s="5">
        <f>HYPERLINK("https://finance.yahoo.com/quote/BEPH","BEPH")</f>
        <v/>
      </c>
      <c r="B8959" t="inlineStr">
        <is>
          <t>Brookfield Renewable Partners L.P.</t>
        </is>
      </c>
      <c r="C8959" t="inlineStr">
        <is>
          <t>NYSE</t>
        </is>
      </c>
      <c r="D8959" t="n">
        <v>1533232</v>
      </c>
      <c r="E8959" t="inlineStr">
        <is>
          <t>SEC</t>
        </is>
      </c>
    </row>
    <row r="8960">
      <c r="A8960" s="5">
        <f>HYPERLINK("https://finance.yahoo.com/quote/BEPI","BEPI")</f>
        <v/>
      </c>
      <c r="B8960" t="inlineStr">
        <is>
          <t>Brookfield Renewable Partners L.P.</t>
        </is>
      </c>
      <c r="C8960" t="inlineStr">
        <is>
          <t>NYSE</t>
        </is>
      </c>
      <c r="D8960" t="n">
        <v>1533232</v>
      </c>
      <c r="E8960" t="inlineStr">
        <is>
          <t>SEC</t>
        </is>
      </c>
    </row>
    <row r="8961">
      <c r="A8961" s="5">
        <f>HYPERLINK("https://finance.yahoo.com/quote/BEPJ","BEPJ")</f>
        <v/>
      </c>
      <c r="B8961" t="inlineStr">
        <is>
          <t>Brookfield Renewable Partners L.P.</t>
        </is>
      </c>
      <c r="C8961" t="inlineStr">
        <is>
          <t>NYSE</t>
        </is>
      </c>
      <c r="D8961" t="n">
        <v>1533232</v>
      </c>
      <c r="E8961" t="inlineStr">
        <is>
          <t>SEC</t>
        </is>
      </c>
    </row>
    <row r="8962">
      <c r="A8962" s="5">
        <f>HYPERLINK("https://finance.yahoo.com/quote/BEP-PA","BEP-PA")</f>
        <v/>
      </c>
      <c r="B8962" t="inlineStr">
        <is>
          <t>Brookfield Renewable Partners L.P.</t>
        </is>
      </c>
      <c r="C8962" t="inlineStr">
        <is>
          <t>NYSE</t>
        </is>
      </c>
      <c r="D8962" t="n">
        <v>1533232</v>
      </c>
      <c r="E8962" t="inlineStr">
        <is>
          <t>SEC</t>
        </is>
      </c>
    </row>
    <row r="8963">
      <c r="A8963" s="5">
        <f>HYPERLINK("https://finance.yahoo.com/quote/DUNNF","DUNNF")</f>
        <v/>
      </c>
      <c r="B8963" t="inlineStr">
        <is>
          <t>Duni AB/ADR</t>
        </is>
      </c>
      <c r="C8963" t="inlineStr">
        <is>
          <t>OTC</t>
        </is>
      </c>
      <c r="D8963" t="n">
        <v>1533546</v>
      </c>
      <c r="E8963" t="inlineStr">
        <is>
          <t>SEC</t>
        </is>
      </c>
    </row>
    <row r="8964">
      <c r="A8964" s="5">
        <f>HYPERLINK("https://finance.yahoo.com/quote/XRN-PA","XRN-PA")</f>
        <v/>
      </c>
      <c r="B8964" t="inlineStr">
        <is>
          <t>Chiron Real Estate Inc.</t>
        </is>
      </c>
      <c r="C8964" t="inlineStr">
        <is>
          <t>NYSE</t>
        </is>
      </c>
      <c r="D8964" t="n">
        <v>1533615</v>
      </c>
      <c r="E8964" t="inlineStr">
        <is>
          <t>SEC</t>
        </is>
      </c>
    </row>
    <row r="8965">
      <c r="A8965" s="5">
        <f>HYPERLINK("https://finance.yahoo.com/quote/XRN-PB","XRN-PB")</f>
        <v/>
      </c>
      <c r="B8965" t="inlineStr">
        <is>
          <t>Chiron Real Estate Inc.</t>
        </is>
      </c>
      <c r="C8965" t="inlineStr">
        <is>
          <t>NYSE</t>
        </is>
      </c>
      <c r="D8965" t="n">
        <v>1533615</v>
      </c>
      <c r="E8965" t="inlineStr">
        <is>
          <t>SEC</t>
        </is>
      </c>
    </row>
    <row r="8966">
      <c r="A8966" s="5">
        <f>HYPERLINK("https://finance.yahoo.com/quote/CICB","CICB")</f>
        <v/>
      </c>
      <c r="B8966" t="inlineStr">
        <is>
          <t>CION Investment Corp</t>
        </is>
      </c>
      <c r="C8966" t="inlineStr">
        <is>
          <t>NYSE</t>
        </is>
      </c>
      <c r="D8966" t="n">
        <v>1534254</v>
      </c>
      <c r="E8966" t="inlineStr">
        <is>
          <t>SEC</t>
        </is>
      </c>
    </row>
    <row r="8967">
      <c r="A8967" s="5">
        <f>HYPERLINK("https://finance.yahoo.com/quote/MBUMF","MBUMF")</f>
        <v/>
      </c>
      <c r="B8967" t="inlineStr">
        <is>
          <t>Mabuchi Motor Co., Ltd./ADR</t>
        </is>
      </c>
      <c r="C8967" t="inlineStr">
        <is>
          <t>OTC</t>
        </is>
      </c>
      <c r="D8967" t="n">
        <v>1534281</v>
      </c>
      <c r="E8967" t="inlineStr">
        <is>
          <t>SEC</t>
        </is>
      </c>
    </row>
    <row r="8968">
      <c r="A8968" s="5">
        <f>HYPERLINK("https://finance.yahoo.com/quote/NSKFF","NSKFF")</f>
        <v/>
      </c>
      <c r="B8968" t="inlineStr">
        <is>
          <t>Kongsberg Gruppen ASA/ADR</t>
        </is>
      </c>
      <c r="C8968" t="inlineStr">
        <is>
          <t>OTC</t>
        </is>
      </c>
      <c r="D8968" t="n">
        <v>1535759</v>
      </c>
      <c r="E8968" t="inlineStr">
        <is>
          <t>SEC</t>
        </is>
      </c>
    </row>
    <row r="8969">
      <c r="A8969" s="5">
        <f>HYPERLINK("https://finance.yahoo.com/quote/SOHGF","SOHGF")</f>
        <v/>
      </c>
      <c r="B8969" t="inlineStr">
        <is>
          <t>ALSOK Co Ltd./ADR</t>
        </is>
      </c>
      <c r="C8969" t="inlineStr">
        <is>
          <t>OTC</t>
        </is>
      </c>
      <c r="D8969" t="n">
        <v>1536787</v>
      </c>
      <c r="E8969" t="inlineStr">
        <is>
          <t>SEC</t>
        </is>
      </c>
    </row>
    <row r="8970">
      <c r="A8970" s="5">
        <f>HYPERLINK("https://finance.yahoo.com/quote/TFIN-P","TFIN-P")</f>
        <v/>
      </c>
      <c r="B8970" t="inlineStr">
        <is>
          <t>Triumph Financial, Inc.</t>
        </is>
      </c>
      <c r="C8970" t="inlineStr">
        <is>
          <t>NYSE</t>
        </is>
      </c>
      <c r="D8970" t="n">
        <v>1539638</v>
      </c>
      <c r="E8970" t="inlineStr">
        <is>
          <t>SEC</t>
        </is>
      </c>
    </row>
    <row r="8971">
      <c r="A8971" s="5">
        <f>HYPERLINK("https://finance.yahoo.com/quote/WEIGF","WEIGF")</f>
        <v/>
      </c>
      <c r="B8971" t="inlineStr">
        <is>
          <t>Weir Group PLC/ADR</t>
        </is>
      </c>
      <c r="C8971" t="inlineStr">
        <is>
          <t>OTC</t>
        </is>
      </c>
      <c r="D8971" t="n">
        <v>1540042</v>
      </c>
      <c r="E8971" t="inlineStr">
        <is>
          <t>SEC</t>
        </is>
      </c>
    </row>
    <row r="8972">
      <c r="A8972" s="5">
        <f>HYPERLINK("https://finance.yahoo.com/quote/BPYPM","BPYPM")</f>
        <v/>
      </c>
      <c r="B8972" t="inlineStr">
        <is>
          <t>Brookfield Property Partners L.P.</t>
        </is>
      </c>
      <c r="C8972" t="inlineStr">
        <is>
          <t>Nasdaq</t>
        </is>
      </c>
      <c r="D8972" t="n">
        <v>1545772</v>
      </c>
      <c r="E8972" t="inlineStr">
        <is>
          <t>SEC</t>
        </is>
      </c>
    </row>
    <row r="8973">
      <c r="A8973" s="5">
        <f>HYPERLINK("https://finance.yahoo.com/quote/BPYPN","BPYPN")</f>
        <v/>
      </c>
      <c r="B8973" t="inlineStr">
        <is>
          <t>Brookfield Property Partners L.P.</t>
        </is>
      </c>
      <c r="C8973" t="inlineStr">
        <is>
          <t>Nasdaq</t>
        </is>
      </c>
      <c r="D8973" t="n">
        <v>1545772</v>
      </c>
      <c r="E8973" t="inlineStr">
        <is>
          <t>SEC</t>
        </is>
      </c>
    </row>
    <row r="8974">
      <c r="A8974" s="5">
        <f>HYPERLINK("https://finance.yahoo.com/quote/BPYPO","BPYPO")</f>
        <v/>
      </c>
      <c r="B8974" t="inlineStr">
        <is>
          <t>Brookfield Property Partners L.P.</t>
        </is>
      </c>
      <c r="C8974" t="inlineStr">
        <is>
          <t>Nasdaq</t>
        </is>
      </c>
      <c r="D8974" t="n">
        <v>1545772</v>
      </c>
      <c r="E8974" t="inlineStr">
        <is>
          <t>SEC</t>
        </is>
      </c>
    </row>
    <row r="8975">
      <c r="A8975" s="5">
        <f>HYPERLINK("https://finance.yahoo.com/quote/PBNAF","PBNAF")</f>
        <v/>
      </c>
      <c r="B8975" t="inlineStr">
        <is>
          <t>PEMBINA PIPELINE CORP</t>
        </is>
      </c>
      <c r="C8975" t="inlineStr">
        <is>
          <t>OTC</t>
        </is>
      </c>
      <c r="D8975" t="n">
        <v>1546066</v>
      </c>
      <c r="E8975" t="inlineStr">
        <is>
          <t>SEC</t>
        </is>
      </c>
    </row>
    <row r="8976">
      <c r="A8976" s="5">
        <f>HYPERLINK("https://finance.yahoo.com/quote/PBPRF","PBPRF")</f>
        <v/>
      </c>
      <c r="B8976" t="inlineStr">
        <is>
          <t>PEMBINA PIPELINE CORP</t>
        </is>
      </c>
      <c r="C8976" t="inlineStr">
        <is>
          <t>OTC</t>
        </is>
      </c>
      <c r="D8976" t="n">
        <v>1546066</v>
      </c>
      <c r="E8976" t="inlineStr">
        <is>
          <t>SEC</t>
        </is>
      </c>
    </row>
    <row r="8977">
      <c r="A8977" s="5">
        <f>HYPERLINK("https://finance.yahoo.com/quote/PMBPF","PMBPF")</f>
        <v/>
      </c>
      <c r="B8977" t="inlineStr">
        <is>
          <t>PEMBINA PIPELINE CORP</t>
        </is>
      </c>
      <c r="C8977" t="inlineStr">
        <is>
          <t>OTC</t>
        </is>
      </c>
      <c r="D8977" t="n">
        <v>1546066</v>
      </c>
      <c r="E8977" t="inlineStr">
        <is>
          <t>SEC</t>
        </is>
      </c>
    </row>
    <row r="8978">
      <c r="A8978" s="5">
        <f>HYPERLINK("https://finance.yahoo.com/quote/PMMBF","PMMBF")</f>
        <v/>
      </c>
      <c r="B8978" t="inlineStr">
        <is>
          <t>PEMBINA PIPELINE CORP</t>
        </is>
      </c>
      <c r="C8978" t="inlineStr">
        <is>
          <t>OTC</t>
        </is>
      </c>
      <c r="D8978" t="n">
        <v>1546066</v>
      </c>
      <c r="E8978" t="inlineStr">
        <is>
          <t>SEC</t>
        </is>
      </c>
    </row>
    <row r="8979">
      <c r="A8979" s="5">
        <f>HYPERLINK("https://finance.yahoo.com/quote/PPLAF","PPLAF")</f>
        <v/>
      </c>
      <c r="B8979" t="inlineStr">
        <is>
          <t>PEMBINA PIPELINE CORP</t>
        </is>
      </c>
      <c r="C8979" t="inlineStr">
        <is>
          <t>OTC</t>
        </is>
      </c>
      <c r="D8979" t="n">
        <v>1546066</v>
      </c>
      <c r="E8979" t="inlineStr">
        <is>
          <t>SEC</t>
        </is>
      </c>
    </row>
    <row r="8980">
      <c r="A8980" s="5">
        <f>HYPERLINK("https://finance.yahoo.com/quote/PPLOF","PPLOF")</f>
        <v/>
      </c>
      <c r="B8980" t="inlineStr">
        <is>
          <t>PEMBINA PIPELINE CORP</t>
        </is>
      </c>
      <c r="C8980" t="inlineStr">
        <is>
          <t>OTC</t>
        </is>
      </c>
      <c r="D8980" t="n">
        <v>1546066</v>
      </c>
      <c r="E8980" t="inlineStr">
        <is>
          <t>SEC</t>
        </is>
      </c>
    </row>
    <row r="8981">
      <c r="A8981" s="5">
        <f>HYPERLINK("https://finance.yahoo.com/quote/LFT-PA","LFT-PA")</f>
        <v/>
      </c>
      <c r="B8981" t="inlineStr">
        <is>
          <t>Lument Finance Trust, Inc.</t>
        </is>
      </c>
      <c r="C8981" t="inlineStr">
        <is>
          <t>NYSE</t>
        </is>
      </c>
      <c r="D8981" t="n">
        <v>1547546</v>
      </c>
      <c r="E8981" t="inlineStr">
        <is>
          <t>SEC</t>
        </is>
      </c>
    </row>
    <row r="8982">
      <c r="A8982" s="5">
        <f>HYPERLINK("https://finance.yahoo.com/quote/BUGDF","BUGDF")</f>
        <v/>
      </c>
      <c r="B8982" t="inlineStr">
        <is>
          <t>Bumrungrad Hospital Public Co Limited/ADR</t>
        </is>
      </c>
      <c r="C8982" t="inlineStr">
        <is>
          <t>OTC</t>
        </is>
      </c>
      <c r="D8982" t="n">
        <v>1547870</v>
      </c>
      <c r="E8982" t="inlineStr">
        <is>
          <t>SEC</t>
        </is>
      </c>
    </row>
    <row r="8983">
      <c r="A8983" s="5">
        <f>HYPERLINK("https://finance.yahoo.com/quote/BUHPF","BUHPF")</f>
        <v/>
      </c>
      <c r="B8983" t="inlineStr">
        <is>
          <t>Bumrungrad Hospital Public Co Limited/ADR</t>
        </is>
      </c>
      <c r="C8983" t="inlineStr">
        <is>
          <t>OTC</t>
        </is>
      </c>
      <c r="D8983" t="n">
        <v>1547870</v>
      </c>
      <c r="E8983" t="inlineStr">
        <is>
          <t>SEC</t>
        </is>
      </c>
    </row>
    <row r="8984">
      <c r="A8984" s="5">
        <f>HYPERLINK("https://finance.yahoo.com/quote/KLRGF","KLRGF")</f>
        <v/>
      </c>
      <c r="B8984" t="inlineStr">
        <is>
          <t>Keller Group plc/ADR</t>
        </is>
      </c>
      <c r="C8984" t="inlineStr">
        <is>
          <t>OTC</t>
        </is>
      </c>
      <c r="D8984" t="n">
        <v>1548901</v>
      </c>
      <c r="E8984" t="inlineStr">
        <is>
          <t>SEC</t>
        </is>
      </c>
    </row>
    <row r="8985">
      <c r="A8985" s="5">
        <f>HYPERLINK("https://finance.yahoo.com/quote/IQEPF","IQEPF")</f>
        <v/>
      </c>
      <c r="B8985" t="inlineStr">
        <is>
          <t>IQE PLC/ADR</t>
        </is>
      </c>
      <c r="C8985" t="inlineStr">
        <is>
          <t>OTC</t>
        </is>
      </c>
      <c r="D8985" t="n">
        <v>1550405</v>
      </c>
      <c r="E8985" t="inlineStr">
        <is>
          <t>SEC</t>
        </is>
      </c>
    </row>
    <row r="8986">
      <c r="A8986" s="5">
        <f>HYPERLINK("https://finance.yahoo.com/quote/CPNNF","CPNNF")</f>
        <v/>
      </c>
      <c r="B8986" t="inlineStr">
        <is>
          <t>Central Pattana Public Co Limited/ADR</t>
        </is>
      </c>
      <c r="C8986" t="inlineStr">
        <is>
          <t>OTC</t>
        </is>
      </c>
      <c r="D8986" t="n">
        <v>1551468</v>
      </c>
      <c r="E8986" t="inlineStr">
        <is>
          <t>SEC</t>
        </is>
      </c>
    </row>
    <row r="8987">
      <c r="A8987" s="5">
        <f>HYPERLINK("https://finance.yahoo.com/quote/CTPUF","CTPUF")</f>
        <v/>
      </c>
      <c r="B8987" t="inlineStr">
        <is>
          <t>Central Pattana Public Co Limited/ADR</t>
        </is>
      </c>
      <c r="C8987" t="inlineStr">
        <is>
          <t>OTC</t>
        </is>
      </c>
      <c r="D8987" t="n">
        <v>1551468</v>
      </c>
      <c r="E8987" t="inlineStr">
        <is>
          <t>SEC</t>
        </is>
      </c>
    </row>
    <row r="8988">
      <c r="A8988" s="5">
        <f>HYPERLINK("https://finance.yahoo.com/quote/WHFCL","WHFCL")</f>
        <v/>
      </c>
      <c r="B8988" t="inlineStr">
        <is>
          <t>WhiteHorse Finance, Inc.</t>
        </is>
      </c>
      <c r="C8988" t="inlineStr">
        <is>
          <t>Nasdaq</t>
        </is>
      </c>
      <c r="D8988" t="n">
        <v>1552198</v>
      </c>
      <c r="E8988" t="inlineStr">
        <is>
          <t>SEC</t>
        </is>
      </c>
    </row>
    <row r="8989">
      <c r="A8989" s="5">
        <f>HYPERLINK("https://finance.yahoo.com/quote/PRIF-PD","PRIF-PD")</f>
        <v/>
      </c>
      <c r="B8989" t="inlineStr">
        <is>
          <t>Priority Income Fund, Inc.</t>
        </is>
      </c>
      <c r="C8989" t="inlineStr">
        <is>
          <t>NYSE</t>
        </is>
      </c>
      <c r="D8989" t="n">
        <v>1554625</v>
      </c>
      <c r="E8989" t="inlineStr">
        <is>
          <t>SEC</t>
        </is>
      </c>
    </row>
    <row r="8990">
      <c r="A8990" s="5">
        <f>HYPERLINK("https://finance.yahoo.com/quote/PRIF-PK","PRIF-PK")</f>
        <v/>
      </c>
      <c r="B8990" t="inlineStr">
        <is>
          <t>Priority Income Fund, Inc.</t>
        </is>
      </c>
      <c r="C8990" t="inlineStr">
        <is>
          <t>NYSE</t>
        </is>
      </c>
      <c r="D8990" t="n">
        <v>1554625</v>
      </c>
      <c r="E8990" t="inlineStr">
        <is>
          <t>SEC</t>
        </is>
      </c>
    </row>
    <row r="8991">
      <c r="A8991" s="5">
        <f>HYPERLINK("https://finance.yahoo.com/quote/RITM-PA","RITM-PA")</f>
        <v/>
      </c>
      <c r="B8991" t="inlineStr">
        <is>
          <t>Rithm Capital Corp.</t>
        </is>
      </c>
      <c r="C8991" t="inlineStr">
        <is>
          <t>NYSE</t>
        </is>
      </c>
      <c r="D8991" t="n">
        <v>1556593</v>
      </c>
      <c r="E8991" t="inlineStr">
        <is>
          <t>SEC</t>
        </is>
      </c>
    </row>
    <row r="8992">
      <c r="A8992" s="5">
        <f>HYPERLINK("https://finance.yahoo.com/quote/RITM-PB","RITM-PB")</f>
        <v/>
      </c>
      <c r="B8992" t="inlineStr">
        <is>
          <t>Rithm Capital Corp.</t>
        </is>
      </c>
      <c r="C8992" t="inlineStr">
        <is>
          <t>NYSE</t>
        </is>
      </c>
      <c r="D8992" t="n">
        <v>1556593</v>
      </c>
      <c r="E8992" t="inlineStr">
        <is>
          <t>SEC</t>
        </is>
      </c>
    </row>
    <row r="8993">
      <c r="A8993" s="5">
        <f>HYPERLINK("https://finance.yahoo.com/quote/RITM-PC","RITM-PC")</f>
        <v/>
      </c>
      <c r="B8993" t="inlineStr">
        <is>
          <t>Rithm Capital Corp.</t>
        </is>
      </c>
      <c r="C8993" t="inlineStr">
        <is>
          <t>NYSE</t>
        </is>
      </c>
      <c r="D8993" t="n">
        <v>1556593</v>
      </c>
      <c r="E8993" t="inlineStr">
        <is>
          <t>SEC</t>
        </is>
      </c>
    </row>
    <row r="8994">
      <c r="A8994" s="5">
        <f>HYPERLINK("https://finance.yahoo.com/quote/RITM-PD","RITM-PD")</f>
        <v/>
      </c>
      <c r="B8994" t="inlineStr">
        <is>
          <t>Rithm Capital Corp.</t>
        </is>
      </c>
      <c r="C8994" t="inlineStr">
        <is>
          <t>NYSE</t>
        </is>
      </c>
      <c r="D8994" t="n">
        <v>1556593</v>
      </c>
      <c r="E8994" t="inlineStr">
        <is>
          <t>SEC</t>
        </is>
      </c>
    </row>
    <row r="8995">
      <c r="A8995" s="5">
        <f>HYPERLINK("https://finance.yahoo.com/quote/RITM-PE","RITM-PE")</f>
        <v/>
      </c>
      <c r="B8995" t="inlineStr">
        <is>
          <t>Rithm Capital Corp.</t>
        </is>
      </c>
      <c r="C8995" t="inlineStr">
        <is>
          <t>NYSE</t>
        </is>
      </c>
      <c r="D8995" t="n">
        <v>1556593</v>
      </c>
      <c r="E8995" t="inlineStr">
        <is>
          <t>SEC</t>
        </is>
      </c>
    </row>
    <row r="8996">
      <c r="A8996" s="5">
        <f>HYPERLINK("https://finance.yahoo.com/quote/RITM-PF","RITM-PF")</f>
        <v/>
      </c>
      <c r="B8996" t="inlineStr">
        <is>
          <t>Rithm Capital Corp.</t>
        </is>
      </c>
      <c r="C8996" t="inlineStr">
        <is>
          <t>NYSE</t>
        </is>
      </c>
      <c r="D8996" t="n">
        <v>1556593</v>
      </c>
      <c r="E8996" t="inlineStr">
        <is>
          <t>SEC</t>
        </is>
      </c>
    </row>
    <row r="8997">
      <c r="A8997" s="5">
        <f>HYPERLINK("https://finance.yahoo.com/quote/TNONW","TNONW")</f>
        <v/>
      </c>
      <c r="B8997" t="inlineStr">
        <is>
          <t>Tenon Medical, Inc.</t>
        </is>
      </c>
      <c r="C8997" t="inlineStr">
        <is>
          <t>Nasdaq</t>
        </is>
      </c>
      <c r="D8997" t="n">
        <v>1560293</v>
      </c>
      <c r="E8997" t="inlineStr">
        <is>
          <t>SEC</t>
        </is>
      </c>
    </row>
    <row r="8998">
      <c r="A8998" s="5">
        <f>HYPERLINK("https://finance.yahoo.com/quote/ELLA","ELLA")</f>
        <v/>
      </c>
      <c r="B8998" t="inlineStr">
        <is>
          <t>Ellington Credit Co</t>
        </is>
      </c>
      <c r="C8998" t="inlineStr">
        <is>
          <t>NYSE</t>
        </is>
      </c>
      <c r="D8998" t="n">
        <v>1560672</v>
      </c>
      <c r="E8998" t="inlineStr">
        <is>
          <t>SEC</t>
        </is>
      </c>
    </row>
    <row r="8999">
      <c r="A8999" s="5">
        <f>HYPERLINK("https://finance.yahoo.com/quote/SMSOF","SMSOF")</f>
        <v/>
      </c>
      <c r="B8999" t="inlineStr">
        <is>
          <t>Samsonite International SA/ADR</t>
        </is>
      </c>
      <c r="C8999" t="inlineStr">
        <is>
          <t>OTC</t>
        </is>
      </c>
      <c r="D8999" t="n">
        <v>1560968</v>
      </c>
      <c r="E8999" t="inlineStr">
        <is>
          <t>SEC</t>
        </is>
      </c>
    </row>
    <row r="9000">
      <c r="A9000" s="5">
        <f>HYPERLINK("https://finance.yahoo.com/quote/EYGPF","EYGPF")</f>
        <v/>
      </c>
      <c r="B9000" t="inlineStr">
        <is>
          <t>Electricity Generating Public Co Limited/ADR</t>
        </is>
      </c>
      <c r="C9000" t="inlineStr">
        <is>
          <t>OTC</t>
        </is>
      </c>
      <c r="D9000" t="n">
        <v>1562294</v>
      </c>
      <c r="E9000" t="inlineStr">
        <is>
          <t>SEC</t>
        </is>
      </c>
    </row>
    <row r="9001">
      <c r="A9001" s="5">
        <f>HYPERLINK("https://finance.yahoo.com/quote/EYUUF","EYUUF")</f>
        <v/>
      </c>
      <c r="B9001" t="inlineStr">
        <is>
          <t>Electricity Generating Public Co Limited/ADR</t>
        </is>
      </c>
      <c r="C9001" t="inlineStr">
        <is>
          <t>OTC</t>
        </is>
      </c>
      <c r="D9001" t="n">
        <v>1562294</v>
      </c>
      <c r="E9001" t="inlineStr">
        <is>
          <t>SEC</t>
        </is>
      </c>
    </row>
    <row r="9002">
      <c r="A9002" s="5">
        <f>HYPERLINK("https://finance.yahoo.com/quote/THFRF","THFRF")</f>
        <v/>
      </c>
      <c r="B9002" t="inlineStr">
        <is>
          <t>Thai Union Group Public Co Limited/ADR</t>
        </is>
      </c>
      <c r="C9002" t="inlineStr">
        <is>
          <t>OTC</t>
        </is>
      </c>
      <c r="D9002" t="n">
        <v>1562296</v>
      </c>
      <c r="E9002" t="inlineStr">
        <is>
          <t>SEC</t>
        </is>
      </c>
    </row>
    <row r="9003">
      <c r="A9003" s="5">
        <f>HYPERLINK("https://finance.yahoo.com/quote/TUFUF","TUFUF")</f>
        <v/>
      </c>
      <c r="B9003" t="inlineStr">
        <is>
          <t>Thai Union Group Public Co Limited/ADR</t>
        </is>
      </c>
      <c r="C9003" t="inlineStr">
        <is>
          <t>OTC</t>
        </is>
      </c>
      <c r="D9003" t="n">
        <v>1562296</v>
      </c>
      <c r="E9003" t="inlineStr">
        <is>
          <t>SEC</t>
        </is>
      </c>
    </row>
    <row r="9004">
      <c r="A9004" s="5">
        <f>HYPERLINK("https://finance.yahoo.com/quote/AMH-PG","AMH-PG")</f>
        <v/>
      </c>
      <c r="B9004" t="inlineStr">
        <is>
          <t>American Homes 4 Rent</t>
        </is>
      </c>
      <c r="C9004" t="inlineStr">
        <is>
          <t>NYSE</t>
        </is>
      </c>
      <c r="D9004" t="n">
        <v>1562401</v>
      </c>
      <c r="E9004" t="inlineStr">
        <is>
          <t>SEC</t>
        </is>
      </c>
    </row>
    <row r="9005">
      <c r="A9005" s="5">
        <f>HYPERLINK("https://finance.yahoo.com/quote/AMH-PH","AMH-PH")</f>
        <v/>
      </c>
      <c r="B9005" t="inlineStr">
        <is>
          <t>American Homes 4 Rent</t>
        </is>
      </c>
      <c r="C9005" t="inlineStr">
        <is>
          <t>NYSE</t>
        </is>
      </c>
      <c r="D9005" t="n">
        <v>1562401</v>
      </c>
      <c r="E9005" t="inlineStr">
        <is>
          <t>SEC</t>
        </is>
      </c>
    </row>
    <row r="9006">
      <c r="A9006" s="5">
        <f>HYPERLINK("https://finance.yahoo.com/quote/INBKZ","INBKZ")</f>
        <v/>
      </c>
      <c r="B9006" t="inlineStr">
        <is>
          <t>First Internet Bancorp</t>
        </is>
      </c>
      <c r="C9006" t="inlineStr">
        <is>
          <t>Nasdaq</t>
        </is>
      </c>
      <c r="D9006" t="n">
        <v>1562463</v>
      </c>
      <c r="E9006" t="inlineStr">
        <is>
          <t>SEC</t>
        </is>
      </c>
    </row>
    <row r="9007">
      <c r="A9007" s="5">
        <f>HYPERLINK("https://finance.yahoo.com/quote/FBRT-PE","FBRT-PE")</f>
        <v/>
      </c>
      <c r="B9007" t="inlineStr">
        <is>
          <t>Franklin BSP Realty Trust, Inc.</t>
        </is>
      </c>
      <c r="C9007" t="inlineStr">
        <is>
          <t>NYSE</t>
        </is>
      </c>
      <c r="D9007" t="n">
        <v>1562528</v>
      </c>
      <c r="E9007" t="inlineStr">
        <is>
          <t>SEC</t>
        </is>
      </c>
    </row>
    <row r="9008">
      <c r="A9008" s="5">
        <f>HYPERLINK("https://finance.yahoo.com/quote/GRTUF","GRTUF")</f>
        <v/>
      </c>
      <c r="B9008" t="inlineStr">
        <is>
          <t>GRANITE REAL ESTATE INVESTMENT TRUST</t>
        </is>
      </c>
      <c r="C9008" t="inlineStr">
        <is>
          <t>OTC</t>
        </is>
      </c>
      <c r="D9008" t="n">
        <v>1564538</v>
      </c>
      <c r="E9008" t="inlineStr">
        <is>
          <t>SEC</t>
        </is>
      </c>
    </row>
    <row r="9009">
      <c r="A9009" s="5">
        <f>HYPERLINK("https://finance.yahoo.com/quote/NWSLL","NWSLL")</f>
        <v/>
      </c>
      <c r="B9009" t="inlineStr">
        <is>
          <t>NEWS CORP</t>
        </is>
      </c>
      <c r="C9009" t="inlineStr">
        <is>
          <t>OTC</t>
        </is>
      </c>
      <c r="D9009" t="n">
        <v>1564708</v>
      </c>
      <c r="E9009" t="inlineStr">
        <is>
          <t>SEC</t>
        </is>
      </c>
    </row>
    <row r="9010">
      <c r="A9010" s="5">
        <f>HYPERLINK("https://finance.yahoo.com/quote/IHICF","IHICF")</f>
        <v/>
      </c>
      <c r="B9010" t="inlineStr">
        <is>
          <t>IHI Corporation/ADR</t>
        </is>
      </c>
      <c r="C9010" t="inlineStr">
        <is>
          <t>OTC</t>
        </is>
      </c>
      <c r="D9010" t="n">
        <v>1567526</v>
      </c>
      <c r="E9010" t="inlineStr">
        <is>
          <t>SEC</t>
        </is>
      </c>
    </row>
    <row r="9011">
      <c r="A9011" s="5">
        <f>HYPERLINK("https://finance.yahoo.com/quote/AHRT-PA","AHRT-PA")</f>
        <v/>
      </c>
      <c r="B9011" t="inlineStr">
        <is>
          <t>AH Realty Trust, Inc.</t>
        </is>
      </c>
      <c r="C9011" t="inlineStr">
        <is>
          <t>NYSE</t>
        </is>
      </c>
      <c r="D9011" t="n">
        <v>1569187</v>
      </c>
      <c r="E9011" t="inlineStr">
        <is>
          <t>SEC</t>
        </is>
      </c>
    </row>
    <row r="9012">
      <c r="A9012" s="5">
        <f>HYPERLINK("https://finance.yahoo.com/quote/OZKAP","OZKAP")</f>
        <v/>
      </c>
      <c r="B9012" t="inlineStr">
        <is>
          <t>Bank OZK</t>
        </is>
      </c>
      <c r="C9012" t="inlineStr">
        <is>
          <t>Nasdaq</t>
        </is>
      </c>
      <c r="D9012" t="n">
        <v>1569650</v>
      </c>
      <c r="E9012" t="inlineStr">
        <is>
          <t>SEC</t>
        </is>
      </c>
    </row>
    <row r="9013">
      <c r="A9013" s="5">
        <f>HYPERLINK("https://finance.yahoo.com/quote/NCHEF","NCHEF")</f>
        <v/>
      </c>
      <c r="B9013" t="inlineStr">
        <is>
          <t>Nichirei Corporation/ADR</t>
        </is>
      </c>
      <c r="C9013" t="inlineStr">
        <is>
          <t>OTC</t>
        </is>
      </c>
      <c r="D9013" t="n">
        <v>1570299</v>
      </c>
      <c r="E9013" t="inlineStr">
        <is>
          <t>SEC</t>
        </is>
      </c>
    </row>
    <row r="9014">
      <c r="A9014" s="5">
        <f>HYPERLINK("https://finance.yahoo.com/quote/REXR-PB","REXR-PB")</f>
        <v/>
      </c>
      <c r="B9014" t="inlineStr">
        <is>
          <t>Rexford Industrial Realty, Inc.</t>
        </is>
      </c>
      <c r="C9014" t="inlineStr">
        <is>
          <t>NYSE</t>
        </is>
      </c>
      <c r="D9014" t="n">
        <v>1571283</v>
      </c>
      <c r="E9014" t="inlineStr">
        <is>
          <t>SEC</t>
        </is>
      </c>
    </row>
    <row r="9015">
      <c r="A9015" s="5">
        <f>HYPERLINK("https://finance.yahoo.com/quote/REXR-PC","REXR-PC")</f>
        <v/>
      </c>
      <c r="B9015" t="inlineStr">
        <is>
          <t>Rexford Industrial Realty, Inc.</t>
        </is>
      </c>
      <c r="C9015" t="inlineStr">
        <is>
          <t>NYSE</t>
        </is>
      </c>
      <c r="D9015" t="n">
        <v>1571283</v>
      </c>
      <c r="E9015" t="inlineStr">
        <is>
          <t>SEC</t>
        </is>
      </c>
    </row>
    <row r="9016">
      <c r="A9016" s="5">
        <f>HYPERLINK("https://finance.yahoo.com/quote/BHR-PB","BHR-PB")</f>
        <v/>
      </c>
      <c r="B9016" t="inlineStr">
        <is>
          <t>Braemar Hotels &amp; Resorts Inc.</t>
        </is>
      </c>
      <c r="C9016" t="inlineStr">
        <is>
          <t>NYSE</t>
        </is>
      </c>
      <c r="D9016" t="n">
        <v>1574085</v>
      </c>
      <c r="E9016" t="inlineStr">
        <is>
          <t>SEC</t>
        </is>
      </c>
    </row>
    <row r="9017">
      <c r="A9017" s="5">
        <f>HYPERLINK("https://finance.yahoo.com/quote/BHR-PD","BHR-PD")</f>
        <v/>
      </c>
      <c r="B9017" t="inlineStr">
        <is>
          <t>Braemar Hotels &amp; Resorts Inc.</t>
        </is>
      </c>
      <c r="C9017" t="inlineStr">
        <is>
          <t>NYSE</t>
        </is>
      </c>
      <c r="D9017" t="n">
        <v>1574085</v>
      </c>
      <c r="E9017" t="inlineStr">
        <is>
          <t>SEC</t>
        </is>
      </c>
    </row>
    <row r="9018">
      <c r="A9018" s="5">
        <f>HYPERLINK("https://finance.yahoo.com/quote/BBAAY","BBAAY")</f>
        <v/>
      </c>
      <c r="B9018" t="inlineStr">
        <is>
          <t>Alibaba Group Holding Ltd</t>
        </is>
      </c>
      <c r="C9018" t="inlineStr">
        <is>
          <t>OTC</t>
        </is>
      </c>
      <c r="D9018" t="n">
        <v>1577552</v>
      </c>
      <c r="E9018" t="inlineStr">
        <is>
          <t>SEC</t>
        </is>
      </c>
    </row>
    <row r="9019">
      <c r="A9019" s="5">
        <f>HYPERLINK("https://finance.yahoo.com/quote/DLNG-PA","DLNG-PA")</f>
        <v/>
      </c>
      <c r="B9019" t="inlineStr">
        <is>
          <t>Dynagas LNG Partners LP</t>
        </is>
      </c>
      <c r="C9019" t="inlineStr">
        <is>
          <t>NYSE</t>
        </is>
      </c>
      <c r="D9019" t="n">
        <v>1578453</v>
      </c>
      <c r="E9019" t="inlineStr">
        <is>
          <t>SEC</t>
        </is>
      </c>
    </row>
    <row r="9020">
      <c r="A9020" s="5">
        <f>HYPERLINK("https://finance.yahoo.com/quote/BIVIW","BIVIW")</f>
        <v/>
      </c>
      <c r="B9020" t="inlineStr">
        <is>
          <t>BIOVIE INC.</t>
        </is>
      </c>
      <c r="C9020" t="inlineStr">
        <is>
          <t>Nasdaq</t>
        </is>
      </c>
      <c r="D9020" t="n">
        <v>1580149</v>
      </c>
      <c r="E9020" t="inlineStr">
        <is>
          <t>SEC</t>
        </is>
      </c>
    </row>
    <row r="9021">
      <c r="A9021" s="5">
        <f>HYPERLINK("https://finance.yahoo.com/quote/HCTPF","HCTPF")</f>
        <v/>
      </c>
      <c r="B9021" t="inlineStr">
        <is>
          <t>Hutchison Port Holdings Trust/ADR</t>
        </is>
      </c>
      <c r="C9021" t="inlineStr">
        <is>
          <t>OTC</t>
        </is>
      </c>
      <c r="D9021" t="n">
        <v>1580226</v>
      </c>
      <c r="E9021" t="inlineStr">
        <is>
          <t>SEC</t>
        </is>
      </c>
    </row>
    <row r="9022">
      <c r="A9022" s="5">
        <f>HYPERLINK("https://finance.yahoo.com/quote/VRMWW","VRMWW")</f>
        <v/>
      </c>
      <c r="B9022" t="inlineStr">
        <is>
          <t>Vroom, Inc.</t>
        </is>
      </c>
      <c r="C9022" t="inlineStr">
        <is>
          <t>OTC</t>
        </is>
      </c>
      <c r="D9022" t="n">
        <v>1580864</v>
      </c>
      <c r="E9022" t="inlineStr">
        <is>
          <t>SEC</t>
        </is>
      </c>
    </row>
    <row r="9023">
      <c r="A9023" s="5">
        <f>HYPERLINK("https://finance.yahoo.com/quote/CTRVP","CTRVP")</f>
        <v/>
      </c>
      <c r="B9023" t="inlineStr">
        <is>
          <t>Hepion Pharmaceuticals, Inc.</t>
        </is>
      </c>
      <c r="C9023" t="inlineStr">
        <is>
          <t>OTC</t>
        </is>
      </c>
      <c r="D9023" t="n">
        <v>1583771</v>
      </c>
      <c r="E9023" t="inlineStr">
        <is>
          <t>SEC</t>
        </is>
      </c>
    </row>
    <row r="9024">
      <c r="A9024" s="5">
        <f>HYPERLINK("https://finance.yahoo.com/quote/SNROF","SNROF")</f>
        <v/>
      </c>
      <c r="B9024" t="inlineStr">
        <is>
          <t>Sanrio Company, Ltd./ADR</t>
        </is>
      </c>
      <c r="C9024" t="inlineStr">
        <is>
          <t>OTC</t>
        </is>
      </c>
      <c r="D9024" t="n">
        <v>1584273</v>
      </c>
      <c r="E9024" t="inlineStr">
        <is>
          <t>SEC</t>
        </is>
      </c>
    </row>
    <row r="9025">
      <c r="A9025" s="5">
        <f>HYPERLINK("https://finance.yahoo.com/quote/HGIT","HGIT")</f>
        <v/>
      </c>
      <c r="B9025" t="inlineStr">
        <is>
          <t>HINES GLOBAL INCOME TRUST, INC.</t>
        </is>
      </c>
      <c r="C9025" t="inlineStr">
        <is>
          <t>OTC</t>
        </is>
      </c>
      <c r="D9025" t="n">
        <v>1585101</v>
      </c>
      <c r="E9025" t="inlineStr">
        <is>
          <t>SEC</t>
        </is>
      </c>
    </row>
    <row r="9026">
      <c r="A9026" s="5">
        <f>HYPERLINK("https://finance.yahoo.com/quote/NEWTG","NEWTG")</f>
        <v/>
      </c>
      <c r="B9026" t="inlineStr">
        <is>
          <t>NewtekOne, Inc.</t>
        </is>
      </c>
      <c r="C9026" t="inlineStr">
        <is>
          <t>Nasdaq</t>
        </is>
      </c>
      <c r="D9026" t="n">
        <v>1587987</v>
      </c>
      <c r="E9026" t="inlineStr">
        <is>
          <t>SEC</t>
        </is>
      </c>
    </row>
    <row r="9027">
      <c r="A9027" s="5">
        <f>HYPERLINK("https://finance.yahoo.com/quote/NEWTH","NEWTH")</f>
        <v/>
      </c>
      <c r="B9027" t="inlineStr">
        <is>
          <t>NewtekOne, Inc.</t>
        </is>
      </c>
      <c r="C9027" t="inlineStr">
        <is>
          <t>Nasdaq</t>
        </is>
      </c>
      <c r="D9027" t="n">
        <v>1587987</v>
      </c>
      <c r="E9027" t="inlineStr">
        <is>
          <t>SEC</t>
        </is>
      </c>
    </row>
    <row r="9028">
      <c r="A9028" s="5">
        <f>HYPERLINK("https://finance.yahoo.com/quote/NEWTO","NEWTO")</f>
        <v/>
      </c>
      <c r="B9028" t="inlineStr">
        <is>
          <t>NewtekOne, Inc.</t>
        </is>
      </c>
      <c r="C9028" t="inlineStr">
        <is>
          <t>Nasdaq</t>
        </is>
      </c>
      <c r="D9028" t="n">
        <v>1587987</v>
      </c>
      <c r="E9028" t="inlineStr">
        <is>
          <t>SEC</t>
        </is>
      </c>
    </row>
    <row r="9029">
      <c r="A9029" s="5">
        <f>HYPERLINK("https://finance.yahoo.com/quote/NEWTP","NEWTP")</f>
        <v/>
      </c>
      <c r="B9029" t="inlineStr">
        <is>
          <t>NewtekOne, Inc.</t>
        </is>
      </c>
      <c r="C9029" t="inlineStr">
        <is>
          <t>Nasdaq</t>
        </is>
      </c>
      <c r="D9029" t="n">
        <v>1587987</v>
      </c>
      <c r="E9029" t="inlineStr">
        <is>
          <t>SEC</t>
        </is>
      </c>
    </row>
    <row r="9030">
      <c r="A9030" s="5">
        <f>HYPERLINK("https://finance.yahoo.com/quote/FTAIM","FTAIM")</f>
        <v/>
      </c>
      <c r="B9030" t="inlineStr">
        <is>
          <t>FTAI Aviation Ltd.</t>
        </is>
      </c>
      <c r="C9030" t="inlineStr">
        <is>
          <t>Nasdaq</t>
        </is>
      </c>
      <c r="D9030" t="n">
        <v>1590364</v>
      </c>
      <c r="E9030" t="inlineStr">
        <is>
          <t>SEC</t>
        </is>
      </c>
    </row>
    <row r="9031">
      <c r="A9031" s="5">
        <f>HYPERLINK("https://finance.yahoo.com/quote/FGCPP","FGCPP")</f>
        <v/>
      </c>
      <c r="B9031" t="inlineStr">
        <is>
          <t>FG Communities Holdings Inc.</t>
        </is>
      </c>
      <c r="C9031" t="inlineStr">
        <is>
          <t>Nasdaq</t>
        </is>
      </c>
      <c r="D9031" t="n">
        <v>1591890</v>
      </c>
      <c r="E9031" t="inlineStr">
        <is>
          <t>SEC</t>
        </is>
      </c>
    </row>
    <row r="9032">
      <c r="A9032" s="5">
        <f>HYPERLINK("https://finance.yahoo.com/quote/NGTFD","NGTFD")</f>
        <v/>
      </c>
      <c r="B9032" t="inlineStr">
        <is>
          <t>NightFood Holdings, Inc.</t>
        </is>
      </c>
      <c r="C9032" t="inlineStr">
        <is>
          <t>OTC</t>
        </is>
      </c>
      <c r="D9032" t="n">
        <v>1593001</v>
      </c>
      <c r="E9032" t="inlineStr">
        <is>
          <t>SEC</t>
        </is>
      </c>
    </row>
    <row r="9033">
      <c r="A9033" s="5">
        <f>HYPERLINK("https://finance.yahoo.com/quote/JSM","JSM")</f>
        <v/>
      </c>
      <c r="B9033" t="inlineStr">
        <is>
          <t>NAVIENT CORP</t>
        </is>
      </c>
      <c r="C9033" t="inlineStr">
        <is>
          <t>Nasdaq</t>
        </is>
      </c>
      <c r="D9033" t="n">
        <v>1593538</v>
      </c>
      <c r="E9033" t="inlineStr">
        <is>
          <t>SEC</t>
        </is>
      </c>
    </row>
    <row r="9034">
      <c r="A9034" s="5">
        <f>HYPERLINK("https://finance.yahoo.com/quote/LAAI","LAAI")</f>
        <v/>
      </c>
      <c r="B9034" t="inlineStr">
        <is>
          <t>Loan Artificial Intelligence Corp.</t>
        </is>
      </c>
      <c r="C9034" t="inlineStr">
        <is>
          <t>OTC</t>
        </is>
      </c>
      <c r="D9034" t="n">
        <v>1594968</v>
      </c>
      <c r="E9034" t="inlineStr">
        <is>
          <t>SEC</t>
        </is>
      </c>
    </row>
    <row r="9035">
      <c r="A9035" s="5">
        <f>HYPERLINK("https://finance.yahoo.com/quote/WEIBF","WEIBF")</f>
        <v/>
      </c>
      <c r="B9035" t="inlineStr">
        <is>
          <t>WEIBO Corp</t>
        </is>
      </c>
      <c r="C9035" t="inlineStr">
        <is>
          <t>OTC</t>
        </is>
      </c>
      <c r="D9035" t="n">
        <v>1595761</v>
      </c>
      <c r="E9035" t="inlineStr">
        <is>
          <t>SEC</t>
        </is>
      </c>
    </row>
    <row r="9036">
      <c r="A9036" s="5">
        <f>HYPERLINK("https://finance.yahoo.com/quote/GLOP-PB","GLOP-PB")</f>
        <v/>
      </c>
      <c r="B9036" t="inlineStr">
        <is>
          <t>GasLog Partners LP</t>
        </is>
      </c>
      <c r="C9036" t="inlineStr">
        <is>
          <t>NYSE</t>
        </is>
      </c>
      <c r="D9036" t="n">
        <v>1598655</v>
      </c>
      <c r="E9036" t="inlineStr">
        <is>
          <t>SEC</t>
        </is>
      </c>
    </row>
    <row r="9037">
      <c r="A9037" s="5">
        <f>HYPERLINK("https://finance.yahoo.com/quote/GLOP-PC","GLOP-PC")</f>
        <v/>
      </c>
      <c r="B9037" t="inlineStr">
        <is>
          <t>GasLog Partners LP</t>
        </is>
      </c>
      <c r="C9037" t="inlineStr">
        <is>
          <t>NYSE</t>
        </is>
      </c>
      <c r="D9037" t="n">
        <v>1598655</v>
      </c>
      <c r="E9037" t="inlineStr">
        <is>
          <t>SEC</t>
        </is>
      </c>
    </row>
    <row r="9038">
      <c r="A9038" s="5">
        <f>HYPERLINK("https://finance.yahoo.com/quote/LBRA","LBRA")</f>
        <v/>
      </c>
      <c r="B9038" t="inlineStr">
        <is>
          <t>1847 Holdings LLC</t>
        </is>
      </c>
      <c r="C9038" t="inlineStr">
        <is>
          <t>OTC</t>
        </is>
      </c>
      <c r="D9038" t="n">
        <v>1599407</v>
      </c>
      <c r="E9038" t="inlineStr">
        <is>
          <t>SEC</t>
        </is>
      </c>
    </row>
    <row r="9039">
      <c r="A9039" s="5">
        <f>HYPERLINK("https://finance.yahoo.com/quote/SYF-PA","SYF-PA")</f>
        <v/>
      </c>
      <c r="B9039" t="inlineStr">
        <is>
          <t>Synchrony Financial</t>
        </is>
      </c>
      <c r="C9039" t="inlineStr">
        <is>
          <t>NYSE</t>
        </is>
      </c>
      <c r="D9039" t="n">
        <v>1601712</v>
      </c>
      <c r="E9039" t="inlineStr">
        <is>
          <t>SEC</t>
        </is>
      </c>
    </row>
    <row r="9040">
      <c r="A9040" s="5">
        <f>HYPERLINK("https://finance.yahoo.com/quote/SYF-PB","SYF-PB")</f>
        <v/>
      </c>
      <c r="B9040" t="inlineStr">
        <is>
          <t>Synchrony Financial</t>
        </is>
      </c>
      <c r="C9040" t="inlineStr">
        <is>
          <t>NYSE</t>
        </is>
      </c>
      <c r="D9040" t="n">
        <v>1601712</v>
      </c>
      <c r="E9040" t="inlineStr">
        <is>
          <t>SEC</t>
        </is>
      </c>
    </row>
    <row r="9041">
      <c r="A9041" s="5">
        <f>HYPERLINK("https://finance.yahoo.com/quote/ECCC","ECCC")</f>
        <v/>
      </c>
      <c r="B9041" t="inlineStr">
        <is>
          <t>Eagle Point Credit Co</t>
        </is>
      </c>
      <c r="C9041" t="inlineStr">
        <is>
          <t>NYSE</t>
        </is>
      </c>
      <c r="D9041" t="n">
        <v>1604174</v>
      </c>
      <c r="E9041" t="inlineStr">
        <is>
          <t>SEC</t>
        </is>
      </c>
    </row>
    <row r="9042">
      <c r="A9042" s="5">
        <f>HYPERLINK("https://finance.yahoo.com/quote/ECC-PD","ECC-PD")</f>
        <v/>
      </c>
      <c r="B9042" t="inlineStr">
        <is>
          <t>Eagle Point Credit Co</t>
        </is>
      </c>
      <c r="C9042" t="inlineStr">
        <is>
          <t>NYSE</t>
        </is>
      </c>
      <c r="D9042" t="n">
        <v>1604174</v>
      </c>
      <c r="E9042" t="inlineStr">
        <is>
          <t>SEC</t>
        </is>
      </c>
    </row>
    <row r="9043">
      <c r="A9043" s="5">
        <f>HYPERLINK("https://finance.yahoo.com/quote/ECCU","ECCU")</f>
        <v/>
      </c>
      <c r="B9043" t="inlineStr">
        <is>
          <t>Eagle Point Credit Co</t>
        </is>
      </c>
      <c r="C9043" t="inlineStr">
        <is>
          <t>NYSE</t>
        </is>
      </c>
      <c r="D9043" t="n">
        <v>1604174</v>
      </c>
      <c r="E9043" t="inlineStr">
        <is>
          <t>SEC</t>
        </is>
      </c>
    </row>
    <row r="9044">
      <c r="A9044" s="5">
        <f>HYPERLINK("https://finance.yahoo.com/quote/ECCV","ECCV")</f>
        <v/>
      </c>
      <c r="B9044" t="inlineStr">
        <is>
          <t>Eagle Point Credit Co</t>
        </is>
      </c>
      <c r="C9044" t="inlineStr">
        <is>
          <t>NYSE</t>
        </is>
      </c>
      <c r="D9044" t="n">
        <v>1604174</v>
      </c>
      <c r="E9044" t="inlineStr">
        <is>
          <t>SEC</t>
        </is>
      </c>
    </row>
    <row r="9045">
      <c r="A9045" s="5">
        <f>HYPERLINK("https://finance.yahoo.com/quote/MONRF","MONRF")</f>
        <v/>
      </c>
      <c r="B9045" t="inlineStr">
        <is>
          <t>Moncler S.p.A./ADR</t>
        </is>
      </c>
      <c r="C9045" t="inlineStr">
        <is>
          <t>OTC</t>
        </is>
      </c>
      <c r="D9045" t="n">
        <v>1605755</v>
      </c>
      <c r="E9045" t="inlineStr">
        <is>
          <t>SEC</t>
        </is>
      </c>
    </row>
    <row r="9046">
      <c r="A9046" s="5">
        <f>HYPERLINK("https://finance.yahoo.com/quote/ISADY","ISADY")</f>
        <v/>
      </c>
      <c r="B9046" t="inlineStr">
        <is>
          <t>ISS A/S / ADR</t>
        </is>
      </c>
      <c r="C9046" t="inlineStr">
        <is>
          <t>OTC</t>
        </is>
      </c>
      <c r="D9046" t="n">
        <v>1608401</v>
      </c>
      <c r="E9046" t="inlineStr">
        <is>
          <t>SEC</t>
        </is>
      </c>
    </row>
    <row r="9047">
      <c r="A9047" s="5">
        <f>HYPERLINK("https://finance.yahoo.com/quote/ISFFF","ISFFF")</f>
        <v/>
      </c>
      <c r="B9047" t="inlineStr">
        <is>
          <t>ISS A/S / ADR</t>
        </is>
      </c>
      <c r="C9047" t="inlineStr">
        <is>
          <t>OTC</t>
        </is>
      </c>
      <c r="D9047" t="n">
        <v>1608401</v>
      </c>
      <c r="E9047" t="inlineStr">
        <is>
          <t>SEC</t>
        </is>
      </c>
    </row>
    <row r="9048">
      <c r="A9048" s="5">
        <f>HYPERLINK("https://finance.yahoo.com/quote/BCTXL","BCTXL")</f>
        <v/>
      </c>
      <c r="B9048" t="inlineStr">
        <is>
          <t>BriaCell Therapeutics Corp.</t>
        </is>
      </c>
      <c r="C9048" t="inlineStr">
        <is>
          <t>Nasdaq</t>
        </is>
      </c>
      <c r="D9048" t="n">
        <v>1610820</v>
      </c>
      <c r="E9048" t="inlineStr">
        <is>
          <t>SEC</t>
        </is>
      </c>
    </row>
    <row r="9049">
      <c r="A9049" s="5">
        <f>HYPERLINK("https://finance.yahoo.com/quote/BCTXZ","BCTXZ")</f>
        <v/>
      </c>
      <c r="B9049" t="inlineStr">
        <is>
          <t>BriaCell Therapeutics Corp.</t>
        </is>
      </c>
      <c r="C9049" t="inlineStr">
        <is>
          <t>Nasdaq</t>
        </is>
      </c>
      <c r="D9049" t="n">
        <v>1610820</v>
      </c>
      <c r="E9049" t="inlineStr">
        <is>
          <t>SEC</t>
        </is>
      </c>
    </row>
    <row r="9050">
      <c r="A9050" s="5">
        <f>HYPERLINK("https://finance.yahoo.com/quote/BWET","BWET")</f>
        <v/>
      </c>
      <c r="B9050" t="inlineStr">
        <is>
          <t>Amplify Commodity Trust</t>
        </is>
      </c>
      <c r="C9050" t="inlineStr">
        <is>
          <t>NYSE</t>
        </is>
      </c>
      <c r="D9050" t="n">
        <v>1610940</v>
      </c>
      <c r="E9050" t="inlineStr">
        <is>
          <t>SEC</t>
        </is>
      </c>
    </row>
    <row r="9051">
      <c r="A9051" s="5">
        <f>HYPERLINK("https://finance.yahoo.com/quote/DBVTF","DBVTF")</f>
        <v/>
      </c>
      <c r="B9051" t="inlineStr">
        <is>
          <t>DBV Technologies S.A.</t>
        </is>
      </c>
      <c r="C9051" t="inlineStr">
        <is>
          <t>OTC</t>
        </is>
      </c>
      <c r="D9051" t="n">
        <v>1613780</v>
      </c>
      <c r="E9051" t="inlineStr">
        <is>
          <t>SEC</t>
        </is>
      </c>
    </row>
    <row r="9052">
      <c r="A9052" s="5">
        <f>HYPERLINK("https://finance.yahoo.com/quote/RPT-PC","RPT-PC")</f>
        <v/>
      </c>
      <c r="B9052" t="inlineStr">
        <is>
          <t>Rithm Property Trust Inc.</t>
        </is>
      </c>
      <c r="C9052" t="inlineStr">
        <is>
          <t>NYSE</t>
        </is>
      </c>
      <c r="D9052" t="n">
        <v>1614806</v>
      </c>
      <c r="E9052" t="inlineStr">
        <is>
          <t>SEC</t>
        </is>
      </c>
    </row>
    <row r="9053">
      <c r="A9053" s="5">
        <f>HYPERLINK("https://finance.yahoo.com/quote/RPGRF","RPGRF")</f>
        <v/>
      </c>
      <c r="B9053" t="inlineStr">
        <is>
          <t>REA Group Limited/ADR</t>
        </is>
      </c>
      <c r="C9053" t="inlineStr">
        <is>
          <t>OTC</t>
        </is>
      </c>
      <c r="D9053" t="n">
        <v>1614943</v>
      </c>
      <c r="E9053" t="inlineStr">
        <is>
          <t>SEC</t>
        </is>
      </c>
    </row>
    <row r="9054">
      <c r="A9054" s="5">
        <f>HYPERLINK("https://finance.yahoo.com/quote/GGBY","GGBY")</f>
        <v/>
      </c>
      <c r="B9054" t="inlineStr">
        <is>
          <t>Alpha Investment Inc.</t>
        </is>
      </c>
      <c r="C9054" t="inlineStr">
        <is>
          <t>OTC</t>
        </is>
      </c>
      <c r="D9054" t="n">
        <v>1616736</v>
      </c>
      <c r="E9054" t="inlineStr">
        <is>
          <t>SEC</t>
        </is>
      </c>
    </row>
    <row r="9055">
      <c r="A9055" s="5">
        <f>HYPERLINK("https://finance.yahoo.com/quote/ADAPY","ADAPY")</f>
        <v/>
      </c>
      <c r="B9055" t="inlineStr">
        <is>
          <t>Adaptimmune Therapeutics PLC</t>
        </is>
      </c>
      <c r="C9055" t="inlineStr">
        <is>
          <t>OTC</t>
        </is>
      </c>
      <c r="D9055" t="n">
        <v>1621227</v>
      </c>
      <c r="E9055" t="inlineStr">
        <is>
          <t>SEC</t>
        </is>
      </c>
    </row>
    <row r="9056">
      <c r="A9056" s="5">
        <f>HYPERLINK("https://finance.yahoo.com/quote/SRG-PA","SRG-PA")</f>
        <v/>
      </c>
      <c r="B9056" t="inlineStr">
        <is>
          <t>Seritage Growth Properties</t>
        </is>
      </c>
      <c r="C9056" t="inlineStr">
        <is>
          <t>NYSE</t>
        </is>
      </c>
      <c r="D9056" t="n">
        <v>1628063</v>
      </c>
      <c r="E9056" t="inlineStr">
        <is>
          <t>SEC</t>
        </is>
      </c>
    </row>
    <row r="9057">
      <c r="A9057" s="5">
        <f>HYPERLINK("https://finance.yahoo.com/quote/RVMDW","RVMDW")</f>
        <v/>
      </c>
      <c r="B9057" t="inlineStr">
        <is>
          <t>Revolution Medicines, Inc.</t>
        </is>
      </c>
      <c r="C9057" t="inlineStr">
        <is>
          <t>Nasdaq</t>
        </is>
      </c>
      <c r="D9057" t="n">
        <v>1628171</v>
      </c>
      <c r="E9057" t="inlineStr">
        <is>
          <t>SEC</t>
        </is>
      </c>
    </row>
    <row r="9058">
      <c r="A9058" s="5">
        <f>HYPERLINK("https://finance.yahoo.com/quote/MBINL","MBINL")</f>
        <v/>
      </c>
      <c r="B9058" t="inlineStr">
        <is>
          <t>Merchants Bancorp</t>
        </is>
      </c>
      <c r="C9058" t="inlineStr">
        <is>
          <t>Nasdaq</t>
        </is>
      </c>
      <c r="D9058" t="n">
        <v>1629019</v>
      </c>
      <c r="E9058" t="inlineStr">
        <is>
          <t>SEC</t>
        </is>
      </c>
    </row>
    <row r="9059">
      <c r="A9059" s="5">
        <f>HYPERLINK("https://finance.yahoo.com/quote/MBINM","MBINM")</f>
        <v/>
      </c>
      <c r="B9059" t="inlineStr">
        <is>
          <t>Merchants Bancorp</t>
        </is>
      </c>
      <c r="C9059" t="inlineStr">
        <is>
          <t>Nasdaq</t>
        </is>
      </c>
      <c r="D9059" t="n">
        <v>1629019</v>
      </c>
      <c r="E9059" t="inlineStr">
        <is>
          <t>SEC</t>
        </is>
      </c>
    </row>
    <row r="9060">
      <c r="A9060" s="5">
        <f>HYPERLINK("https://finance.yahoo.com/quote/MBINN","MBINN")</f>
        <v/>
      </c>
      <c r="B9060" t="inlineStr">
        <is>
          <t>Merchants Bancorp</t>
        </is>
      </c>
      <c r="C9060" t="inlineStr">
        <is>
          <t>Nasdaq</t>
        </is>
      </c>
      <c r="D9060" t="n">
        <v>1629019</v>
      </c>
      <c r="E9060" t="inlineStr">
        <is>
          <t>SEC</t>
        </is>
      </c>
    </row>
    <row r="9061">
      <c r="A9061" s="5">
        <f>HYPERLINK("https://finance.yahoo.com/quote/TRTX-PC","TRTX-PC")</f>
        <v/>
      </c>
      <c r="B9061" t="inlineStr">
        <is>
          <t>TPG RE Finance Trust, Inc.</t>
        </is>
      </c>
      <c r="C9061" t="inlineStr">
        <is>
          <t>NYSE</t>
        </is>
      </c>
      <c r="D9061" t="n">
        <v>1630472</v>
      </c>
      <c r="E9061" t="inlineStr">
        <is>
          <t>SEC</t>
        </is>
      </c>
    </row>
    <row r="9062">
      <c r="A9062" s="5">
        <f>HYPERLINK("https://finance.yahoo.com/quote/DCFBS","DCFBS")</f>
        <v/>
      </c>
      <c r="B9062" t="inlineStr">
        <is>
          <t>DCFC Holdings, LLC</t>
        </is>
      </c>
      <c r="C9062" t="inlineStr">
        <is>
          <t>OTC</t>
        </is>
      </c>
      <c r="D9062" t="n">
        <v>1630745</v>
      </c>
      <c r="E9062" t="inlineStr">
        <is>
          <t>SEC</t>
        </is>
      </c>
    </row>
    <row r="9063">
      <c r="A9063" s="5">
        <f>HYPERLINK("https://finance.yahoo.com/quote/BW-PA","BW-PA")</f>
        <v/>
      </c>
      <c r="B9063" t="inlineStr">
        <is>
          <t>Babcock &amp; Wilcox Enterprises, Inc.</t>
        </is>
      </c>
      <c r="C9063" t="inlineStr">
        <is>
          <t>NYSE</t>
        </is>
      </c>
      <c r="D9063" t="n">
        <v>1630805</v>
      </c>
      <c r="E9063" t="inlineStr">
        <is>
          <t>SEC</t>
        </is>
      </c>
    </row>
    <row r="9064">
      <c r="A9064" s="5">
        <f>HYPERLINK("https://finance.yahoo.com/quote/KREF-PA","KREF-PA")</f>
        <v/>
      </c>
      <c r="B9064" t="inlineStr">
        <is>
          <t>KKR Real Estate Finance Trust Inc.</t>
        </is>
      </c>
      <c r="C9064" t="inlineStr">
        <is>
          <t>NYSE</t>
        </is>
      </c>
      <c r="D9064" t="n">
        <v>1631596</v>
      </c>
      <c r="E9064" t="inlineStr">
        <is>
          <t>SEC</t>
        </is>
      </c>
    </row>
    <row r="9065">
      <c r="A9065" s="5">
        <f>HYPERLINK("https://finance.yahoo.com/quote/EVKIF","EVKIF")</f>
        <v/>
      </c>
      <c r="B9065" t="inlineStr">
        <is>
          <t>Evonik Industries AG/ADR</t>
        </is>
      </c>
      <c r="C9065" t="inlineStr">
        <is>
          <t>OTC</t>
        </is>
      </c>
      <c r="D9065" t="n">
        <v>1634157</v>
      </c>
      <c r="E9065" t="inlineStr">
        <is>
          <t>SEC</t>
        </is>
      </c>
    </row>
    <row r="9066">
      <c r="A9066" s="5">
        <f>HYPERLINK("https://finance.yahoo.com/quote/ACONW","ACONW")</f>
        <v/>
      </c>
      <c r="B9066" t="inlineStr">
        <is>
          <t>Aclarion, Inc.</t>
        </is>
      </c>
      <c r="C9066" t="inlineStr">
        <is>
          <t>Nasdaq</t>
        </is>
      </c>
      <c r="D9066" t="n">
        <v>1635077</v>
      </c>
      <c r="E9066" t="inlineStr">
        <is>
          <t>SEC</t>
        </is>
      </c>
    </row>
    <row r="9067">
      <c r="A9067" s="5">
        <f>HYPERLINK("https://finance.yahoo.com/quote/MSGK-WI","MSGK-WI")</f>
        <v/>
      </c>
      <c r="B9067" t="inlineStr">
        <is>
          <t>Madison Square Garden Sports Corp.</t>
        </is>
      </c>
      <c r="C9067" t="inlineStr">
        <is>
          <t>NYSE</t>
        </is>
      </c>
      <c r="D9067" t="n">
        <v>1636519</v>
      </c>
      <c r="E9067" t="inlineStr">
        <is>
          <t>SEC</t>
        </is>
      </c>
    </row>
    <row r="9068">
      <c r="A9068" s="5">
        <f>HYPERLINK("https://finance.yahoo.com/quote/DUKRW","DUKRW")</f>
        <v/>
      </c>
      <c r="B9068" t="inlineStr">
        <is>
          <t>DUKE Robotics Corp.</t>
        </is>
      </c>
      <c r="C9068" t="inlineStr">
        <is>
          <t>Nasdaq</t>
        </is>
      </c>
      <c r="D9068" t="n">
        <v>1638911</v>
      </c>
      <c r="E9068" t="inlineStr">
        <is>
          <t>SEC</t>
        </is>
      </c>
    </row>
    <row r="9069">
      <c r="A9069" s="5">
        <f>HYPERLINK("https://finance.yahoo.com/quote/ACGP","ACGP")</f>
        <v/>
      </c>
      <c r="B9069" t="inlineStr">
        <is>
          <t>Associated Capital Group, Inc.</t>
        </is>
      </c>
      <c r="C9069" t="inlineStr">
        <is>
          <t>OTC</t>
        </is>
      </c>
      <c r="D9069" t="n">
        <v>1642122</v>
      </c>
      <c r="E9069" t="inlineStr">
        <is>
          <t>SEC</t>
        </is>
      </c>
    </row>
    <row r="9070">
      <c r="A9070" s="5">
        <f>HYPERLINK("https://finance.yahoo.com/quote/JBHIF","JBHIF")</f>
        <v/>
      </c>
      <c r="B9070" t="inlineStr">
        <is>
          <t>JB Hi-Fi Limited/ADR</t>
        </is>
      </c>
      <c r="C9070" t="inlineStr">
        <is>
          <t>OTC</t>
        </is>
      </c>
      <c r="D9070" t="n">
        <v>1643198</v>
      </c>
      <c r="E9070" t="inlineStr">
        <is>
          <t>SEC</t>
        </is>
      </c>
    </row>
    <row r="9071">
      <c r="A9071" s="5">
        <f>HYPERLINK("https://finance.yahoo.com/quote/HPE-PC","HPE-PC")</f>
        <v/>
      </c>
      <c r="B9071" t="inlineStr">
        <is>
          <t>Hewlett Packard Enterprise Co</t>
        </is>
      </c>
      <c r="C9071" t="inlineStr">
        <is>
          <t>NYSE</t>
        </is>
      </c>
      <c r="D9071" t="n">
        <v>1645590</v>
      </c>
      <c r="E9071" t="inlineStr">
        <is>
          <t>SEC</t>
        </is>
      </c>
    </row>
    <row r="9072">
      <c r="A9072" s="5">
        <f>HYPERLINK("https://finance.yahoo.com/quote/AREBW","AREBW")</f>
        <v/>
      </c>
      <c r="B9072" t="inlineStr">
        <is>
          <t>AMERICAN REBEL HOLDINGS INC</t>
        </is>
      </c>
      <c r="C9072" t="inlineStr">
        <is>
          <t>OTC</t>
        </is>
      </c>
      <c r="D9072" t="n">
        <v>1648087</v>
      </c>
      <c r="E9072" t="inlineStr">
        <is>
          <t>SEC</t>
        </is>
      </c>
    </row>
    <row r="9073">
      <c r="A9073" s="5">
        <f>HYPERLINK("https://finance.yahoo.com/quote/SHMZF","SHMZF")</f>
        <v/>
      </c>
      <c r="B9073" t="inlineStr">
        <is>
          <t>Shimadzu Corporation/ADR</t>
        </is>
      </c>
      <c r="C9073" t="inlineStr">
        <is>
          <t>OTC</t>
        </is>
      </c>
      <c r="D9073" t="n">
        <v>1648512</v>
      </c>
      <c r="E9073" t="inlineStr">
        <is>
          <t>SEC</t>
        </is>
      </c>
    </row>
    <row r="9074">
      <c r="A9074" s="5">
        <f>HYPERLINK("https://finance.yahoo.com/quote/DUNXF","DUNXF")</f>
        <v/>
      </c>
      <c r="B9074" t="inlineStr">
        <is>
          <t>Dune Oil Corp.</t>
        </is>
      </c>
      <c r="C9074" t="inlineStr">
        <is>
          <t>OTC</t>
        </is>
      </c>
      <c r="D9074" t="n">
        <v>1648636</v>
      </c>
      <c r="E9074" t="inlineStr">
        <is>
          <t>SEC</t>
        </is>
      </c>
    </row>
    <row r="9075">
      <c r="A9075" s="5">
        <f>HYPERLINK("https://finance.yahoo.com/quote/BEIGF","BEIGF")</f>
        <v/>
      </c>
      <c r="B9075" t="inlineStr">
        <is>
          <t>BeOne Medicines Ltd.</t>
        </is>
      </c>
      <c r="C9075" t="inlineStr">
        <is>
          <t>OTC</t>
        </is>
      </c>
      <c r="D9075" t="n">
        <v>1651308</v>
      </c>
      <c r="E9075" t="inlineStr">
        <is>
          <t>SEC</t>
        </is>
      </c>
    </row>
    <row r="9076">
      <c r="A9076" s="5">
        <f>HYPERLINK("https://finance.yahoo.com/quote/GOOGM","GOOGM")</f>
        <v/>
      </c>
      <c r="B9076" t="inlineStr">
        <is>
          <t>Alphabet Inc.</t>
        </is>
      </c>
      <c r="C9076" t="inlineStr">
        <is>
          <t>Nasdaq</t>
        </is>
      </c>
      <c r="D9076" t="n">
        <v>1652044</v>
      </c>
      <c r="E9076" t="inlineStr">
        <is>
          <t>SEC</t>
        </is>
      </c>
    </row>
    <row r="9077">
      <c r="A9077" s="5">
        <f>HYPERLINK("https://finance.yahoo.com/quote/GOOGN","GOOGN")</f>
        <v/>
      </c>
      <c r="B9077" t="inlineStr">
        <is>
          <t>Alphabet Inc.</t>
        </is>
      </c>
      <c r="C9077" t="inlineStr">
        <is>
          <t>Nasdaq</t>
        </is>
      </c>
      <c r="D9077" t="n">
        <v>1652044</v>
      </c>
      <c r="E9077" t="inlineStr">
        <is>
          <t>SEC</t>
        </is>
      </c>
    </row>
    <row r="9078">
      <c r="A9078" s="5">
        <f>HYPERLINK("https://finance.yahoo.com/quote/CHKGF","CHKGF")</f>
        <v/>
      </c>
      <c r="B9078" t="inlineStr">
        <is>
          <t>Cheung Kong Property Holdings Limited/ADR</t>
        </is>
      </c>
      <c r="C9078" t="inlineStr">
        <is>
          <t>OTC</t>
        </is>
      </c>
      <c r="D9078" t="n">
        <v>1653192</v>
      </c>
      <c r="E9078" t="inlineStr">
        <is>
          <t>SEC</t>
        </is>
      </c>
    </row>
    <row r="9079">
      <c r="A9079" s="5">
        <f>HYPERLINK("https://finance.yahoo.com/quote/RWAYI","RWAYI")</f>
        <v/>
      </c>
      <c r="B9079" t="inlineStr">
        <is>
          <t>Runway Growth Finance Corp.</t>
        </is>
      </c>
      <c r="C9079" t="inlineStr">
        <is>
          <t>Nasdaq</t>
        </is>
      </c>
      <c r="D9079" t="n">
        <v>1653384</v>
      </c>
      <c r="E9079" t="inlineStr">
        <is>
          <t>SEC</t>
        </is>
      </c>
    </row>
    <row r="9080">
      <c r="A9080" s="5">
        <f>HYPERLINK("https://finance.yahoo.com/quote/RWAYL","RWAYL")</f>
        <v/>
      </c>
      <c r="B9080" t="inlineStr">
        <is>
          <t>Runway Growth Finance Corp.</t>
        </is>
      </c>
      <c r="C9080" t="inlineStr">
        <is>
          <t>Nasdaq</t>
        </is>
      </c>
      <c r="D9080" t="n">
        <v>1653384</v>
      </c>
      <c r="E9080" t="inlineStr">
        <is>
          <t>SEC</t>
        </is>
      </c>
    </row>
    <row r="9081">
      <c r="A9081" s="5">
        <f>HYPERLINK("https://finance.yahoo.com/quote/RWAYM","RWAYM")</f>
        <v/>
      </c>
      <c r="B9081" t="inlineStr">
        <is>
          <t>Runway Growth Finance Corp.</t>
        </is>
      </c>
      <c r="C9081" t="inlineStr">
        <is>
          <t>Nasdaq</t>
        </is>
      </c>
      <c r="D9081" t="n">
        <v>1653384</v>
      </c>
      <c r="E9081" t="inlineStr">
        <is>
          <t>SEC</t>
        </is>
      </c>
    </row>
    <row r="9082">
      <c r="A9082" s="5">
        <f>HYPERLINK("https://finance.yahoo.com/quote/IBIDF","IBIDF")</f>
        <v/>
      </c>
      <c r="B9082" t="inlineStr">
        <is>
          <t>Ibiden Co., Ltd./ADR</t>
        </is>
      </c>
      <c r="C9082" t="inlineStr">
        <is>
          <t>OTC</t>
        </is>
      </c>
      <c r="D9082" t="n">
        <v>1654508</v>
      </c>
      <c r="E9082" t="inlineStr">
        <is>
          <t>SEC</t>
        </is>
      </c>
    </row>
    <row r="9083">
      <c r="A9083" s="5">
        <f>HYPERLINK("https://finance.yahoo.com/quote/SHLAF","SHLAF")</f>
        <v/>
      </c>
      <c r="B9083" t="inlineStr">
        <is>
          <t>Schindler Holding AG/ADR</t>
        </is>
      </c>
      <c r="C9083" t="inlineStr">
        <is>
          <t>OTC</t>
        </is>
      </c>
      <c r="D9083" t="n">
        <v>1655190</v>
      </c>
      <c r="E9083" t="inlineStr">
        <is>
          <t>SEC</t>
        </is>
      </c>
    </row>
    <row r="9084">
      <c r="A9084" s="5">
        <f>HYPERLINK("https://finance.yahoo.com/quote/SHLRF","SHLRF")</f>
        <v/>
      </c>
      <c r="B9084" t="inlineStr">
        <is>
          <t>Schindler Holding AG/ADR</t>
        </is>
      </c>
      <c r="C9084" t="inlineStr">
        <is>
          <t>OTC</t>
        </is>
      </c>
      <c r="D9084" t="n">
        <v>1655190</v>
      </c>
      <c r="E9084" t="inlineStr">
        <is>
          <t>SEC</t>
        </is>
      </c>
    </row>
    <row r="9085">
      <c r="A9085" s="5">
        <f>HYPERLINK("https://finance.yahoo.com/quote/HTZWW","HTZWW")</f>
        <v/>
      </c>
      <c r="B9085" t="inlineStr">
        <is>
          <t>HERTZ GLOBAL HOLDINGS, INC</t>
        </is>
      </c>
      <c r="C9085" t="inlineStr">
        <is>
          <t>Nasdaq</t>
        </is>
      </c>
      <c r="D9085" t="n">
        <v>1657853</v>
      </c>
      <c r="E9085" t="inlineStr">
        <is>
          <t>SEC</t>
        </is>
      </c>
    </row>
    <row r="9086">
      <c r="A9086" s="5">
        <f>HYPERLINK("https://finance.yahoo.com/quote/LENDX","LENDX")</f>
        <v/>
      </c>
      <c r="B9086" t="inlineStr">
        <is>
          <t>Stone Ridge Trust V</t>
        </is>
      </c>
      <c r="C9086" t="inlineStr"/>
      <c r="D9086" t="n">
        <v>1658645</v>
      </c>
      <c r="E9086" t="inlineStr">
        <is>
          <t>SEC</t>
        </is>
      </c>
    </row>
    <row r="9087">
      <c r="A9087" s="5">
        <f>HYPERLINK("https://finance.yahoo.com/quote/JPSTF","JPSTF")</f>
        <v/>
      </c>
      <c r="B9087" t="inlineStr">
        <is>
          <t>Japan Post Bank Co., Ltd.</t>
        </is>
      </c>
      <c r="C9087" t="inlineStr">
        <is>
          <t>OTC</t>
        </is>
      </c>
      <c r="D9087" t="n">
        <v>1659576</v>
      </c>
      <c r="E9087" t="inlineStr">
        <is>
          <t>SEC</t>
        </is>
      </c>
    </row>
    <row r="9088">
      <c r="A9088" s="5">
        <f>HYPERLINK("https://finance.yahoo.com/quote/TRTN-PB","TRTN-PB")</f>
        <v/>
      </c>
      <c r="B9088" t="inlineStr">
        <is>
          <t>Triton International Ltd</t>
        </is>
      </c>
      <c r="C9088" t="inlineStr">
        <is>
          <t>NYSE</t>
        </is>
      </c>
      <c r="D9088" t="n">
        <v>1660734</v>
      </c>
      <c r="E9088" t="inlineStr">
        <is>
          <t>SEC</t>
        </is>
      </c>
    </row>
    <row r="9089">
      <c r="A9089" s="5">
        <f>HYPERLINK("https://finance.yahoo.com/quote/TRTN-PC","TRTN-PC")</f>
        <v/>
      </c>
      <c r="B9089" t="inlineStr">
        <is>
          <t>Triton International Ltd</t>
        </is>
      </c>
      <c r="C9089" t="inlineStr">
        <is>
          <t>NYSE</t>
        </is>
      </c>
      <c r="D9089" t="n">
        <v>1660734</v>
      </c>
      <c r="E9089" t="inlineStr">
        <is>
          <t>SEC</t>
        </is>
      </c>
    </row>
    <row r="9090">
      <c r="A9090" s="5">
        <f>HYPERLINK("https://finance.yahoo.com/quote/TRTN-PD","TRTN-PD")</f>
        <v/>
      </c>
      <c r="B9090" t="inlineStr">
        <is>
          <t>Triton International Ltd</t>
        </is>
      </c>
      <c r="C9090" t="inlineStr">
        <is>
          <t>NYSE</t>
        </is>
      </c>
      <c r="D9090" t="n">
        <v>1660734</v>
      </c>
      <c r="E9090" t="inlineStr">
        <is>
          <t>SEC</t>
        </is>
      </c>
    </row>
    <row r="9091">
      <c r="A9091" s="5">
        <f>HYPERLINK("https://finance.yahoo.com/quote/TRTN-PE","TRTN-PE")</f>
        <v/>
      </c>
      <c r="B9091" t="inlineStr">
        <is>
          <t>Triton International Ltd</t>
        </is>
      </c>
      <c r="C9091" t="inlineStr">
        <is>
          <t>NYSE</t>
        </is>
      </c>
      <c r="D9091" t="n">
        <v>1660734</v>
      </c>
      <c r="E9091" t="inlineStr">
        <is>
          <t>SEC</t>
        </is>
      </c>
    </row>
    <row r="9092">
      <c r="A9092" s="5">
        <f>HYPERLINK("https://finance.yahoo.com/quote/TRTN-PF","TRTN-PF")</f>
        <v/>
      </c>
      <c r="B9092" t="inlineStr">
        <is>
          <t>Triton International Ltd</t>
        </is>
      </c>
      <c r="C9092" t="inlineStr">
        <is>
          <t>NYSE</t>
        </is>
      </c>
      <c r="D9092" t="n">
        <v>1660734</v>
      </c>
      <c r="E9092" t="inlineStr">
        <is>
          <t>SEC</t>
        </is>
      </c>
    </row>
    <row r="9093">
      <c r="A9093" s="5">
        <f>HYPERLINK("https://finance.yahoo.com/quote/TRTN-PG","TRTN-PG")</f>
        <v/>
      </c>
      <c r="B9093" t="inlineStr">
        <is>
          <t>Triton International Ltd</t>
        </is>
      </c>
      <c r="C9093" t="inlineStr">
        <is>
          <t>NYSE</t>
        </is>
      </c>
      <c r="D9093" t="n">
        <v>1660734</v>
      </c>
      <c r="E9093" t="inlineStr">
        <is>
          <t>SEC</t>
        </is>
      </c>
    </row>
    <row r="9094">
      <c r="A9094" s="5">
        <f>HYPERLINK("https://finance.yahoo.com/quote/BSTT","BSTT")</f>
        <v/>
      </c>
      <c r="B9094" t="inlineStr">
        <is>
          <t>Blackstone Real Estate Income Trust, Inc.</t>
        </is>
      </c>
      <c r="C9094" t="inlineStr">
        <is>
          <t>OTC</t>
        </is>
      </c>
      <c r="D9094" t="n">
        <v>1662972</v>
      </c>
      <c r="E9094" t="inlineStr">
        <is>
          <t>SEC</t>
        </is>
      </c>
    </row>
    <row r="9095">
      <c r="A9095" s="5">
        <f>HYPERLINK("https://finance.yahoo.com/quote/QGAI","QGAI")</f>
        <v/>
      </c>
      <c r="B9095" t="inlineStr">
        <is>
          <t>Quantum Genesis AI Corp.</t>
        </is>
      </c>
      <c r="C9095" t="inlineStr">
        <is>
          <t>OTC</t>
        </is>
      </c>
      <c r="D9095" t="n">
        <v>1663038</v>
      </c>
      <c r="E9095" t="inlineStr">
        <is>
          <t>SEC</t>
        </is>
      </c>
    </row>
    <row r="9096">
      <c r="A9096" s="5">
        <f>HYPERLINK("https://finance.yahoo.com/quote/NRSAX","NRSAX")</f>
        <v/>
      </c>
      <c r="B9096" t="inlineStr">
        <is>
          <t>NEXPOINT REAL ESTATE STRATEGIES FUND</t>
        </is>
      </c>
      <c r="C9096" t="inlineStr"/>
      <c r="D9096" t="n">
        <v>1663712</v>
      </c>
      <c r="E9096" t="inlineStr">
        <is>
          <t>SEC</t>
        </is>
      </c>
    </row>
    <row r="9097">
      <c r="A9097" s="5">
        <f>HYPERLINK("https://finance.yahoo.com/quote/JPHLF","JPHLF")</f>
        <v/>
      </c>
      <c r="B9097" t="inlineStr">
        <is>
          <t>Japan Post Holdings Co., Ltd./ADR</t>
        </is>
      </c>
      <c r="C9097" t="inlineStr">
        <is>
          <t>OTC</t>
        </is>
      </c>
      <c r="D9097" t="n">
        <v>1665275</v>
      </c>
      <c r="E9097" t="inlineStr">
        <is>
          <t>SEC</t>
        </is>
      </c>
    </row>
    <row r="9098">
      <c r="A9098" s="5">
        <f>HYPERLINK("https://finance.yahoo.com/quote/FINCF","FINCF")</f>
        <v/>
      </c>
      <c r="B9098" t="inlineStr">
        <is>
          <t>Fortis Inc.</t>
        </is>
      </c>
      <c r="C9098" t="inlineStr">
        <is>
          <t>OTC</t>
        </is>
      </c>
      <c r="D9098" t="n">
        <v>1666175</v>
      </c>
      <c r="E9098" t="inlineStr">
        <is>
          <t>SEC</t>
        </is>
      </c>
    </row>
    <row r="9099">
      <c r="A9099" s="5">
        <f>HYPERLINK("https://finance.yahoo.com/quote/FORFF","FORFF")</f>
        <v/>
      </c>
      <c r="B9099" t="inlineStr">
        <is>
          <t>Fortis Inc.</t>
        </is>
      </c>
      <c r="C9099" t="inlineStr">
        <is>
          <t>OTC</t>
        </is>
      </c>
      <c r="D9099" t="n">
        <v>1666175</v>
      </c>
      <c r="E9099" t="inlineStr">
        <is>
          <t>SEC</t>
        </is>
      </c>
    </row>
    <row r="9100">
      <c r="A9100" s="5">
        <f>HYPERLINK("https://finance.yahoo.com/quote/FRTJF","FRTJF")</f>
        <v/>
      </c>
      <c r="B9100" t="inlineStr">
        <is>
          <t>Fortis Inc.</t>
        </is>
      </c>
      <c r="C9100" t="inlineStr">
        <is>
          <t>OTC</t>
        </is>
      </c>
      <c r="D9100" t="n">
        <v>1666175</v>
      </c>
      <c r="E9100" t="inlineStr">
        <is>
          <t>SEC</t>
        </is>
      </c>
    </row>
    <row r="9101">
      <c r="A9101" s="5">
        <f>HYPERLINK("https://finance.yahoo.com/quote/FRTSF","FRTSF")</f>
        <v/>
      </c>
      <c r="B9101" t="inlineStr">
        <is>
          <t>Fortis Inc.</t>
        </is>
      </c>
      <c r="C9101" t="inlineStr">
        <is>
          <t>OTC</t>
        </is>
      </c>
      <c r="D9101" t="n">
        <v>1666175</v>
      </c>
      <c r="E9101" t="inlineStr">
        <is>
          <t>SEC</t>
        </is>
      </c>
    </row>
    <row r="9102">
      <c r="A9102" s="5">
        <f>HYPERLINK("https://finance.yahoo.com/quote/FTPSF","FTPSF")</f>
        <v/>
      </c>
      <c r="B9102" t="inlineStr">
        <is>
          <t>Fortis Inc.</t>
        </is>
      </c>
      <c r="C9102" t="inlineStr">
        <is>
          <t>OTC</t>
        </is>
      </c>
      <c r="D9102" t="n">
        <v>1666175</v>
      </c>
      <c r="E9102" t="inlineStr">
        <is>
          <t>SEC</t>
        </is>
      </c>
    </row>
    <row r="9103">
      <c r="A9103" s="5">
        <f>HYPERLINK("https://finance.yahoo.com/quote/FTRSF","FTRSF")</f>
        <v/>
      </c>
      <c r="B9103" t="inlineStr">
        <is>
          <t>Fortis Inc.</t>
        </is>
      </c>
      <c r="C9103" t="inlineStr">
        <is>
          <t>OTC</t>
        </is>
      </c>
      <c r="D9103" t="n">
        <v>1666175</v>
      </c>
      <c r="E9103" t="inlineStr">
        <is>
          <t>SEC</t>
        </is>
      </c>
    </row>
    <row r="9104">
      <c r="A9104" s="5">
        <f>HYPERLINK("https://finance.yahoo.com/quote/CFTR-PA","CFTR-PA")</f>
        <v/>
      </c>
      <c r="B9104" t="inlineStr">
        <is>
          <t>Cantor Fitzgerald Income Trust, Inc.</t>
        </is>
      </c>
      <c r="C9104" t="inlineStr">
        <is>
          <t>NYSE</t>
        </is>
      </c>
      <c r="D9104" t="n">
        <v>1666244</v>
      </c>
      <c r="E9104" t="inlineStr">
        <is>
          <t>SEC</t>
        </is>
      </c>
    </row>
    <row r="9105">
      <c r="A9105" s="5">
        <f>HYPERLINK("https://finance.yahoo.com/quote/CEHCF","CEHCF")</f>
        <v/>
      </c>
      <c r="B9105" t="inlineStr">
        <is>
          <t>Cosmo Energy Holdings Co., Ltd./ADR</t>
        </is>
      </c>
      <c r="C9105" t="inlineStr">
        <is>
          <t>OTC</t>
        </is>
      </c>
      <c r="D9105" t="n">
        <v>1668393</v>
      </c>
      <c r="E9105" t="inlineStr">
        <is>
          <t>SEC</t>
        </is>
      </c>
    </row>
    <row r="9106">
      <c r="A9106" s="5">
        <f>HYPERLINK("https://finance.yahoo.com/quote/LTRYW","LTRYW")</f>
        <v/>
      </c>
      <c r="B9106" t="inlineStr">
        <is>
          <t>Sports Entertainment Gaming Global Corp</t>
        </is>
      </c>
      <c r="C9106" t="inlineStr">
        <is>
          <t>Nasdaq</t>
        </is>
      </c>
      <c r="D9106" t="n">
        <v>1673481</v>
      </c>
      <c r="E9106" t="inlineStr">
        <is>
          <t>SEC</t>
        </is>
      </c>
    </row>
    <row r="9107">
      <c r="A9107" s="5">
        <f>HYPERLINK("https://finance.yahoo.com/quote/TPTS","TPTS")</f>
        <v/>
      </c>
      <c r="B9107" t="inlineStr">
        <is>
          <t>Terra Property Trust, Inc.</t>
        </is>
      </c>
      <c r="C9107" t="inlineStr">
        <is>
          <t>NYSE</t>
        </is>
      </c>
      <c r="D9107" t="n">
        <v>1674356</v>
      </c>
      <c r="E9107" t="inlineStr">
        <is>
          <t>SEC</t>
        </is>
      </c>
    </row>
    <row r="9108">
      <c r="A9108" s="5">
        <f>HYPERLINK("https://finance.yahoo.com/quote/DUSCF","DUSCF")</f>
        <v/>
      </c>
      <c r="B9108" t="inlineStr">
        <is>
          <t>Deutsche EuroShop AG/ADR</t>
        </is>
      </c>
      <c r="C9108" t="inlineStr">
        <is>
          <t>OTC</t>
        </is>
      </c>
      <c r="D9108" t="n">
        <v>1674699</v>
      </c>
      <c r="E9108" t="inlineStr">
        <is>
          <t>SEC</t>
        </is>
      </c>
    </row>
    <row r="9109">
      <c r="A9109" s="5">
        <f>HYPERLINK("https://finance.yahoo.com/quote/GECCG","GECCG")</f>
        <v/>
      </c>
      <c r="B9109" t="inlineStr">
        <is>
          <t>Great Elm Capital Corp.</t>
        </is>
      </c>
      <c r="C9109" t="inlineStr">
        <is>
          <t>Nasdaq</t>
        </is>
      </c>
      <c r="D9109" t="n">
        <v>1675033</v>
      </c>
      <c r="E9109" t="inlineStr">
        <is>
          <t>SEC</t>
        </is>
      </c>
    </row>
    <row r="9110">
      <c r="A9110" s="5">
        <f>HYPERLINK("https://finance.yahoo.com/quote/GECCH","GECCH")</f>
        <v/>
      </c>
      <c r="B9110" t="inlineStr">
        <is>
          <t>Great Elm Capital Corp.</t>
        </is>
      </c>
      <c r="C9110" t="inlineStr">
        <is>
          <t>Nasdaq</t>
        </is>
      </c>
      <c r="D9110" t="n">
        <v>1675033</v>
      </c>
      <c r="E9110" t="inlineStr">
        <is>
          <t>SEC</t>
        </is>
      </c>
    </row>
    <row r="9111">
      <c r="A9111" s="5">
        <f>HYPERLINK("https://finance.yahoo.com/quote/GECCI","GECCI")</f>
        <v/>
      </c>
      <c r="B9111" t="inlineStr">
        <is>
          <t>Great Elm Capital Corp.</t>
        </is>
      </c>
      <c r="C9111" t="inlineStr">
        <is>
          <t>Nasdaq</t>
        </is>
      </c>
      <c r="D9111" t="n">
        <v>1675033</v>
      </c>
      <c r="E9111" t="inlineStr">
        <is>
          <t>SEC</t>
        </is>
      </c>
    </row>
    <row r="9112">
      <c r="A9112" s="5">
        <f>HYPERLINK("https://finance.yahoo.com/quote/ZTOEF","ZTOEF")</f>
        <v/>
      </c>
      <c r="B9112" t="inlineStr">
        <is>
          <t>ZTO Express (Cayman) Inc.</t>
        </is>
      </c>
      <c r="C9112" t="inlineStr">
        <is>
          <t>OTC</t>
        </is>
      </c>
      <c r="D9112" t="n">
        <v>1677250</v>
      </c>
      <c r="E9112" t="inlineStr">
        <is>
          <t>SEC</t>
        </is>
      </c>
    </row>
    <row r="9113">
      <c r="A9113" s="5">
        <f>HYPERLINK("https://finance.yahoo.com/quote/IIPR-PA","IIPR-PA")</f>
        <v/>
      </c>
      <c r="B9113" t="inlineStr">
        <is>
          <t>INNOVATIVE INDUSTRIAL PROPERTIES INC</t>
        </is>
      </c>
      <c r="C9113" t="inlineStr">
        <is>
          <t>NYSE</t>
        </is>
      </c>
      <c r="D9113" t="n">
        <v>1677576</v>
      </c>
      <c r="E9113" t="inlineStr">
        <is>
          <t>SEC</t>
        </is>
      </c>
    </row>
    <row r="9114">
      <c r="A9114" s="5">
        <f>HYPERLINK("https://finance.yahoo.com/quote/IIPR-PB","IIPR-PB")</f>
        <v/>
      </c>
      <c r="B9114" t="inlineStr">
        <is>
          <t>INNOVATIVE INDUSTRIAL PROPERTIES INC</t>
        </is>
      </c>
      <c r="C9114" t="inlineStr">
        <is>
          <t>NYSE</t>
        </is>
      </c>
      <c r="D9114" t="n">
        <v>1677576</v>
      </c>
      <c r="E9114" t="inlineStr">
        <is>
          <t>SEC</t>
        </is>
      </c>
    </row>
    <row r="9115">
      <c r="A9115" s="5">
        <f>HYPERLINK("https://finance.yahoo.com/quote/OPP-PA","OPP-PA")</f>
        <v/>
      </c>
      <c r="B9115" t="inlineStr">
        <is>
          <t>RiverNorth/DoubleLine Strategic Opportunity Fund, Inc.</t>
        </is>
      </c>
      <c r="C9115" t="inlineStr">
        <is>
          <t>NYSE</t>
        </is>
      </c>
      <c r="D9115" t="n">
        <v>1678130</v>
      </c>
      <c r="E9115" t="inlineStr">
        <is>
          <t>SEC</t>
        </is>
      </c>
    </row>
    <row r="9116">
      <c r="A9116" s="5">
        <f>HYPERLINK("https://finance.yahoo.com/quote/OPP-PB","OPP-PB")</f>
        <v/>
      </c>
      <c r="B9116" t="inlineStr">
        <is>
          <t>RiverNorth/DoubleLine Strategic Opportunity Fund, Inc.</t>
        </is>
      </c>
      <c r="C9116" t="inlineStr">
        <is>
          <t>NYSE</t>
        </is>
      </c>
      <c r="D9116" t="n">
        <v>1678130</v>
      </c>
      <c r="E9116" t="inlineStr">
        <is>
          <t>SEC</t>
        </is>
      </c>
    </row>
    <row r="9117">
      <c r="A9117" s="5">
        <f>HYPERLINK("https://finance.yahoo.com/quote/OPP-PC","OPP-PC")</f>
        <v/>
      </c>
      <c r="B9117" t="inlineStr">
        <is>
          <t>RiverNorth/DoubleLine Strategic Opportunity Fund, Inc.</t>
        </is>
      </c>
      <c r="C9117" t="inlineStr">
        <is>
          <t>NYSE</t>
        </is>
      </c>
      <c r="D9117" t="n">
        <v>1678130</v>
      </c>
      <c r="E9117" t="inlineStr">
        <is>
          <t>SEC</t>
        </is>
      </c>
    </row>
    <row r="9118">
      <c r="A9118" s="5">
        <f>HYPERLINK("https://finance.yahoo.com/quote/DBRHP","DBRHP")</f>
        <v/>
      </c>
      <c r="B9118" t="inlineStr">
        <is>
          <t>DigitalBridge Group, Inc.</t>
        </is>
      </c>
      <c r="C9118" t="inlineStr">
        <is>
          <t>OTC</t>
        </is>
      </c>
      <c r="D9118" t="n">
        <v>1679688</v>
      </c>
      <c r="E9118" t="inlineStr">
        <is>
          <t>SEC</t>
        </is>
      </c>
    </row>
    <row r="9119">
      <c r="A9119" s="5">
        <f>HYPERLINK("https://finance.yahoo.com/quote/DBRIP","DBRIP")</f>
        <v/>
      </c>
      <c r="B9119" t="inlineStr">
        <is>
          <t>DigitalBridge Group, Inc.</t>
        </is>
      </c>
      <c r="C9119" t="inlineStr">
        <is>
          <t>OTC</t>
        </is>
      </c>
      <c r="D9119" t="n">
        <v>1679688</v>
      </c>
      <c r="E9119" t="inlineStr">
        <is>
          <t>SEC</t>
        </is>
      </c>
    </row>
    <row r="9120">
      <c r="A9120" s="5">
        <f>HYPERLINK("https://finance.yahoo.com/quote/DBRJP","DBRJP")</f>
        <v/>
      </c>
      <c r="B9120" t="inlineStr">
        <is>
          <t>DigitalBridge Group, Inc.</t>
        </is>
      </c>
      <c r="C9120" t="inlineStr">
        <is>
          <t>OTC</t>
        </is>
      </c>
      <c r="D9120" t="n">
        <v>1679688</v>
      </c>
      <c r="E9120" t="inlineStr">
        <is>
          <t>SEC</t>
        </is>
      </c>
    </row>
    <row r="9121">
      <c r="A9121" s="5">
        <f>HYPERLINK("https://finance.yahoo.com/quote/SATLF","SATLF")</f>
        <v/>
      </c>
      <c r="B9121" t="inlineStr">
        <is>
          <t>Start Today Co., Ltd./ADR</t>
        </is>
      </c>
      <c r="C9121" t="inlineStr">
        <is>
          <t>OTC</t>
        </is>
      </c>
      <c r="D9121" t="n">
        <v>1679920</v>
      </c>
      <c r="E9121" t="inlineStr">
        <is>
          <t>SEC</t>
        </is>
      </c>
    </row>
    <row r="9122">
      <c r="A9122" s="5">
        <f>HYPERLINK("https://finance.yahoo.com/quote/SACH-PA","SACH-PA")</f>
        <v/>
      </c>
      <c r="B9122" t="inlineStr">
        <is>
          <t>Sachem Capital Corp.</t>
        </is>
      </c>
      <c r="C9122" t="inlineStr">
        <is>
          <t>NYSE</t>
        </is>
      </c>
      <c r="D9122" t="n">
        <v>1682220</v>
      </c>
      <c r="E9122" t="inlineStr">
        <is>
          <t>SEC</t>
        </is>
      </c>
    </row>
    <row r="9123">
      <c r="A9123" s="5">
        <f>HYPERLINK("https://finance.yahoo.com/quote/SCCD","SCCD")</f>
        <v/>
      </c>
      <c r="B9123" t="inlineStr">
        <is>
          <t>Sachem Capital Corp.</t>
        </is>
      </c>
      <c r="C9123" t="inlineStr">
        <is>
          <t>NYSE</t>
        </is>
      </c>
      <c r="D9123" t="n">
        <v>1682220</v>
      </c>
      <c r="E9123" t="inlineStr">
        <is>
          <t>SEC</t>
        </is>
      </c>
    </row>
    <row r="9124">
      <c r="A9124" s="5">
        <f>HYPERLINK("https://finance.yahoo.com/quote/SCCE","SCCE")</f>
        <v/>
      </c>
      <c r="B9124" t="inlineStr">
        <is>
          <t>Sachem Capital Corp.</t>
        </is>
      </c>
      <c r="C9124" t="inlineStr">
        <is>
          <t>NYSE</t>
        </is>
      </c>
      <c r="D9124" t="n">
        <v>1682220</v>
      </c>
      <c r="E9124" t="inlineStr">
        <is>
          <t>SEC</t>
        </is>
      </c>
    </row>
    <row r="9125">
      <c r="A9125" s="5">
        <f>HYPERLINK("https://finance.yahoo.com/quote/SCCF","SCCF")</f>
        <v/>
      </c>
      <c r="B9125" t="inlineStr">
        <is>
          <t>Sachem Capital Corp.</t>
        </is>
      </c>
      <c r="C9125" t="inlineStr">
        <is>
          <t>NYSE</t>
        </is>
      </c>
      <c r="D9125" t="n">
        <v>1682220</v>
      </c>
      <c r="E9125" t="inlineStr">
        <is>
          <t>SEC</t>
        </is>
      </c>
    </row>
    <row r="9126">
      <c r="A9126" s="5">
        <f>HYPERLINK("https://finance.yahoo.com/quote/SCCG","SCCG")</f>
        <v/>
      </c>
      <c r="B9126" t="inlineStr">
        <is>
          <t>Sachem Capital Corp.</t>
        </is>
      </c>
      <c r="C9126" t="inlineStr">
        <is>
          <t>NYSE</t>
        </is>
      </c>
      <c r="D9126" t="n">
        <v>1682220</v>
      </c>
      <c r="E9126" t="inlineStr">
        <is>
          <t>SEC</t>
        </is>
      </c>
    </row>
    <row r="9127">
      <c r="A9127" s="5">
        <f>HYPERLINK("https://finance.yahoo.com/quote/BHFAL","BHFAL")</f>
        <v/>
      </c>
      <c r="B9127" t="inlineStr">
        <is>
          <t>Brighthouse Financial, Inc.</t>
        </is>
      </c>
      <c r="C9127" t="inlineStr">
        <is>
          <t>Nasdaq</t>
        </is>
      </c>
      <c r="D9127" t="n">
        <v>1685040</v>
      </c>
      <c r="E9127" t="inlineStr">
        <is>
          <t>SEC</t>
        </is>
      </c>
    </row>
    <row r="9128">
      <c r="A9128" s="5">
        <f>HYPERLINK("https://finance.yahoo.com/quote/BHFAM","BHFAM")</f>
        <v/>
      </c>
      <c r="B9128" t="inlineStr">
        <is>
          <t>Brighthouse Financial, Inc.</t>
        </is>
      </c>
      <c r="C9128" t="inlineStr">
        <is>
          <t>Nasdaq</t>
        </is>
      </c>
      <c r="D9128" t="n">
        <v>1685040</v>
      </c>
      <c r="E9128" t="inlineStr">
        <is>
          <t>SEC</t>
        </is>
      </c>
    </row>
    <row r="9129">
      <c r="A9129" s="5">
        <f>HYPERLINK("https://finance.yahoo.com/quote/BHFAN","BHFAN")</f>
        <v/>
      </c>
      <c r="B9129" t="inlineStr">
        <is>
          <t>Brighthouse Financial, Inc.</t>
        </is>
      </c>
      <c r="C9129" t="inlineStr">
        <is>
          <t>Nasdaq</t>
        </is>
      </c>
      <c r="D9129" t="n">
        <v>1685040</v>
      </c>
      <c r="E9129" t="inlineStr">
        <is>
          <t>SEC</t>
        </is>
      </c>
    </row>
    <row r="9130">
      <c r="A9130" s="5">
        <f>HYPERLINK("https://finance.yahoo.com/quote/BHFAO","BHFAO")</f>
        <v/>
      </c>
      <c r="B9130" t="inlineStr">
        <is>
          <t>Brighthouse Financial, Inc.</t>
        </is>
      </c>
      <c r="C9130" t="inlineStr">
        <is>
          <t>Nasdaq</t>
        </is>
      </c>
      <c r="D9130" t="n">
        <v>1685040</v>
      </c>
      <c r="E9130" t="inlineStr">
        <is>
          <t>SEC</t>
        </is>
      </c>
    </row>
    <row r="9131">
      <c r="A9131" s="5">
        <f>HYPERLINK("https://finance.yahoo.com/quote/BHFAP","BHFAP")</f>
        <v/>
      </c>
      <c r="B9131" t="inlineStr">
        <is>
          <t>Brighthouse Financial, Inc.</t>
        </is>
      </c>
      <c r="C9131" t="inlineStr">
        <is>
          <t>Nasdaq</t>
        </is>
      </c>
      <c r="D9131" t="n">
        <v>1685040</v>
      </c>
      <c r="E9131" t="inlineStr">
        <is>
          <t>SEC</t>
        </is>
      </c>
    </row>
    <row r="9132">
      <c r="A9132" s="5">
        <f>HYPERLINK("https://finance.yahoo.com/quote/CAHPF","CAHPF")</f>
        <v/>
      </c>
      <c r="B9132" t="inlineStr">
        <is>
          <t>Evolution Mining Limited/ADR</t>
        </is>
      </c>
      <c r="C9132" t="inlineStr">
        <is>
          <t>OTC</t>
        </is>
      </c>
      <c r="D9132" t="n">
        <v>1686009</v>
      </c>
      <c r="E9132" t="inlineStr">
        <is>
          <t>SEC</t>
        </is>
      </c>
    </row>
    <row r="9133">
      <c r="A9133" s="5">
        <f>HYPERLINK("https://finance.yahoo.com/quote/METCB","METCB")</f>
        <v/>
      </c>
      <c r="B9133" t="inlineStr">
        <is>
          <t>Ramaco Resources, Inc.</t>
        </is>
      </c>
      <c r="C9133" t="inlineStr">
        <is>
          <t>Nasdaq</t>
        </is>
      </c>
      <c r="D9133" t="n">
        <v>1687187</v>
      </c>
      <c r="E9133" t="inlineStr">
        <is>
          <t>SEC</t>
        </is>
      </c>
    </row>
    <row r="9134">
      <c r="A9134" s="5">
        <f>HYPERLINK("https://finance.yahoo.com/quote/METCI","METCI")</f>
        <v/>
      </c>
      <c r="B9134" t="inlineStr">
        <is>
          <t>Ramaco Resources, Inc.</t>
        </is>
      </c>
      <c r="C9134" t="inlineStr">
        <is>
          <t>Nasdaq</t>
        </is>
      </c>
      <c r="D9134" t="n">
        <v>1687187</v>
      </c>
      <c r="E9134" t="inlineStr">
        <is>
          <t>SEC</t>
        </is>
      </c>
    </row>
    <row r="9135">
      <c r="A9135" s="5">
        <f>HYPERLINK("https://finance.yahoo.com/quote/METCZ","METCZ")</f>
        <v/>
      </c>
      <c r="B9135" t="inlineStr">
        <is>
          <t>Ramaco Resources, Inc.</t>
        </is>
      </c>
      <c r="C9135" t="inlineStr">
        <is>
          <t>Nasdaq</t>
        </is>
      </c>
      <c r="D9135" t="n">
        <v>1687187</v>
      </c>
      <c r="E9135" t="inlineStr">
        <is>
          <t>SEC</t>
        </is>
      </c>
    </row>
    <row r="9136">
      <c r="A9136" s="5">
        <f>HYPERLINK("https://finance.yahoo.com/quote/ICRL","ICRL")</f>
        <v/>
      </c>
      <c r="B9136" t="inlineStr">
        <is>
          <t>InPoint Commercial Real Estate Income, Inc.</t>
        </is>
      </c>
      <c r="C9136" t="inlineStr">
        <is>
          <t>OTC</t>
        </is>
      </c>
      <c r="D9136" t="n">
        <v>1690012</v>
      </c>
      <c r="E9136" t="inlineStr">
        <is>
          <t>SEC</t>
        </is>
      </c>
    </row>
    <row r="9137">
      <c r="A9137" s="5">
        <f>HYPERLINK("https://finance.yahoo.com/quote/ICRP","ICRP")</f>
        <v/>
      </c>
      <c r="B9137" t="inlineStr">
        <is>
          <t>InPoint Commercial Real Estate Income, Inc.</t>
        </is>
      </c>
      <c r="C9137" t="inlineStr">
        <is>
          <t>OTC</t>
        </is>
      </c>
      <c r="D9137" t="n">
        <v>1690012</v>
      </c>
      <c r="E9137" t="inlineStr">
        <is>
          <t>SEC</t>
        </is>
      </c>
    </row>
    <row r="9138">
      <c r="A9138" s="5">
        <f>HYPERLINK("https://finance.yahoo.com/quote/FVGPY","FVGPY")</f>
        <v/>
      </c>
      <c r="B9138" t="inlineStr">
        <is>
          <t>FinVolution Group</t>
        </is>
      </c>
      <c r="C9138" t="inlineStr">
        <is>
          <t>OTC</t>
        </is>
      </c>
      <c r="D9138" t="n">
        <v>1691445</v>
      </c>
      <c r="E9138" t="inlineStr">
        <is>
          <t>SEC</t>
        </is>
      </c>
    </row>
    <row r="9139">
      <c r="A9139" s="5">
        <f>HYPERLINK("https://finance.yahoo.com/quote/PRXA","PRXA")</f>
        <v/>
      </c>
      <c r="B9139" t="inlineStr">
        <is>
          <t>PROCACCIANTI HOTEL REIT, INC.</t>
        </is>
      </c>
      <c r="C9139" t="inlineStr">
        <is>
          <t>OTC</t>
        </is>
      </c>
      <c r="D9139" t="n">
        <v>1692345</v>
      </c>
      <c r="E9139" t="inlineStr">
        <is>
          <t>SEC</t>
        </is>
      </c>
    </row>
    <row r="9140">
      <c r="A9140" s="5">
        <f>HYPERLINK("https://finance.yahoo.com/quote/MNSBP","MNSBP")</f>
        <v/>
      </c>
      <c r="B9140" t="inlineStr">
        <is>
          <t>MainStreet Bancshares, Inc.</t>
        </is>
      </c>
      <c r="C9140" t="inlineStr">
        <is>
          <t>Nasdaq</t>
        </is>
      </c>
      <c r="D9140" t="n">
        <v>1693577</v>
      </c>
      <c r="E9140" t="inlineStr">
        <is>
          <t>SEC</t>
        </is>
      </c>
    </row>
    <row r="9141">
      <c r="A9141" s="5">
        <f>HYPERLINK("https://finance.yahoo.com/quote/STSR","STSR")</f>
        <v/>
      </c>
      <c r="B9141" t="inlineStr">
        <is>
          <t>Strategic Student &amp; Senior Housing Trust, Inc.</t>
        </is>
      </c>
      <c r="C9141" t="inlineStr">
        <is>
          <t>OTC</t>
        </is>
      </c>
      <c r="D9141" t="n">
        <v>1698538</v>
      </c>
      <c r="E9141" t="inlineStr">
        <is>
          <t>SEC</t>
        </is>
      </c>
    </row>
    <row r="9142">
      <c r="A9142" s="5">
        <f>HYPERLINK("https://finance.yahoo.com/quote/AMLIF","AMLIF")</f>
        <v/>
      </c>
      <c r="B9142" t="inlineStr">
        <is>
          <t>American Lithium Corp.</t>
        </is>
      </c>
      <c r="C9142" t="inlineStr">
        <is>
          <t>OTC</t>
        </is>
      </c>
      <c r="D9142" t="n">
        <v>1699880</v>
      </c>
      <c r="E9142" t="inlineStr">
        <is>
          <t>SEC</t>
        </is>
      </c>
    </row>
    <row r="9143">
      <c r="A9143" s="5">
        <f>HYPERLINK("https://finance.yahoo.com/quote/MEIUF","MEIUF")</f>
        <v/>
      </c>
      <c r="B9143" t="inlineStr">
        <is>
          <t>Meitu Inc./ADR</t>
        </is>
      </c>
      <c r="C9143" t="inlineStr">
        <is>
          <t>OTC</t>
        </is>
      </c>
      <c r="D9143" t="n">
        <v>1699967</v>
      </c>
      <c r="E9143" t="inlineStr">
        <is>
          <t>SEC</t>
        </is>
      </c>
    </row>
    <row r="9144">
      <c r="A9144" s="5">
        <f>HYPERLINK("https://finance.yahoo.com/quote/FIGIF","FIGIF")</f>
        <v/>
      </c>
      <c r="B9144" t="inlineStr">
        <is>
          <t>Fuyao Glass Industry Group Co., Ltd./ADR</t>
        </is>
      </c>
      <c r="C9144" t="inlineStr">
        <is>
          <t>OTC</t>
        </is>
      </c>
      <c r="D9144" t="n">
        <v>1700173</v>
      </c>
      <c r="E9144" t="inlineStr">
        <is>
          <t>SEC</t>
        </is>
      </c>
    </row>
    <row r="9145">
      <c r="A9145" s="5">
        <f>HYPERLINK("https://finance.yahoo.com/quote/GPMT-PA","GPMT-PA")</f>
        <v/>
      </c>
      <c r="B9145" t="inlineStr">
        <is>
          <t>Granite Point Mortgage Trust Inc.</t>
        </is>
      </c>
      <c r="C9145" t="inlineStr">
        <is>
          <t>NYSE</t>
        </is>
      </c>
      <c r="D9145" t="n">
        <v>1703644</v>
      </c>
      <c r="E9145" t="inlineStr">
        <is>
          <t>SEC</t>
        </is>
      </c>
    </row>
    <row r="9146">
      <c r="A9146" s="5">
        <f>HYPERLINK("https://finance.yahoo.com/quote/ZNKUF","ZNKUF")</f>
        <v/>
      </c>
      <c r="B9146" t="inlineStr">
        <is>
          <t>ZENKOKU HOSHO Co., Ltd./ADR</t>
        </is>
      </c>
      <c r="C9146" t="inlineStr">
        <is>
          <t>OTC</t>
        </is>
      </c>
      <c r="D9146" t="n">
        <v>1705455</v>
      </c>
      <c r="E9146" t="inlineStr">
        <is>
          <t>SEC</t>
        </is>
      </c>
    </row>
    <row r="9147">
      <c r="A9147" s="5">
        <f>HYPERLINK("https://finance.yahoo.com/quote/DRRKF","DRRKF")</f>
        <v/>
      </c>
      <c r="B9147" t="inlineStr">
        <is>
          <t>dormakaba Holding AG</t>
        </is>
      </c>
      <c r="C9147" t="inlineStr">
        <is>
          <t>OTC</t>
        </is>
      </c>
      <c r="D9147" t="n">
        <v>1705969</v>
      </c>
      <c r="E9147" t="inlineStr">
        <is>
          <t>SEC</t>
        </is>
      </c>
    </row>
    <row r="9148">
      <c r="A9148" s="5">
        <f>HYPERLINK("https://finance.yahoo.com/quote/HFRO-PA","HFRO-PA")</f>
        <v/>
      </c>
      <c r="B9148" t="inlineStr">
        <is>
          <t>HIGHLAND OPPORTUNITIES &amp; INCOME FUND</t>
        </is>
      </c>
      <c r="C9148" t="inlineStr">
        <is>
          <t>NYSE</t>
        </is>
      </c>
      <c r="D9148" t="n">
        <v>1710680</v>
      </c>
      <c r="E9148" t="inlineStr">
        <is>
          <t>SEC</t>
        </is>
      </c>
    </row>
    <row r="9149">
      <c r="A9149" s="5">
        <f>HYPERLINK("https://finance.yahoo.com/quote/HFRO-PB","HFRO-PB")</f>
        <v/>
      </c>
      <c r="B9149" t="inlineStr">
        <is>
          <t>HIGHLAND OPPORTUNITIES &amp; INCOME FUND</t>
        </is>
      </c>
      <c r="C9149" t="inlineStr">
        <is>
          <t>NYSE</t>
        </is>
      </c>
      <c r="D9149" t="n">
        <v>1710680</v>
      </c>
      <c r="E9149" t="inlineStr">
        <is>
          <t>SEC</t>
        </is>
      </c>
    </row>
    <row r="9150">
      <c r="A9150" s="5">
        <f>HYPERLINK("https://finance.yahoo.com/quote/SWDR","SWDR")</f>
        <v/>
      </c>
      <c r="B9150" t="inlineStr">
        <is>
          <t>Starwood Real Estate Income Trust, Inc.</t>
        </is>
      </c>
      <c r="C9150" t="inlineStr">
        <is>
          <t>OTC</t>
        </is>
      </c>
      <c r="D9150" t="n">
        <v>1711929</v>
      </c>
      <c r="E9150" t="inlineStr">
        <is>
          <t>SEC</t>
        </is>
      </c>
    </row>
    <row r="9151">
      <c r="A9151" s="5">
        <f>HYPERLINK("https://finance.yahoo.com/quote/SWDS","SWDS")</f>
        <v/>
      </c>
      <c r="B9151" t="inlineStr">
        <is>
          <t>Starwood Real Estate Income Trust, Inc.</t>
        </is>
      </c>
      <c r="C9151" t="inlineStr">
        <is>
          <t>OTC</t>
        </is>
      </c>
      <c r="D9151" t="n">
        <v>1711929</v>
      </c>
      <c r="E9151" t="inlineStr">
        <is>
          <t>SEC</t>
        </is>
      </c>
    </row>
    <row r="9152">
      <c r="A9152" s="5">
        <f>HYPERLINK("https://finance.yahoo.com/quote/LILAP","LILAP")</f>
        <v/>
      </c>
      <c r="B9152" t="inlineStr">
        <is>
          <t>Liberty Latin America Ltd.</t>
        </is>
      </c>
      <c r="C9152" t="inlineStr">
        <is>
          <t>Nasdaq</t>
        </is>
      </c>
      <c r="D9152" t="n">
        <v>1712184</v>
      </c>
      <c r="E9152" t="inlineStr">
        <is>
          <t>SEC</t>
        </is>
      </c>
    </row>
    <row r="9153">
      <c r="A9153" s="5">
        <f>HYPERLINK("https://finance.yahoo.com/quote/HYNLY","HYNLY")</f>
        <v/>
      </c>
      <c r="B9153" t="inlineStr">
        <is>
          <t>Hydro One Ltd</t>
        </is>
      </c>
      <c r="C9153" t="inlineStr">
        <is>
          <t>OTC</t>
        </is>
      </c>
      <c r="D9153" t="n">
        <v>1712356</v>
      </c>
      <c r="E9153" t="inlineStr">
        <is>
          <t>SEC</t>
        </is>
      </c>
    </row>
    <row r="9154">
      <c r="A9154" s="5">
        <f>HYPERLINK("https://finance.yahoo.com/quote/BIAFW","BIAFW")</f>
        <v/>
      </c>
      <c r="B9154" t="inlineStr">
        <is>
          <t>bioAffinity Technologies, Inc.</t>
        </is>
      </c>
      <c r="C9154" t="inlineStr">
        <is>
          <t>Nasdaq</t>
        </is>
      </c>
      <c r="D9154" t="n">
        <v>1712762</v>
      </c>
      <c r="E9154" t="inlineStr">
        <is>
          <t>SEC</t>
        </is>
      </c>
    </row>
    <row r="9155">
      <c r="A9155" s="5">
        <f>HYPERLINK("https://finance.yahoo.com/quote/SCAFF","SCAFF")</f>
        <v/>
      </c>
      <c r="B9155" t="inlineStr">
        <is>
          <t>Schaeffler AG/ADR</t>
        </is>
      </c>
      <c r="C9155" t="inlineStr">
        <is>
          <t>OTC</t>
        </is>
      </c>
      <c r="D9155" t="n">
        <v>1713675</v>
      </c>
      <c r="E9155" t="inlineStr">
        <is>
          <t>SEC</t>
        </is>
      </c>
    </row>
    <row r="9156">
      <c r="A9156" s="5">
        <f>HYPERLINK("https://finance.yahoo.com/quote/ASCIX","ASCIX")</f>
        <v/>
      </c>
      <c r="B9156" t="inlineStr">
        <is>
          <t>Angel Oak Strategic Credit Fund</t>
        </is>
      </c>
      <c r="C9156" t="inlineStr"/>
      <c r="D9156" t="n">
        <v>1716885</v>
      </c>
      <c r="E9156" t="inlineStr">
        <is>
          <t>SEC</t>
        </is>
      </c>
    </row>
    <row r="9157">
      <c r="A9157" s="5">
        <f>HYPERLINK("https://finance.yahoo.com/quote/OCCIM","OCCIM")</f>
        <v/>
      </c>
      <c r="B9157" t="inlineStr">
        <is>
          <t>OFS Credit Company, Inc.</t>
        </is>
      </c>
      <c r="C9157" t="inlineStr">
        <is>
          <t>Nasdaq</t>
        </is>
      </c>
      <c r="D9157" t="n">
        <v>1716951</v>
      </c>
      <c r="E9157" t="inlineStr">
        <is>
          <t>SEC</t>
        </is>
      </c>
    </row>
    <row r="9158">
      <c r="A9158" s="5">
        <f>HYPERLINK("https://finance.yahoo.com/quote/OCCIN","OCCIN")</f>
        <v/>
      </c>
      <c r="B9158" t="inlineStr">
        <is>
          <t>OFS Credit Company, Inc.</t>
        </is>
      </c>
      <c r="C9158" t="inlineStr">
        <is>
          <t>Nasdaq</t>
        </is>
      </c>
      <c r="D9158" t="n">
        <v>1716951</v>
      </c>
      <c r="E9158" t="inlineStr">
        <is>
          <t>SEC</t>
        </is>
      </c>
    </row>
    <row r="9159">
      <c r="A9159" s="5">
        <f>HYPERLINK("https://finance.yahoo.com/quote/BTBDW","BTBDW")</f>
        <v/>
      </c>
      <c r="B9159" t="inlineStr">
        <is>
          <t>BT Brands, Inc.</t>
        </is>
      </c>
      <c r="C9159" t="inlineStr">
        <is>
          <t>Nasdaq</t>
        </is>
      </c>
      <c r="D9159" t="n">
        <v>1718224</v>
      </c>
      <c r="E9159" t="inlineStr">
        <is>
          <t>SEC</t>
        </is>
      </c>
    </row>
    <row r="9160">
      <c r="A9160" s="5">
        <f>HYPERLINK("https://finance.yahoo.com/quote/HYMCW","HYMCW")</f>
        <v/>
      </c>
      <c r="B9160" t="inlineStr">
        <is>
          <t>HYCROFT MINING HOLDING CORP</t>
        </is>
      </c>
      <c r="C9160" t="inlineStr">
        <is>
          <t>OTC</t>
        </is>
      </c>
      <c r="D9160" t="n">
        <v>1718405</v>
      </c>
      <c r="E9160" t="inlineStr">
        <is>
          <t>SEC</t>
        </is>
      </c>
    </row>
    <row r="9161">
      <c r="A9161" s="5">
        <f>HYPERLINK("https://finance.yahoo.com/quote/ASRRF","ASRRF")</f>
        <v/>
      </c>
      <c r="B9161" t="inlineStr">
        <is>
          <t>ASR Nederland N.V./ADR</t>
        </is>
      </c>
      <c r="C9161" t="inlineStr">
        <is>
          <t>OTC</t>
        </is>
      </c>
      <c r="D9161" t="n">
        <v>1719117</v>
      </c>
      <c r="E9161" t="inlineStr">
        <is>
          <t>SEC</t>
        </is>
      </c>
    </row>
    <row r="9162">
      <c r="A9162" s="5">
        <f>HYPERLINK("https://finance.yahoo.com/quote/ZCSH","ZCSH")</f>
        <v/>
      </c>
      <c r="B9162" t="inlineStr">
        <is>
          <t>Zcash ETF</t>
        </is>
      </c>
      <c r="C9162" t="inlineStr">
        <is>
          <t>NYSE</t>
        </is>
      </c>
      <c r="D9162" t="n">
        <v>1720265</v>
      </c>
      <c r="E9162" t="inlineStr">
        <is>
          <t>SEC</t>
        </is>
      </c>
    </row>
    <row r="9163">
      <c r="A9163" s="5">
        <f>HYPERLINK("https://finance.yahoo.com/quote/BTAIQ","BTAIQ")</f>
        <v/>
      </c>
      <c r="B9163" t="inlineStr">
        <is>
          <t>BioXcel Therapeutics, Inc.</t>
        </is>
      </c>
      <c r="C9163" t="inlineStr">
        <is>
          <t>OTC</t>
        </is>
      </c>
      <c r="D9163" t="n">
        <v>1720893</v>
      </c>
      <c r="E9163" t="inlineStr">
        <is>
          <t>SEC</t>
        </is>
      </c>
    </row>
    <row r="9164">
      <c r="A9164" s="5">
        <f>HYPERLINK("https://finance.yahoo.com/quote/HSCT","HSCT")</f>
        <v/>
      </c>
      <c r="B9164" t="inlineStr">
        <is>
          <t>HOOPS SCOUTING USA</t>
        </is>
      </c>
      <c r="C9164" t="inlineStr">
        <is>
          <t>OTC</t>
        </is>
      </c>
      <c r="D9164" t="n">
        <v>1721056</v>
      </c>
      <c r="E9164" t="inlineStr">
        <is>
          <t>SEC</t>
        </is>
      </c>
    </row>
    <row r="9165">
      <c r="A9165" s="5">
        <f>HYPERLINK("https://finance.yahoo.com/quote/BGFR","BGFR")</f>
        <v/>
      </c>
      <c r="B9165" t="inlineStr">
        <is>
          <t>BestGofer Inc.</t>
        </is>
      </c>
      <c r="C9165" t="inlineStr">
        <is>
          <t>OTC</t>
        </is>
      </c>
      <c r="D9165" t="n">
        <v>1722556</v>
      </c>
      <c r="E9165" t="inlineStr">
        <is>
          <t>SEC</t>
        </is>
      </c>
    </row>
    <row r="9166">
      <c r="A9166" s="5">
        <f>HYPERLINK("https://finance.yahoo.com/quote/PMFAX","PMFAX")</f>
        <v/>
      </c>
      <c r="B9166" t="inlineStr">
        <is>
          <t>PIMCO Flexible Municipal Income Fund</t>
        </is>
      </c>
      <c r="C9166" t="inlineStr"/>
      <c r="D9166" t="n">
        <v>1723701</v>
      </c>
      <c r="E9166" t="inlineStr">
        <is>
          <t>SEC</t>
        </is>
      </c>
    </row>
    <row r="9167">
      <c r="A9167" s="5">
        <f>HYPERLINK("https://finance.yahoo.com/quote/COBA","COBA")</f>
        <v/>
      </c>
      <c r="B9167" t="inlineStr">
        <is>
          <t>Chilean Cobalt Corp.</t>
        </is>
      </c>
      <c r="C9167" t="inlineStr">
        <is>
          <t>OTC</t>
        </is>
      </c>
      <c r="D9167" t="n">
        <v>1727255</v>
      </c>
      <c r="E9167" t="inlineStr">
        <is>
          <t>SEC</t>
        </is>
      </c>
    </row>
    <row r="9168">
      <c r="A9168" s="5">
        <f>HYPERLINK("https://finance.yahoo.com/quote/AIBRF","AIBRF")</f>
        <v/>
      </c>
      <c r="B9168" t="inlineStr">
        <is>
          <t>AIB Group plc/ADR</t>
        </is>
      </c>
      <c r="C9168" t="inlineStr">
        <is>
          <t>OTC</t>
        </is>
      </c>
      <c r="D9168" t="n">
        <v>1728918</v>
      </c>
      <c r="E9168" t="inlineStr">
        <is>
          <t>SEC</t>
        </is>
      </c>
    </row>
    <row r="9169">
      <c r="A9169" s="5">
        <f>HYPERLINK("https://finance.yahoo.com/quote/VTTGF","VTTGF")</f>
        <v/>
      </c>
      <c r="B9169" t="inlineStr">
        <is>
          <t>VAT Group AG/ADR</t>
        </is>
      </c>
      <c r="C9169" t="inlineStr">
        <is>
          <t>OTC</t>
        </is>
      </c>
      <c r="D9169" t="n">
        <v>1729514</v>
      </c>
      <c r="E9169" t="inlineStr">
        <is>
          <t>SEC</t>
        </is>
      </c>
    </row>
    <row r="9170">
      <c r="A9170" s="5">
        <f>HYPERLINK("https://finance.yahoo.com/quote/BSFCD","BSFCD")</f>
        <v/>
      </c>
      <c r="B9170" t="inlineStr">
        <is>
          <t>Blue Star Foods Corp.</t>
        </is>
      </c>
      <c r="C9170" t="inlineStr">
        <is>
          <t>OTC</t>
        </is>
      </c>
      <c r="D9170" t="n">
        <v>1730773</v>
      </c>
      <c r="E9170" t="inlineStr">
        <is>
          <t>SEC</t>
        </is>
      </c>
    </row>
    <row r="9171">
      <c r="A9171" s="5">
        <f>HYPERLINK("https://finance.yahoo.com/quote/WRLRF","WRLRF")</f>
        <v/>
      </c>
      <c r="B9171" t="inlineStr">
        <is>
          <t>West Red Lake Gold Mines Ltd.</t>
        </is>
      </c>
      <c r="C9171" t="inlineStr">
        <is>
          <t>OTC</t>
        </is>
      </c>
      <c r="D9171" t="n">
        <v>1733968</v>
      </c>
      <c r="E9171" t="inlineStr">
        <is>
          <t>SEC</t>
        </is>
      </c>
    </row>
    <row r="9172">
      <c r="A9172" s="5">
        <f>HYPERLINK("https://finance.yahoo.com/quote/WRLWF","WRLWF")</f>
        <v/>
      </c>
      <c r="B9172" t="inlineStr">
        <is>
          <t>West Red Lake Gold Mines Ltd.</t>
        </is>
      </c>
      <c r="C9172" t="inlineStr">
        <is>
          <t>OTC</t>
        </is>
      </c>
      <c r="D9172" t="n">
        <v>1733968</v>
      </c>
      <c r="E9172" t="inlineStr">
        <is>
          <t>SEC</t>
        </is>
      </c>
    </row>
    <row r="9173">
      <c r="A9173" s="5">
        <f>HYPERLINK("https://finance.yahoo.com/quote/NICHX","NICHX")</f>
        <v/>
      </c>
      <c r="B9173" t="inlineStr">
        <is>
          <t>Variant Alternative Income Fund</t>
        </is>
      </c>
      <c r="C9173" t="inlineStr"/>
      <c r="D9173" t="n">
        <v>1736510</v>
      </c>
      <c r="E9173" t="inlineStr">
        <is>
          <t>SEC</t>
        </is>
      </c>
    </row>
    <row r="9174">
      <c r="A9174" s="5">
        <f>HYPERLINK("https://finance.yahoo.com/quote/SKYAW","SKYAW")</f>
        <v/>
      </c>
      <c r="B9174" t="inlineStr">
        <is>
          <t>SkyAI, Inc.</t>
        </is>
      </c>
      <c r="C9174" t="inlineStr">
        <is>
          <t>Nasdaq</t>
        </is>
      </c>
      <c r="D9174" t="n">
        <v>1737995</v>
      </c>
      <c r="E9174" t="inlineStr">
        <is>
          <t>SEC</t>
        </is>
      </c>
    </row>
    <row r="9175">
      <c r="A9175" s="5">
        <f>HYPERLINK("https://finance.yahoo.com/quote/SEMHF","SEMHF")</f>
        <v/>
      </c>
      <c r="B9175" t="inlineStr">
        <is>
          <t>Siemens Healthineers AG/ADR</t>
        </is>
      </c>
      <c r="C9175" t="inlineStr">
        <is>
          <t>OTC</t>
        </is>
      </c>
      <c r="D9175" t="n">
        <v>1738519</v>
      </c>
      <c r="E9175" t="inlineStr">
        <is>
          <t>SEC</t>
        </is>
      </c>
    </row>
    <row r="9176">
      <c r="A9176" s="5">
        <f>HYPERLINK("https://finance.yahoo.com/quote/SYAXF","SYAXF")</f>
        <v/>
      </c>
      <c r="B9176" t="inlineStr">
        <is>
          <t>Elevra Lithium Ltd</t>
        </is>
      </c>
      <c r="C9176" t="inlineStr">
        <is>
          <t>OTC</t>
        </is>
      </c>
      <c r="D9176" t="n">
        <v>1739016</v>
      </c>
      <c r="E9176" t="inlineStr">
        <is>
          <t>SEC</t>
        </is>
      </c>
    </row>
    <row r="9177">
      <c r="A9177" s="5">
        <f>HYPERLINK("https://finance.yahoo.com/quote/QFNHF","QFNHF")</f>
        <v/>
      </c>
      <c r="B9177" t="inlineStr">
        <is>
          <t>Qfin Holdings, Inc.</t>
        </is>
      </c>
      <c r="C9177" t="inlineStr">
        <is>
          <t>OTC</t>
        </is>
      </c>
      <c r="D9177" t="n">
        <v>1741530</v>
      </c>
      <c r="E9177" t="inlineStr">
        <is>
          <t>SEC</t>
        </is>
      </c>
    </row>
    <row r="9178">
      <c r="A9178" s="5">
        <f>HYPERLINK("https://finance.yahoo.com/quote/RVSNW","RVSNW")</f>
        <v/>
      </c>
      <c r="B9178" t="inlineStr">
        <is>
          <t>Rail Vision Ltd.</t>
        </is>
      </c>
      <c r="C9178" t="inlineStr">
        <is>
          <t>Nasdaq</t>
        </is>
      </c>
      <c r="D9178" t="n">
        <v>1743905</v>
      </c>
      <c r="E9178" t="inlineStr">
        <is>
          <t>SEC</t>
        </is>
      </c>
    </row>
    <row r="9179">
      <c r="A9179" s="5">
        <f>HYPERLINK("https://finance.yahoo.com/quote/TCMEF","TCMEF")</f>
        <v/>
      </c>
      <c r="B9179" t="inlineStr">
        <is>
          <t>Tencent Music Entertainment Group</t>
        </is>
      </c>
      <c r="C9179" t="inlineStr">
        <is>
          <t>OTC</t>
        </is>
      </c>
      <c r="D9179" t="n">
        <v>1744676</v>
      </c>
      <c r="E9179" t="inlineStr">
        <is>
          <t>SEC</t>
        </is>
      </c>
    </row>
    <row r="9180">
      <c r="A9180" s="5">
        <f>HYPERLINK("https://finance.yahoo.com/quote/SITIF","SITIF")</f>
        <v/>
      </c>
      <c r="B9180" t="inlineStr">
        <is>
          <t>SITC International Holdings Co Limited/ADR</t>
        </is>
      </c>
      <c r="C9180" t="inlineStr">
        <is>
          <t>OTC</t>
        </is>
      </c>
      <c r="D9180" t="n">
        <v>1746031</v>
      </c>
      <c r="E9180" t="inlineStr">
        <is>
          <t>SEC</t>
        </is>
      </c>
    </row>
    <row r="9181">
      <c r="A9181" s="5">
        <f>HYPERLINK("https://finance.yahoo.com/quote/NEPRY","NEPRY")</f>
        <v/>
      </c>
      <c r="B9181" t="inlineStr">
        <is>
          <t>NEPI Rockcastle plc/ADR</t>
        </is>
      </c>
      <c r="C9181" t="inlineStr">
        <is>
          <t>OTC</t>
        </is>
      </c>
      <c r="D9181" t="n">
        <v>1747570</v>
      </c>
      <c r="E9181" t="inlineStr">
        <is>
          <t>SEC</t>
        </is>
      </c>
    </row>
    <row r="9182">
      <c r="A9182" s="5">
        <f>HYPERLINK("https://finance.yahoo.com/quote/NEOVW","NEOVW")</f>
        <v/>
      </c>
      <c r="B9182" t="inlineStr">
        <is>
          <t>NeoVolta Inc.</t>
        </is>
      </c>
      <c r="C9182" t="inlineStr">
        <is>
          <t>Nasdaq</t>
        </is>
      </c>
      <c r="D9182" t="n">
        <v>1748137</v>
      </c>
      <c r="E9182" t="inlineStr">
        <is>
          <t>SEC</t>
        </is>
      </c>
    </row>
    <row r="9183">
      <c r="A9183" s="5">
        <f>HYPERLINK("https://finance.yahoo.com/quote/GPOD","GPOD")</f>
        <v/>
      </c>
      <c r="B9183" t="inlineStr">
        <is>
          <t>GPODS, INC.</t>
        </is>
      </c>
      <c r="C9183" t="inlineStr">
        <is>
          <t>OTC</t>
        </is>
      </c>
      <c r="D9183" t="n">
        <v>1748232</v>
      </c>
      <c r="E9183" t="inlineStr">
        <is>
          <t>SEC</t>
        </is>
      </c>
    </row>
    <row r="9184">
      <c r="A9184" s="5">
        <f>HYPERLINK("https://finance.yahoo.com/quote/OWSCX","OWSCX")</f>
        <v/>
      </c>
      <c r="B9184" t="inlineStr">
        <is>
          <t>1WS Credit Income Fund</t>
        </is>
      </c>
      <c r="C9184" t="inlineStr"/>
      <c r="D9184" t="n">
        <v>1748680</v>
      </c>
      <c r="E9184" t="inlineStr">
        <is>
          <t>SEC</t>
        </is>
      </c>
    </row>
    <row r="9185">
      <c r="A9185" s="5">
        <f>HYPERLINK("https://finance.yahoo.com/quote/XIACF","XIACF")</f>
        <v/>
      </c>
      <c r="B9185" t="inlineStr">
        <is>
          <t>Xiaomi Corporation/ADR</t>
        </is>
      </c>
      <c r="C9185" t="inlineStr">
        <is>
          <t>OTC</t>
        </is>
      </c>
      <c r="D9185" t="n">
        <v>1748830</v>
      </c>
      <c r="E9185" t="inlineStr">
        <is>
          <t>SEC</t>
        </is>
      </c>
    </row>
    <row r="9186">
      <c r="A9186" s="5">
        <f>HYPERLINK("https://finance.yahoo.com/quote/NFEGP","NFEGP")</f>
        <v/>
      </c>
      <c r="B9186" t="inlineStr">
        <is>
          <t>New Fortress Energy Inc.</t>
        </is>
      </c>
      <c r="C9186" t="inlineStr">
        <is>
          <t>Nasdaq</t>
        </is>
      </c>
      <c r="D9186" t="n">
        <v>1749723</v>
      </c>
      <c r="E9186" t="inlineStr">
        <is>
          <t>SEC</t>
        </is>
      </c>
    </row>
    <row r="9187">
      <c r="A9187" s="5">
        <f>HYPERLINK("https://finance.yahoo.com/quote/CHWRF","CHWRF")</f>
        <v/>
      </c>
      <c r="B9187" t="inlineStr">
        <is>
          <t>China Tower Corp Limited/ADR</t>
        </is>
      </c>
      <c r="C9187" t="inlineStr">
        <is>
          <t>OTC</t>
        </is>
      </c>
      <c r="D9187" t="n">
        <v>1751162</v>
      </c>
      <c r="E9187" t="inlineStr">
        <is>
          <t>SEC</t>
        </is>
      </c>
    </row>
    <row r="9188">
      <c r="A9188" s="5">
        <f>HYPERLINK("https://finance.yahoo.com/quote/MRCIF","MRCIF")</f>
        <v/>
      </c>
      <c r="B9188" t="inlineStr">
        <is>
          <t>Mercari, Inc./ADR</t>
        </is>
      </c>
      <c r="C9188" t="inlineStr">
        <is>
          <t>OTC</t>
        </is>
      </c>
      <c r="D9188" t="n">
        <v>1752564</v>
      </c>
      <c r="E9188" t="inlineStr">
        <is>
          <t>SEC</t>
        </is>
      </c>
    </row>
    <row r="9189">
      <c r="A9189" s="5">
        <f>HYPERLINK("https://finance.yahoo.com/quote/LARAX","LARAX")</f>
        <v/>
      </c>
      <c r="B9189" t="inlineStr">
        <is>
          <t>Lord Abbett Credit Opportunities Fund</t>
        </is>
      </c>
      <c r="C9189" t="inlineStr"/>
      <c r="D9189" t="n">
        <v>1753712</v>
      </c>
      <c r="E9189" t="inlineStr">
        <is>
          <t>SEC</t>
        </is>
      </c>
    </row>
    <row r="9190">
      <c r="A9190" s="5">
        <f>HYPERLINK("https://finance.yahoo.com/quote/MPNGF","MPNGF")</f>
        <v/>
      </c>
      <c r="B9190" t="inlineStr">
        <is>
          <t>Meituan Dianping/ADR</t>
        </is>
      </c>
      <c r="C9190" t="inlineStr">
        <is>
          <t>OTC</t>
        </is>
      </c>
      <c r="D9190" t="n">
        <v>1754088</v>
      </c>
      <c r="E9190" t="inlineStr">
        <is>
          <t>SEC</t>
        </is>
      </c>
    </row>
    <row r="9191">
      <c r="A9191" s="5">
        <f>HYPERLINK("https://finance.yahoo.com/quote/XTKGF","XTKGF")</f>
        <v/>
      </c>
      <c r="B9191" t="inlineStr">
        <is>
          <t>X3 Holdings Co., Ltd.</t>
        </is>
      </c>
      <c r="C9191" t="inlineStr">
        <is>
          <t>OTC</t>
        </is>
      </c>
      <c r="D9191" t="n">
        <v>1754323</v>
      </c>
      <c r="E9191" t="inlineStr">
        <is>
          <t>SEC</t>
        </is>
      </c>
    </row>
    <row r="9192">
      <c r="A9192" s="5">
        <f>HYPERLINK("https://finance.yahoo.com/quote/EICA","EICA")</f>
        <v/>
      </c>
      <c r="B9192" t="inlineStr">
        <is>
          <t>Eagle Point Income Co</t>
        </is>
      </c>
      <c r="C9192" t="inlineStr">
        <is>
          <t>NYSE</t>
        </is>
      </c>
      <c r="D9192" t="n">
        <v>1754836</v>
      </c>
      <c r="E9192" t="inlineStr">
        <is>
          <t>SEC</t>
        </is>
      </c>
    </row>
    <row r="9193">
      <c r="A9193" s="5">
        <f>HYPERLINK("https://finance.yahoo.com/quote/CPLX","CPLX")</f>
        <v/>
      </c>
      <c r="B9193" t="inlineStr">
        <is>
          <t>Certiplex Corp</t>
        </is>
      </c>
      <c r="C9193" t="inlineStr">
        <is>
          <t>OTC</t>
        </is>
      </c>
      <c r="D9193" t="n">
        <v>1755347</v>
      </c>
      <c r="E9193" t="inlineStr">
        <is>
          <t>SEC</t>
        </is>
      </c>
    </row>
    <row r="9194">
      <c r="A9194" s="5">
        <f>HYPERLINK("https://finance.yahoo.com/quote/PDSKX","PDSKX")</f>
        <v/>
      </c>
      <c r="B9194" t="inlineStr">
        <is>
          <t>Principal Real Asset Fund</t>
        </is>
      </c>
      <c r="C9194" t="inlineStr"/>
      <c r="D9194" t="n">
        <v>1756404</v>
      </c>
      <c r="E9194" t="inlineStr">
        <is>
          <t>SEC</t>
        </is>
      </c>
    </row>
    <row r="9195">
      <c r="A9195" s="5">
        <f>HYPERLINK("https://finance.yahoo.com/quote/TRSO","TRSO")</f>
        <v/>
      </c>
      <c r="B9195" t="inlineStr">
        <is>
          <t>TRANSUITE.ORG INC.</t>
        </is>
      </c>
      <c r="C9195" t="inlineStr">
        <is>
          <t>OTC</t>
        </is>
      </c>
      <c r="D9195" t="n">
        <v>1758699</v>
      </c>
      <c r="E9195" t="inlineStr">
        <is>
          <t>SEC</t>
        </is>
      </c>
    </row>
    <row r="9196">
      <c r="A9196" s="5">
        <f>HYPERLINK("https://finance.yahoo.com/quote/ALTG-PA","ALTG-PA")</f>
        <v/>
      </c>
      <c r="B9196" t="inlineStr">
        <is>
          <t>ALTA EQUIPMENT GROUP INC.</t>
        </is>
      </c>
      <c r="C9196" t="inlineStr">
        <is>
          <t>NYSE</t>
        </is>
      </c>
      <c r="D9196" t="n">
        <v>1759824</v>
      </c>
      <c r="E9196" t="inlineStr">
        <is>
          <t>SEC</t>
        </is>
      </c>
    </row>
    <row r="9197">
      <c r="A9197" s="5">
        <f>HYPERLINK("https://finance.yahoo.com/quote/NNBXF","NNBXF")</f>
        <v/>
      </c>
      <c r="B9197" t="inlineStr">
        <is>
          <t>Nanobiotix S.A.</t>
        </is>
      </c>
      <c r="C9197" t="inlineStr">
        <is>
          <t>OTC</t>
        </is>
      </c>
      <c r="D9197" t="n">
        <v>1760854</v>
      </c>
      <c r="E9197" t="inlineStr">
        <is>
          <t>SEC</t>
        </is>
      </c>
    </row>
    <row r="9198">
      <c r="A9198" s="5">
        <f>HYPERLINK("https://finance.yahoo.com/quote/DAIUF","DAIUF")</f>
        <v/>
      </c>
      <c r="B9198" t="inlineStr">
        <is>
          <t>Daifuku Co., Ltd./ADR</t>
        </is>
      </c>
      <c r="C9198" t="inlineStr">
        <is>
          <t>OTC</t>
        </is>
      </c>
      <c r="D9198" t="n">
        <v>1762831</v>
      </c>
      <c r="E9198" t="inlineStr">
        <is>
          <t>SEC</t>
        </is>
      </c>
    </row>
    <row r="9199">
      <c r="A9199" s="5">
        <f>HYPERLINK("https://finance.yahoo.com/quote/GCGJ","GCGJ")</f>
        <v/>
      </c>
      <c r="B9199" t="inlineStr">
        <is>
          <t>GUOCHUN INTERNATIONAL INC.</t>
        </is>
      </c>
      <c r="C9199" t="inlineStr">
        <is>
          <t>OTC</t>
        </is>
      </c>
      <c r="D9199" t="n">
        <v>1765048</v>
      </c>
      <c r="E9199" t="inlineStr">
        <is>
          <t>SEC</t>
        </is>
      </c>
    </row>
    <row r="9200">
      <c r="A9200" s="5">
        <f>HYPERLINK("https://finance.yahoo.com/quote/AOMD","AOMD")</f>
        <v/>
      </c>
      <c r="B9200" t="inlineStr">
        <is>
          <t>Angel Oak Mortgage REIT, Inc.</t>
        </is>
      </c>
      <c r="C9200" t="inlineStr">
        <is>
          <t>NYSE</t>
        </is>
      </c>
      <c r="D9200" t="n">
        <v>1766478</v>
      </c>
      <c r="E9200" t="inlineStr">
        <is>
          <t>SEC</t>
        </is>
      </c>
    </row>
    <row r="9201">
      <c r="A9201" s="5">
        <f>HYPERLINK("https://finance.yahoo.com/quote/AOMN","AOMN")</f>
        <v/>
      </c>
      <c r="B9201" t="inlineStr">
        <is>
          <t>Angel Oak Mortgage REIT, Inc.</t>
        </is>
      </c>
      <c r="C9201" t="inlineStr">
        <is>
          <t>NYSE</t>
        </is>
      </c>
      <c r="D9201" t="n">
        <v>1766478</v>
      </c>
      <c r="E9201" t="inlineStr">
        <is>
          <t>SEC</t>
        </is>
      </c>
    </row>
    <row r="9202">
      <c r="A9202" s="5">
        <f>HYPERLINK("https://finance.yahoo.com/quote/ADDTF","ADDTF")</f>
        <v/>
      </c>
      <c r="B9202" t="inlineStr">
        <is>
          <t>Addtech AB/ADR</t>
        </is>
      </c>
      <c r="C9202" t="inlineStr">
        <is>
          <t>OTC</t>
        </is>
      </c>
      <c r="D9202" t="n">
        <v>1766868</v>
      </c>
      <c r="E9202" t="inlineStr">
        <is>
          <t>SEC</t>
        </is>
      </c>
    </row>
    <row r="9203">
      <c r="A9203" s="5">
        <f>HYPERLINK("https://finance.yahoo.com/quote/ILLRW","ILLRW")</f>
        <v/>
      </c>
      <c r="B9203" t="inlineStr">
        <is>
          <t>Triller Group Inc.</t>
        </is>
      </c>
      <c r="C9203" t="inlineStr">
        <is>
          <t>OTC</t>
        </is>
      </c>
      <c r="D9203" t="n">
        <v>1769624</v>
      </c>
      <c r="E9203" t="inlineStr">
        <is>
          <t>SEC</t>
        </is>
      </c>
    </row>
    <row r="9204">
      <c r="A9204" s="5">
        <f>HYPERLINK("https://finance.yahoo.com/quote/XRXDW","XRXDW")</f>
        <v/>
      </c>
      <c r="B9204" t="inlineStr">
        <is>
          <t>Xerox Holdings Corp</t>
        </is>
      </c>
      <c r="C9204" t="inlineStr">
        <is>
          <t>Nasdaq</t>
        </is>
      </c>
      <c r="D9204" t="n">
        <v>1770450</v>
      </c>
      <c r="E9204" t="inlineStr">
        <is>
          <t>SEC</t>
        </is>
      </c>
    </row>
    <row r="9205">
      <c r="A9205" s="5">
        <f>HYPERLINK("https://finance.yahoo.com/quote/IVBXF","IVBXF")</f>
        <v/>
      </c>
      <c r="B9205" t="inlineStr">
        <is>
          <t>Innovent Biologics Inc/ADR</t>
        </is>
      </c>
      <c r="C9205" t="inlineStr">
        <is>
          <t>OTC</t>
        </is>
      </c>
      <c r="D9205" t="n">
        <v>1774163</v>
      </c>
      <c r="E9205" t="inlineStr">
        <is>
          <t>SEC</t>
        </is>
      </c>
    </row>
    <row r="9206">
      <c r="A9206" s="5">
        <f>HYPERLINK("https://finance.yahoo.com/quote/BENFW","BENFW")</f>
        <v/>
      </c>
      <c r="B9206" t="inlineStr">
        <is>
          <t>Beneficient</t>
        </is>
      </c>
      <c r="C9206" t="inlineStr">
        <is>
          <t>Nasdaq</t>
        </is>
      </c>
      <c r="D9206" t="n">
        <v>1775734</v>
      </c>
      <c r="E9206" t="inlineStr">
        <is>
          <t>SEC</t>
        </is>
      </c>
    </row>
    <row r="9207">
      <c r="A9207" s="5">
        <f>HYPERLINK("https://finance.yahoo.com/quote/WEBJF","WEBJF")</f>
        <v/>
      </c>
      <c r="B9207" t="inlineStr">
        <is>
          <t>WebBeds Group Limited/ADR</t>
        </is>
      </c>
      <c r="C9207" t="inlineStr">
        <is>
          <t>OTC</t>
        </is>
      </c>
      <c r="D9207" t="n">
        <v>1778788</v>
      </c>
      <c r="E9207" t="inlineStr">
        <is>
          <t>SEC</t>
        </is>
      </c>
    </row>
    <row r="9208">
      <c r="A9208" s="5">
        <f>HYPERLINK("https://finance.yahoo.com/quote/ANKM","ANKM")</f>
        <v/>
      </c>
      <c r="B9208" t="inlineStr">
        <is>
          <t>Ankam, Inc.</t>
        </is>
      </c>
      <c r="C9208" t="inlineStr">
        <is>
          <t>OTC</t>
        </is>
      </c>
      <c r="D9208" t="n">
        <v>1781629</v>
      </c>
      <c r="E9208" t="inlineStr">
        <is>
          <t>SEC</t>
        </is>
      </c>
    </row>
    <row r="9209">
      <c r="A9209" s="5">
        <f>HYPERLINK("https://finance.yahoo.com/quote/ACAT","ACAT")</f>
        <v/>
      </c>
      <c r="B9209" t="inlineStr">
        <is>
          <t>NP Life Sciences Health Industry Group Inc.</t>
        </is>
      </c>
      <c r="C9209" t="inlineStr">
        <is>
          <t>OTC</t>
        </is>
      </c>
      <c r="D9209" t="n">
        <v>1781726</v>
      </c>
      <c r="E9209" t="inlineStr">
        <is>
          <t>SEC</t>
        </is>
      </c>
    </row>
    <row r="9210">
      <c r="A9210" s="5">
        <f>HYPERLINK("https://finance.yahoo.com/quote/PRTCY","PRTCY")</f>
        <v/>
      </c>
      <c r="B9210" t="inlineStr">
        <is>
          <t>PureTech Health plc</t>
        </is>
      </c>
      <c r="C9210" t="inlineStr">
        <is>
          <t>OTC</t>
        </is>
      </c>
      <c r="D9210" t="n">
        <v>1782999</v>
      </c>
      <c r="E9210" t="inlineStr">
        <is>
          <t>SEC</t>
        </is>
      </c>
    </row>
    <row r="9211">
      <c r="A9211" s="5">
        <f>HYPERLINK("https://finance.yahoo.com/quote/TRNI","TRNI")</f>
        <v/>
      </c>
      <c r="B9211" t="inlineStr">
        <is>
          <t>Trinity Capital Inc.</t>
        </is>
      </c>
      <c r="C9211" t="inlineStr">
        <is>
          <t>NYSE</t>
        </is>
      </c>
      <c r="D9211" t="n">
        <v>1786108</v>
      </c>
      <c r="E9211" t="inlineStr">
        <is>
          <t>SEC</t>
        </is>
      </c>
    </row>
    <row r="9212">
      <c r="A9212" s="5">
        <f>HYPERLINK("https://finance.yahoo.com/quote/TRNZ","TRNZ")</f>
        <v/>
      </c>
      <c r="B9212" t="inlineStr">
        <is>
          <t>Trinity Capital Inc.</t>
        </is>
      </c>
      <c r="C9212" t="inlineStr">
        <is>
          <t>NYSE</t>
        </is>
      </c>
      <c r="D9212" t="n">
        <v>1786108</v>
      </c>
      <c r="E9212" t="inlineStr">
        <is>
          <t>SEC</t>
        </is>
      </c>
    </row>
    <row r="9213">
      <c r="A9213" s="5">
        <f>HYPERLINK("https://finance.yahoo.com/quote/PINE-PA","PINE-PA")</f>
        <v/>
      </c>
      <c r="B9213" t="inlineStr">
        <is>
          <t>Alpine Income Property Trust, Inc.</t>
        </is>
      </c>
      <c r="C9213" t="inlineStr">
        <is>
          <t>NYSE</t>
        </is>
      </c>
      <c r="D9213" t="n">
        <v>1786117</v>
      </c>
      <c r="E9213" t="inlineStr">
        <is>
          <t>SEC</t>
        </is>
      </c>
    </row>
    <row r="9214">
      <c r="A9214" s="5">
        <f>HYPERLINK("https://finance.yahoo.com/quote/NREF-PA","NREF-PA")</f>
        <v/>
      </c>
      <c r="B9214" t="inlineStr">
        <is>
          <t>NexPoint Real Estate Finance, Inc.</t>
        </is>
      </c>
      <c r="C9214" t="inlineStr">
        <is>
          <t>NYSE</t>
        </is>
      </c>
      <c r="D9214" t="n">
        <v>1786248</v>
      </c>
      <c r="E9214" t="inlineStr">
        <is>
          <t>SEC</t>
        </is>
      </c>
    </row>
    <row r="9215">
      <c r="A9215" s="5">
        <f>HYPERLINK("https://finance.yahoo.com/quote/DFNSW","DFNSW")</f>
        <v/>
      </c>
      <c r="B9215" t="inlineStr">
        <is>
          <t>T3 Defense Inc.</t>
        </is>
      </c>
      <c r="C9215" t="inlineStr">
        <is>
          <t>Nasdaq</t>
        </is>
      </c>
      <c r="D9215" t="n">
        <v>1787518</v>
      </c>
      <c r="E9215" t="inlineStr">
        <is>
          <t>SEC</t>
        </is>
      </c>
    </row>
    <row r="9216">
      <c r="A9216" s="5">
        <f>HYPERLINK("https://finance.yahoo.com/quote/OTGLF","OTGLF")</f>
        <v/>
      </c>
      <c r="B9216" t="inlineStr">
        <is>
          <t>CD Projekt S.A./ADR</t>
        </is>
      </c>
      <c r="C9216" t="inlineStr">
        <is>
          <t>OTC</t>
        </is>
      </c>
      <c r="D9216" t="n">
        <v>1788235</v>
      </c>
      <c r="E9216" t="inlineStr">
        <is>
          <t>SEC</t>
        </is>
      </c>
    </row>
    <row r="9217">
      <c r="A9217" s="5">
        <f>HYPERLINK("https://finance.yahoo.com/quote/ADYYF","ADYYF")</f>
        <v/>
      </c>
      <c r="B9217" t="inlineStr">
        <is>
          <t>Adyen N.V./ADR</t>
        </is>
      </c>
      <c r="C9217" t="inlineStr">
        <is>
          <t>OTC</t>
        </is>
      </c>
      <c r="D9217" t="n">
        <v>1788707</v>
      </c>
      <c r="E9217" t="inlineStr">
        <is>
          <t>SEC</t>
        </is>
      </c>
    </row>
    <row r="9218">
      <c r="A9218" s="5">
        <f>HYPERLINK("https://finance.yahoo.com/quote/PSKRF","PSKRF")</f>
        <v/>
      </c>
      <c r="B9218" t="inlineStr">
        <is>
          <t>Protector Forsikring/ADR</t>
        </is>
      </c>
      <c r="C9218" t="inlineStr">
        <is>
          <t>OTC</t>
        </is>
      </c>
      <c r="D9218" t="n">
        <v>1789444</v>
      </c>
      <c r="E9218" t="inlineStr">
        <is>
          <t>SEC</t>
        </is>
      </c>
    </row>
    <row r="9219">
      <c r="A9219" s="5">
        <f>HYPERLINK("https://finance.yahoo.com/quote/SVIX","SVIX")</f>
        <v/>
      </c>
      <c r="B9219" t="inlineStr">
        <is>
          <t>VS Trust</t>
        </is>
      </c>
      <c r="C9219" t="inlineStr">
        <is>
          <t>CBOE</t>
        </is>
      </c>
      <c r="D9219" t="n">
        <v>1793497</v>
      </c>
      <c r="E9219" t="inlineStr">
        <is>
          <t>SEC</t>
        </is>
      </c>
    </row>
    <row r="9220">
      <c r="A9220" s="5">
        <f>HYPERLINK("https://finance.yahoo.com/quote/SDMHF","SDMHF")</f>
        <v/>
      </c>
      <c r="B9220" t="inlineStr">
        <is>
          <t>Sartorius Stedim Biotech S.A./ADR</t>
        </is>
      </c>
      <c r="C9220" t="inlineStr">
        <is>
          <t>OTC</t>
        </is>
      </c>
      <c r="D9220" t="n">
        <v>1794363</v>
      </c>
      <c r="E9220" t="inlineStr">
        <is>
          <t>SEC</t>
        </is>
      </c>
    </row>
    <row r="9221">
      <c r="A9221" s="5">
        <f>HYPERLINK("https://finance.yahoo.com/quote/FOUR-PA","FOUR-PA")</f>
        <v/>
      </c>
      <c r="B9221" t="inlineStr">
        <is>
          <t>Shift4 Payments, Inc.</t>
        </is>
      </c>
      <c r="C9221" t="inlineStr">
        <is>
          <t>NYSE</t>
        </is>
      </c>
      <c r="D9221" t="n">
        <v>1794669</v>
      </c>
      <c r="E9221" t="inlineStr">
        <is>
          <t>SEC</t>
        </is>
      </c>
    </row>
    <row r="9222">
      <c r="A9222" s="5">
        <f>HYPERLINK("https://finance.yahoo.com/quote/KCLHF","KCLHF")</f>
        <v/>
      </c>
      <c r="B9222" t="inlineStr">
        <is>
          <t>Kingsoft Cloud Holdings Ltd</t>
        </is>
      </c>
      <c r="C9222" t="inlineStr">
        <is>
          <t>OTC</t>
        </is>
      </c>
      <c r="D9222" t="n">
        <v>1795589</v>
      </c>
      <c r="E9222" t="inlineStr">
        <is>
          <t>SEC</t>
        </is>
      </c>
    </row>
    <row r="9223">
      <c r="A9223" s="5">
        <f>HYPERLINK("https://finance.yahoo.com/quote/DNOPF","DNOPF")</f>
        <v/>
      </c>
      <c r="B9223" t="inlineStr">
        <is>
          <t>Dino Polska S.A./ADR</t>
        </is>
      </c>
      <c r="C9223" t="inlineStr">
        <is>
          <t>OTC</t>
        </is>
      </c>
      <c r="D9223" t="n">
        <v>1796026</v>
      </c>
      <c r="E9223" t="inlineStr">
        <is>
          <t>SEC</t>
        </is>
      </c>
    </row>
    <row r="9224">
      <c r="A9224" s="5">
        <f>HYPERLINK("https://finance.yahoo.com/quote/STLNW","STLNW")</f>
        <v/>
      </c>
      <c r="B9224" t="inlineStr">
        <is>
          <t>Starling Oncology, Inc.</t>
        </is>
      </c>
      <c r="C9224" t="inlineStr">
        <is>
          <t>Nasdaq</t>
        </is>
      </c>
      <c r="D9224" t="n">
        <v>1799191</v>
      </c>
      <c r="E9224" t="inlineStr">
        <is>
          <t>SEC</t>
        </is>
      </c>
    </row>
    <row r="9225">
      <c r="A9225" s="5">
        <f>HYPERLINK("https://finance.yahoo.com/quote/VENAF","VENAF")</f>
        <v/>
      </c>
      <c r="B9225" t="inlineStr">
        <is>
          <t>MicroAlgo Inc.</t>
        </is>
      </c>
      <c r="C9225" t="inlineStr">
        <is>
          <t>OTC</t>
        </is>
      </c>
      <c r="D9225" t="n">
        <v>1800392</v>
      </c>
      <c r="E9225" t="inlineStr">
        <is>
          <t>SEC</t>
        </is>
      </c>
    </row>
    <row r="9226">
      <c r="A9226" s="5">
        <f>HYPERLINK("https://finance.yahoo.com/quote/OPENL","OPENL")</f>
        <v/>
      </c>
      <c r="B9226" t="inlineStr">
        <is>
          <t>Opendoor Technologies Inc.</t>
        </is>
      </c>
      <c r="C9226" t="inlineStr">
        <is>
          <t>Nasdaq</t>
        </is>
      </c>
      <c r="D9226" t="n">
        <v>1801169</v>
      </c>
      <c r="E9226" t="inlineStr">
        <is>
          <t>SEC</t>
        </is>
      </c>
    </row>
    <row r="9227">
      <c r="A9227" s="5">
        <f>HYPERLINK("https://finance.yahoo.com/quote/OPENW","OPENW")</f>
        <v/>
      </c>
      <c r="B9227" t="inlineStr">
        <is>
          <t>Opendoor Technologies Inc.</t>
        </is>
      </c>
      <c r="C9227" t="inlineStr">
        <is>
          <t>Nasdaq</t>
        </is>
      </c>
      <c r="D9227" t="n">
        <v>1801169</v>
      </c>
      <c r="E9227" t="inlineStr">
        <is>
          <t>SEC</t>
        </is>
      </c>
    </row>
    <row r="9228">
      <c r="A9228" s="5">
        <f>HYPERLINK("https://finance.yahoo.com/quote/OPENZ","OPENZ")</f>
        <v/>
      </c>
      <c r="B9228" t="inlineStr">
        <is>
          <t>Opendoor Technologies Inc.</t>
        </is>
      </c>
      <c r="C9228" t="inlineStr">
        <is>
          <t>Nasdaq</t>
        </is>
      </c>
      <c r="D9228" t="n">
        <v>1801169</v>
      </c>
      <c r="E9228" t="inlineStr">
        <is>
          <t>SEC</t>
        </is>
      </c>
    </row>
    <row r="9229">
      <c r="A9229" s="5">
        <f>HYPERLINK("https://finance.yahoo.com/quote/BYNOU","BYNOU")</f>
        <v/>
      </c>
      <c r="B9229" t="inlineStr">
        <is>
          <t>byNordic Acquisition Corp</t>
        </is>
      </c>
      <c r="C9229" t="inlineStr">
        <is>
          <t>OTC</t>
        </is>
      </c>
      <c r="D9229" t="n">
        <v>1801417</v>
      </c>
      <c r="E9229" t="inlineStr">
        <is>
          <t>SEC</t>
        </is>
      </c>
    </row>
    <row r="9230">
      <c r="A9230" s="5">
        <f>HYPERLINK("https://finance.yahoo.com/quote/BYNOW","BYNOW")</f>
        <v/>
      </c>
      <c r="B9230" t="inlineStr">
        <is>
          <t>byNordic Acquisition Corp</t>
        </is>
      </c>
      <c r="C9230" t="inlineStr">
        <is>
          <t>OTC</t>
        </is>
      </c>
      <c r="D9230" t="n">
        <v>1801417</v>
      </c>
      <c r="E9230" t="inlineStr">
        <is>
          <t>SEC</t>
        </is>
      </c>
    </row>
    <row r="9231">
      <c r="A9231" s="5">
        <f>HYPERLINK("https://finance.yahoo.com/quote/SBIGW","SBIGW")</f>
        <v/>
      </c>
      <c r="B9231" t="inlineStr">
        <is>
          <t>SBIG Holdings, Inc.</t>
        </is>
      </c>
      <c r="C9231" t="inlineStr">
        <is>
          <t>OTC</t>
        </is>
      </c>
      <c r="D9231" t="n">
        <v>1801602</v>
      </c>
      <c r="E9231" t="inlineStr">
        <is>
          <t>SEC</t>
        </is>
      </c>
    </row>
    <row r="9232">
      <c r="A9232" s="5">
        <f>HYPERLINK("https://finance.yahoo.com/quote/NCLTF","NCLTF")</f>
        <v/>
      </c>
      <c r="B9232" t="inlineStr">
        <is>
          <t>Nitori Holdings Co., Ltd.</t>
        </is>
      </c>
      <c r="C9232" t="inlineStr">
        <is>
          <t>OTC</t>
        </is>
      </c>
      <c r="D9232" t="n">
        <v>1801729</v>
      </c>
      <c r="E9232" t="inlineStr">
        <is>
          <t>SEC</t>
        </is>
      </c>
    </row>
    <row r="9233">
      <c r="A9233" s="5">
        <f>HYPERLINK("https://finance.yahoo.com/quote/TSKWF","TSKWF")</f>
        <v/>
      </c>
      <c r="B9233" t="inlineStr">
        <is>
          <t>Talisker Resources Ltd.</t>
        </is>
      </c>
      <c r="C9233" t="inlineStr">
        <is>
          <t>OTC</t>
        </is>
      </c>
      <c r="D9233" t="n">
        <v>1803800</v>
      </c>
      <c r="E9233" t="inlineStr">
        <is>
          <t>SEC</t>
        </is>
      </c>
    </row>
    <row r="9234">
      <c r="A9234" s="5">
        <f>HYPERLINK("https://finance.yahoo.com/quote/EOSEW","EOSEW")</f>
        <v/>
      </c>
      <c r="B9234" t="inlineStr">
        <is>
          <t>Eos Energy Enterprises, Inc.</t>
        </is>
      </c>
      <c r="C9234" t="inlineStr">
        <is>
          <t>Nasdaq</t>
        </is>
      </c>
      <c r="D9234" t="n">
        <v>1805077</v>
      </c>
      <c r="E9234" t="inlineStr">
        <is>
          <t>SEC</t>
        </is>
      </c>
    </row>
    <row r="9235">
      <c r="A9235" s="5">
        <f>HYPERLINK("https://finance.yahoo.com/quote/DFDVW","DFDVW")</f>
        <v/>
      </c>
      <c r="B9235" t="inlineStr">
        <is>
          <t>DeFi Development Corp.</t>
        </is>
      </c>
      <c r="C9235" t="inlineStr">
        <is>
          <t>Nasdaq</t>
        </is>
      </c>
      <c r="D9235" t="n">
        <v>1805526</v>
      </c>
      <c r="E9235" t="inlineStr">
        <is>
          <t>SEC</t>
        </is>
      </c>
    </row>
    <row r="9236">
      <c r="A9236" s="5">
        <f>HYPERLINK("https://finance.yahoo.com/quote/DFUKF","DFUKF")</f>
        <v/>
      </c>
      <c r="B9236" t="inlineStr">
        <is>
          <t>DeFi Development Corp.</t>
        </is>
      </c>
      <c r="C9236" t="inlineStr">
        <is>
          <t>OTC</t>
        </is>
      </c>
      <c r="D9236" t="n">
        <v>1805526</v>
      </c>
      <c r="E9236" t="inlineStr">
        <is>
          <t>SEC</t>
        </is>
      </c>
    </row>
    <row r="9237">
      <c r="A9237" s="5">
        <f>HYPERLINK("https://finance.yahoo.com/quote/SSTPW","SSTPW")</f>
        <v/>
      </c>
      <c r="B9237" t="inlineStr">
        <is>
          <t>System1, Inc.</t>
        </is>
      </c>
      <c r="C9237" t="inlineStr">
        <is>
          <t>OTC</t>
        </is>
      </c>
      <c r="D9237" t="n">
        <v>1805833</v>
      </c>
      <c r="E9237" t="inlineStr">
        <is>
          <t>SEC</t>
        </is>
      </c>
    </row>
    <row r="9238">
      <c r="A9238" s="5">
        <f>HYPERLINK("https://finance.yahoo.com/quote/PMVCW","PMVCW")</f>
        <v/>
      </c>
      <c r="B9238" t="inlineStr">
        <is>
          <t>PMV Consumer Acquisition Corp.</t>
        </is>
      </c>
      <c r="C9238" t="inlineStr">
        <is>
          <t>OTC</t>
        </is>
      </c>
      <c r="D9238" t="n">
        <v>1807765</v>
      </c>
      <c r="E9238" t="inlineStr">
        <is>
          <t>SEC</t>
        </is>
      </c>
    </row>
    <row r="9239">
      <c r="A9239" s="5">
        <f>HYPERLINK("https://finance.yahoo.com/quote/LUCYW","LUCYW")</f>
        <v/>
      </c>
      <c r="B9239" t="inlineStr">
        <is>
          <t>Innovative Eyewear Inc</t>
        </is>
      </c>
      <c r="C9239" t="inlineStr">
        <is>
          <t>Nasdaq</t>
        </is>
      </c>
      <c r="D9239" t="n">
        <v>1808377</v>
      </c>
      <c r="E9239" t="inlineStr">
        <is>
          <t>SEC</t>
        </is>
      </c>
    </row>
    <row r="9240">
      <c r="A9240" s="5">
        <f>HYPERLINK("https://finance.yahoo.com/quote/EDBLW","EDBLW")</f>
        <v/>
      </c>
      <c r="B9240" t="inlineStr">
        <is>
          <t>Edible Garden AG Inc</t>
        </is>
      </c>
      <c r="C9240" t="inlineStr">
        <is>
          <t>Nasdaq</t>
        </is>
      </c>
      <c r="D9240" t="n">
        <v>1809750</v>
      </c>
      <c r="E9240" t="inlineStr">
        <is>
          <t>SEC</t>
        </is>
      </c>
    </row>
    <row r="9241">
      <c r="A9241" s="5">
        <f>HYPERLINK("https://finance.yahoo.com/quote/REVBW","REVBW")</f>
        <v/>
      </c>
      <c r="B9241" t="inlineStr">
        <is>
          <t>REVELATION BIOSCIENCES, INC.</t>
        </is>
      </c>
      <c r="C9241" t="inlineStr">
        <is>
          <t>Nasdaq</t>
        </is>
      </c>
      <c r="D9241" t="n">
        <v>1810560</v>
      </c>
      <c r="E9241" t="inlineStr">
        <is>
          <t>SEC</t>
        </is>
      </c>
    </row>
    <row r="9242">
      <c r="A9242" s="5">
        <f>HYPERLINK("https://finance.yahoo.com/quote/RENXF","RENXF")</f>
        <v/>
      </c>
      <c r="B9242" t="inlineStr">
        <is>
          <t>Renalytix plc</t>
        </is>
      </c>
      <c r="C9242" t="inlineStr">
        <is>
          <t>OTC</t>
        </is>
      </c>
      <c r="D9242" t="n">
        <v>1811115</v>
      </c>
      <c r="E9242" t="inlineStr">
        <is>
          <t>SEC</t>
        </is>
      </c>
    </row>
    <row r="9243">
      <c r="A9243" s="5">
        <f>HYPERLINK("https://finance.yahoo.com/quote/FOXOW","FOXOW")</f>
        <v/>
      </c>
      <c r="B9243" t="inlineStr">
        <is>
          <t>FOXO TECHNOLOGIES INC.</t>
        </is>
      </c>
      <c r="C9243" t="inlineStr">
        <is>
          <t>OTC</t>
        </is>
      </c>
      <c r="D9243" t="n">
        <v>1812360</v>
      </c>
      <c r="E9243" t="inlineStr">
        <is>
          <t>SEC</t>
        </is>
      </c>
    </row>
    <row r="9244">
      <c r="A9244" s="5">
        <f>HYPERLINK("https://finance.yahoo.com/quote/BURUW","BURUW")</f>
        <v/>
      </c>
      <c r="B9244" t="inlineStr">
        <is>
          <t>Nuburu, Inc.</t>
        </is>
      </c>
      <c r="C9244" t="inlineStr">
        <is>
          <t>OTC</t>
        </is>
      </c>
      <c r="D9244" t="n">
        <v>1814215</v>
      </c>
      <c r="E9244" t="inlineStr">
        <is>
          <t>SEC</t>
        </is>
      </c>
    </row>
    <row r="9245">
      <c r="A9245" s="5">
        <f>HYPERLINK("https://finance.yahoo.com/quote/ABXL","ABXL")</f>
        <v/>
      </c>
      <c r="B9245" t="inlineStr">
        <is>
          <t>Abacus Global Management, Inc.</t>
        </is>
      </c>
      <c r="C9245" t="inlineStr">
        <is>
          <t>NYSE</t>
        </is>
      </c>
      <c r="D9245" t="n">
        <v>1814287</v>
      </c>
      <c r="E9245" t="inlineStr">
        <is>
          <t>SEC</t>
        </is>
      </c>
    </row>
    <row r="9246">
      <c r="A9246" s="5">
        <f>HYPERLINK("https://finance.yahoo.com/quote/CYVNY","CYVNY")</f>
        <v/>
      </c>
      <c r="B9246" t="inlineStr">
        <is>
          <t>Opthea Ltd</t>
        </is>
      </c>
      <c r="C9246" t="inlineStr">
        <is>
          <t>OTC</t>
        </is>
      </c>
      <c r="D9246" t="n">
        <v>1815620</v>
      </c>
      <c r="E9246" t="inlineStr">
        <is>
          <t>SEC</t>
        </is>
      </c>
    </row>
    <row r="9247">
      <c r="A9247" s="5">
        <f>HYPERLINK("https://finance.yahoo.com/quote/MSOGF","MSOGF")</f>
        <v/>
      </c>
      <c r="B9247" t="inlineStr">
        <is>
          <t>MINISO Group Holding Ltd</t>
        </is>
      </c>
      <c r="C9247" t="inlineStr">
        <is>
          <t>OTC</t>
        </is>
      </c>
      <c r="D9247" t="n">
        <v>1815846</v>
      </c>
      <c r="E9247" t="inlineStr">
        <is>
          <t>SEC</t>
        </is>
      </c>
    </row>
    <row r="9248">
      <c r="A9248" s="5">
        <f>HYPERLINK("https://finance.yahoo.com/quote/HGASW","HGASW")</f>
        <v/>
      </c>
      <c r="B9248" t="inlineStr">
        <is>
          <t>Global Gas Corp</t>
        </is>
      </c>
      <c r="C9248" t="inlineStr">
        <is>
          <t>OTC</t>
        </is>
      </c>
      <c r="D9248" t="n">
        <v>1817232</v>
      </c>
      <c r="E9248" t="inlineStr">
        <is>
          <t>SEC</t>
        </is>
      </c>
    </row>
    <row r="9249">
      <c r="A9249" s="5">
        <f>HYPERLINK("https://finance.yahoo.com/quote/PHXE-P","PHXE-P")</f>
        <v/>
      </c>
      <c r="B9249" t="inlineStr">
        <is>
          <t>Phoenix Energy One, LLC</t>
        </is>
      </c>
      <c r="C9249" t="inlineStr">
        <is>
          <t>NYSE</t>
        </is>
      </c>
      <c r="D9249" t="n">
        <v>1818643</v>
      </c>
      <c r="E9249" t="inlineStr">
        <is>
          <t>SEC</t>
        </is>
      </c>
    </row>
    <row r="9250">
      <c r="A9250" s="5">
        <f>HYPERLINK("https://finance.yahoo.com/quote/SESCW","SESCW")</f>
        <v/>
      </c>
      <c r="B9250" t="inlineStr">
        <is>
          <t>SES AI Corp</t>
        </is>
      </c>
      <c r="C9250" t="inlineStr">
        <is>
          <t>OTC</t>
        </is>
      </c>
      <c r="D9250" t="n">
        <v>1819142</v>
      </c>
      <c r="E9250" t="inlineStr">
        <is>
          <t>SEC</t>
        </is>
      </c>
    </row>
    <row r="9251">
      <c r="A9251" s="5">
        <f>HYPERLINK("https://finance.yahoo.com/quote/SCLXW","SCLXW")</f>
        <v/>
      </c>
      <c r="B9251" t="inlineStr">
        <is>
          <t>Scilex Holding Co</t>
        </is>
      </c>
      <c r="C9251" t="inlineStr">
        <is>
          <t>Nasdaq</t>
        </is>
      </c>
      <c r="D9251" t="n">
        <v>1820190</v>
      </c>
      <c r="E9251" t="inlineStr">
        <is>
          <t>SEC</t>
        </is>
      </c>
    </row>
    <row r="9252">
      <c r="A9252" s="5">
        <f>HYPERLINK("https://finance.yahoo.com/quote/CXAIW","CXAIW")</f>
        <v/>
      </c>
      <c r="B9252" t="inlineStr">
        <is>
          <t>CXApp Inc.</t>
        </is>
      </c>
      <c r="C9252" t="inlineStr">
        <is>
          <t>Nasdaq</t>
        </is>
      </c>
      <c r="D9252" t="n">
        <v>1820875</v>
      </c>
      <c r="E9252" t="inlineStr">
        <is>
          <t>SEC</t>
        </is>
      </c>
    </row>
    <row r="9253">
      <c r="A9253" s="5">
        <f>HYPERLINK("https://finance.yahoo.com/quote/LSRCF","LSRCF")</f>
        <v/>
      </c>
      <c r="B9253" t="inlineStr">
        <is>
          <t>Lasertec Corporation/ADR</t>
        </is>
      </c>
      <c r="C9253" t="inlineStr">
        <is>
          <t>OTC</t>
        </is>
      </c>
      <c r="D9253" t="n">
        <v>1822989</v>
      </c>
      <c r="E9253" t="inlineStr">
        <is>
          <t>SEC</t>
        </is>
      </c>
    </row>
    <row r="9254">
      <c r="A9254" s="5">
        <f>HYPERLINK("https://finance.yahoo.com/quote/JXN-PA","JXN-PA")</f>
        <v/>
      </c>
      <c r="B9254" t="inlineStr">
        <is>
          <t>Jackson Financial Inc.</t>
        </is>
      </c>
      <c r="C9254" t="inlineStr">
        <is>
          <t>NYSE</t>
        </is>
      </c>
      <c r="D9254" t="n">
        <v>1822993</v>
      </c>
      <c r="E9254" t="inlineStr">
        <is>
          <t>SEC</t>
        </is>
      </c>
    </row>
    <row r="9255">
      <c r="A9255" s="5">
        <f>HYPERLINK("https://finance.yahoo.com/quote/NOTEW","NOTEW")</f>
        <v/>
      </c>
      <c r="B9255" t="inlineStr">
        <is>
          <t>FiscalNote Holdings, Inc.</t>
        </is>
      </c>
      <c r="C9255" t="inlineStr">
        <is>
          <t>OTC</t>
        </is>
      </c>
      <c r="D9255" t="n">
        <v>1823466</v>
      </c>
      <c r="E9255" t="inlineStr">
        <is>
          <t>SEC</t>
        </is>
      </c>
    </row>
    <row r="9256">
      <c r="A9256" s="5">
        <f>HYPERLINK("https://finance.yahoo.com/quote/AENTW","AENTW")</f>
        <v/>
      </c>
      <c r="B9256" t="inlineStr">
        <is>
          <t>ALLIANCE ENTERTAINMENT HOLDING CORP</t>
        </is>
      </c>
      <c r="C9256" t="inlineStr">
        <is>
          <t>Nasdaq</t>
        </is>
      </c>
      <c r="D9256" t="n">
        <v>1823584</v>
      </c>
      <c r="E9256" t="inlineStr">
        <is>
          <t>SEC</t>
        </is>
      </c>
    </row>
    <row r="9257">
      <c r="A9257" s="5">
        <f>HYPERLINK("https://finance.yahoo.com/quote/SKYH-WT","SKYH-WT")</f>
        <v/>
      </c>
      <c r="B9257" t="inlineStr">
        <is>
          <t>Sky Harbour Group Corp</t>
        </is>
      </c>
      <c r="C9257" t="inlineStr">
        <is>
          <t>NYSE</t>
        </is>
      </c>
      <c r="D9257" t="n">
        <v>1823587</v>
      </c>
      <c r="E9257" t="inlineStr">
        <is>
          <t>SEC</t>
        </is>
      </c>
    </row>
    <row r="9258">
      <c r="A9258" s="5">
        <f>HYPERLINK("https://finance.yahoo.com/quote/TSPH","TSPH")</f>
        <v/>
      </c>
      <c r="B9258" t="inlineStr">
        <is>
          <t>TuSimple Holdings Inc.</t>
        </is>
      </c>
      <c r="C9258" t="inlineStr">
        <is>
          <t>OTC</t>
        </is>
      </c>
      <c r="D9258" t="n">
        <v>1823593</v>
      </c>
      <c r="E9258" t="inlineStr">
        <is>
          <t>SEC</t>
        </is>
      </c>
    </row>
    <row r="9259">
      <c r="A9259" s="5">
        <f>HYPERLINK("https://finance.yahoo.com/quote/EVEXW","EVEXW")</f>
        <v/>
      </c>
      <c r="B9259" t="inlineStr">
        <is>
          <t>Eve Holding, Inc.</t>
        </is>
      </c>
      <c r="C9259" t="inlineStr">
        <is>
          <t>OTC</t>
        </is>
      </c>
      <c r="D9259" t="n">
        <v>1823652</v>
      </c>
      <c r="E9259" t="inlineStr">
        <is>
          <t>SEC</t>
        </is>
      </c>
    </row>
    <row r="9260">
      <c r="A9260" s="5">
        <f>HYPERLINK("https://finance.yahoo.com/quote/PVOZ","PVOZ")</f>
        <v/>
      </c>
      <c r="B9260" t="inlineStr">
        <is>
          <t>Park View OZ REIT Inc</t>
        </is>
      </c>
      <c r="C9260" t="inlineStr">
        <is>
          <t>OTC</t>
        </is>
      </c>
      <c r="D9260" t="n">
        <v>1824204</v>
      </c>
      <c r="E9260" t="inlineStr">
        <is>
          <t>SEC</t>
        </is>
      </c>
    </row>
    <row r="9261">
      <c r="A9261" s="5">
        <f>HYPERLINK("https://finance.yahoo.com/quote/FRBP","FRBP")</f>
        <v/>
      </c>
      <c r="B9261" t="inlineStr">
        <is>
          <t>Franklin BSP Capital Corp</t>
        </is>
      </c>
      <c r="C9261" t="inlineStr">
        <is>
          <t>OTC</t>
        </is>
      </c>
      <c r="D9261" t="n">
        <v>1825248</v>
      </c>
      <c r="E9261" t="inlineStr">
        <is>
          <t>SEC</t>
        </is>
      </c>
    </row>
    <row r="9262">
      <c r="A9262" s="5">
        <f>HYPERLINK("https://finance.yahoo.com/quote/ONFOP","ONFOP")</f>
        <v/>
      </c>
      <c r="B9262" t="inlineStr">
        <is>
          <t>Onfolio Holdings, Inc</t>
        </is>
      </c>
      <c r="C9262" t="inlineStr">
        <is>
          <t>OTC</t>
        </is>
      </c>
      <c r="D9262" t="n">
        <v>1825452</v>
      </c>
      <c r="E9262" t="inlineStr">
        <is>
          <t>SEC</t>
        </is>
      </c>
    </row>
    <row r="9263">
      <c r="A9263" s="5">
        <f>HYPERLINK("https://finance.yahoo.com/quote/ONFOW","ONFOW")</f>
        <v/>
      </c>
      <c r="B9263" t="inlineStr">
        <is>
          <t>Onfolio Holdings, Inc</t>
        </is>
      </c>
      <c r="C9263" t="inlineStr">
        <is>
          <t>Nasdaq</t>
        </is>
      </c>
      <c r="D9263" t="n">
        <v>1825452</v>
      </c>
      <c r="E9263" t="inlineStr">
        <is>
          <t>SEC</t>
        </is>
      </c>
    </row>
    <row r="9264">
      <c r="A9264" s="5">
        <f>HYPERLINK("https://finance.yahoo.com/quote/PARAW","PARAW")</f>
        <v/>
      </c>
      <c r="B9264" t="inlineStr">
        <is>
          <t>Banzai International, Inc.</t>
        </is>
      </c>
      <c r="C9264" t="inlineStr">
        <is>
          <t>Nasdaq</t>
        </is>
      </c>
      <c r="D9264" t="n">
        <v>1826011</v>
      </c>
      <c r="E9264" t="inlineStr">
        <is>
          <t>SEC</t>
        </is>
      </c>
    </row>
    <row r="9265">
      <c r="A9265" s="5">
        <f>HYPERLINK("https://finance.yahoo.com/quote/TLSIW","TLSIW")</f>
        <v/>
      </c>
      <c r="B9265" t="inlineStr">
        <is>
          <t>TriSalus Life Sciences, Inc.</t>
        </is>
      </c>
      <c r="C9265" t="inlineStr">
        <is>
          <t>Nasdaq</t>
        </is>
      </c>
      <c r="D9265" t="n">
        <v>1826667</v>
      </c>
      <c r="E9265" t="inlineStr">
        <is>
          <t>SEC</t>
        </is>
      </c>
    </row>
    <row r="9266">
      <c r="A9266" s="5">
        <f>HYPERLINK("https://finance.yahoo.com/quote/TOMYF","TOMYF")</f>
        <v/>
      </c>
      <c r="B9266" t="inlineStr">
        <is>
          <t>Tomy Co Ltd/ADR</t>
        </is>
      </c>
      <c r="C9266" t="inlineStr">
        <is>
          <t>OTC</t>
        </is>
      </c>
      <c r="D9266" t="n">
        <v>1826779</v>
      </c>
      <c r="E9266" t="inlineStr">
        <is>
          <t>SEC</t>
        </is>
      </c>
    </row>
    <row r="9267">
      <c r="A9267" s="5">
        <f>HYPERLINK("https://finance.yahoo.com/quote/BODYW","BODYW")</f>
        <v/>
      </c>
      <c r="B9267" t="inlineStr">
        <is>
          <t>Beachbody Company, Inc.</t>
        </is>
      </c>
      <c r="C9267" t="inlineStr">
        <is>
          <t>OTC</t>
        </is>
      </c>
      <c r="D9267" t="n">
        <v>1826889</v>
      </c>
      <c r="E9267" t="inlineStr">
        <is>
          <t>SEC</t>
        </is>
      </c>
    </row>
    <row r="9268">
      <c r="A9268" s="5">
        <f>HYPERLINK("https://finance.yahoo.com/quote/CPTKW","CPTKW")</f>
        <v/>
      </c>
      <c r="B9268" t="inlineStr">
        <is>
          <t>Crown PropTech Acquisitions</t>
        </is>
      </c>
      <c r="C9268" t="inlineStr">
        <is>
          <t>OTC</t>
        </is>
      </c>
      <c r="D9268" t="n">
        <v>1827899</v>
      </c>
      <c r="E9268" t="inlineStr">
        <is>
          <t>SEC</t>
        </is>
      </c>
    </row>
    <row r="9269">
      <c r="A9269" s="5">
        <f>HYPERLINK("https://finance.yahoo.com/quote/AUROW","AUROW")</f>
        <v/>
      </c>
      <c r="B9269" t="inlineStr">
        <is>
          <t>Aurora Innovation, Inc.</t>
        </is>
      </c>
      <c r="C9269" t="inlineStr">
        <is>
          <t>Nasdaq</t>
        </is>
      </c>
      <c r="D9269" t="n">
        <v>1828108</v>
      </c>
      <c r="E9269" t="inlineStr">
        <is>
          <t>SEC</t>
        </is>
      </c>
    </row>
    <row r="9270">
      <c r="A9270" s="5">
        <f>HYPERLINK("https://finance.yahoo.com/quote/BZFDW","BZFDW")</f>
        <v/>
      </c>
      <c r="B9270" t="inlineStr">
        <is>
          <t>BuzzFeed, Inc.</t>
        </is>
      </c>
      <c r="C9270" t="inlineStr">
        <is>
          <t>Nasdaq</t>
        </is>
      </c>
      <c r="D9270" t="n">
        <v>1828972</v>
      </c>
      <c r="E9270" t="inlineStr">
        <is>
          <t>SEC</t>
        </is>
      </c>
    </row>
    <row r="9271">
      <c r="A9271" s="5">
        <f>HYPERLINK("https://finance.yahoo.com/quote/BFRGW","BFRGW")</f>
        <v/>
      </c>
      <c r="B9271" t="inlineStr">
        <is>
          <t>BullFrog AI Holdings, Inc.</t>
        </is>
      </c>
      <c r="C9271" t="inlineStr">
        <is>
          <t>Nasdaq</t>
        </is>
      </c>
      <c r="D9271" t="n">
        <v>1829247</v>
      </c>
      <c r="E9271" t="inlineStr">
        <is>
          <t>SEC</t>
        </is>
      </c>
    </row>
    <row r="9272">
      <c r="A9272" s="5">
        <f>HYPERLINK("https://finance.yahoo.com/quote/BMNP","BMNP")</f>
        <v/>
      </c>
      <c r="B9272" t="inlineStr">
        <is>
          <t>BITMINE IMMERSION TECHNOLOGIES, INC.</t>
        </is>
      </c>
      <c r="C9272" t="inlineStr">
        <is>
          <t>NYSE</t>
        </is>
      </c>
      <c r="D9272" t="n">
        <v>1829311</v>
      </c>
      <c r="E9272" t="inlineStr">
        <is>
          <t>SEC</t>
        </is>
      </c>
    </row>
    <row r="9273">
      <c r="A9273" s="5">
        <f>HYPERLINK("https://finance.yahoo.com/quote/PCTBP","PCTBP")</f>
        <v/>
      </c>
      <c r="B9273" t="inlineStr">
        <is>
          <t>PureCycle Technologies, Inc.</t>
        </is>
      </c>
      <c r="C9273" t="inlineStr">
        <is>
          <t>OTC</t>
        </is>
      </c>
      <c r="D9273" t="n">
        <v>1830033</v>
      </c>
      <c r="E9273" t="inlineStr">
        <is>
          <t>SEC</t>
        </is>
      </c>
    </row>
    <row r="9274">
      <c r="A9274" s="5">
        <f>HYPERLINK("https://finance.yahoo.com/quote/PCTTU","PCTTU")</f>
        <v/>
      </c>
      <c r="B9274" t="inlineStr">
        <is>
          <t>PureCycle Technologies, Inc.</t>
        </is>
      </c>
      <c r="C9274" t="inlineStr">
        <is>
          <t>Nasdaq</t>
        </is>
      </c>
      <c r="D9274" t="n">
        <v>1830033</v>
      </c>
      <c r="E9274" t="inlineStr">
        <is>
          <t>SEC</t>
        </is>
      </c>
    </row>
    <row r="9275">
      <c r="A9275" s="5">
        <f>HYPERLINK("https://finance.yahoo.com/quote/PCTTW","PCTTW")</f>
        <v/>
      </c>
      <c r="B9275" t="inlineStr">
        <is>
          <t>PureCycle Technologies, Inc.</t>
        </is>
      </c>
      <c r="C9275" t="inlineStr">
        <is>
          <t>Nasdaq</t>
        </is>
      </c>
      <c r="D9275" t="n">
        <v>1830033</v>
      </c>
      <c r="E9275" t="inlineStr">
        <is>
          <t>SEC</t>
        </is>
      </c>
    </row>
    <row r="9276">
      <c r="A9276" s="5">
        <f>HYPERLINK("https://finance.yahoo.com/quote/SMEGF","SMEGF")</f>
        <v/>
      </c>
      <c r="B9276" t="inlineStr">
        <is>
          <t>Siemens Energy AG/ADR</t>
        </is>
      </c>
      <c r="C9276" t="inlineStr">
        <is>
          <t>OTC</t>
        </is>
      </c>
      <c r="D9276" t="n">
        <v>1830056</v>
      </c>
      <c r="E9276" t="inlineStr">
        <is>
          <t>SEC</t>
        </is>
      </c>
    </row>
    <row r="9277">
      <c r="A9277" s="5">
        <f>HYPERLINK("https://finance.yahoo.com/quote/RUMBW","RUMBW")</f>
        <v/>
      </c>
      <c r="B9277" t="inlineStr">
        <is>
          <t>RUM Group Inc.</t>
        </is>
      </c>
      <c r="C9277" t="inlineStr">
        <is>
          <t>Nasdaq</t>
        </is>
      </c>
      <c r="D9277" t="n">
        <v>1830081</v>
      </c>
      <c r="E9277" t="inlineStr">
        <is>
          <t>SEC</t>
        </is>
      </c>
    </row>
    <row r="9278">
      <c r="A9278" s="5">
        <f>HYPERLINK("https://finance.yahoo.com/quote/GEGGL","GEGGL")</f>
        <v/>
      </c>
      <c r="B9278" t="inlineStr">
        <is>
          <t>Great Elm Group, Inc.</t>
        </is>
      </c>
      <c r="C9278" t="inlineStr">
        <is>
          <t>Nasdaq</t>
        </is>
      </c>
      <c r="D9278" t="n">
        <v>1831096</v>
      </c>
      <c r="E9278" t="inlineStr">
        <is>
          <t>SEC</t>
        </is>
      </c>
    </row>
    <row r="9279">
      <c r="A9279" s="5">
        <f>HYPERLINK("https://finance.yahoo.com/quote/LIANY","LIANY")</f>
        <v/>
      </c>
      <c r="B9279" t="inlineStr">
        <is>
          <t>LianBio</t>
        </is>
      </c>
      <c r="C9279" t="inlineStr">
        <is>
          <t>OTC</t>
        </is>
      </c>
      <c r="D9279" t="n">
        <v>1831283</v>
      </c>
      <c r="E9279" t="inlineStr">
        <is>
          <t>SEC</t>
        </is>
      </c>
    </row>
    <row r="9280">
      <c r="A9280" s="5">
        <f>HYPERLINK("https://finance.yahoo.com/quote/JWSUF","JWSUF")</f>
        <v/>
      </c>
      <c r="B9280" t="inlineStr">
        <is>
          <t>Jaws Mustang Acquisition Corp</t>
        </is>
      </c>
      <c r="C9280" t="inlineStr">
        <is>
          <t>OTC</t>
        </is>
      </c>
      <c r="D9280" t="n">
        <v>1831359</v>
      </c>
      <c r="E9280" t="inlineStr">
        <is>
          <t>SEC</t>
        </is>
      </c>
    </row>
    <row r="9281">
      <c r="A9281" s="5">
        <f>HYPERLINK("https://finance.yahoo.com/quote/JWSWF","JWSWF")</f>
        <v/>
      </c>
      <c r="B9281" t="inlineStr">
        <is>
          <t>Jaws Mustang Acquisition Corp</t>
        </is>
      </c>
      <c r="C9281" t="inlineStr">
        <is>
          <t>OTC</t>
        </is>
      </c>
      <c r="D9281" t="n">
        <v>1831359</v>
      </c>
      <c r="E9281" t="inlineStr">
        <is>
          <t>SEC</t>
        </is>
      </c>
    </row>
    <row r="9282">
      <c r="A9282" s="5">
        <f>HYPERLINK("https://finance.yahoo.com/quote/ICUCW","ICUCW")</f>
        <v/>
      </c>
      <c r="B9282" t="inlineStr">
        <is>
          <t>SeaStar Medical Holding Corp</t>
        </is>
      </c>
      <c r="C9282" t="inlineStr">
        <is>
          <t>Nasdaq</t>
        </is>
      </c>
      <c r="D9282" t="n">
        <v>1831868</v>
      </c>
      <c r="E9282" t="inlineStr">
        <is>
          <t>SEC</t>
        </is>
      </c>
    </row>
    <row r="9283">
      <c r="A9283" s="5">
        <f>HYPERLINK("https://finance.yahoo.com/quote/SDSTW","SDSTW")</f>
        <v/>
      </c>
      <c r="B9283" t="inlineStr">
        <is>
          <t>Stardust Power Inc.</t>
        </is>
      </c>
      <c r="C9283" t="inlineStr">
        <is>
          <t>OTC</t>
        </is>
      </c>
      <c r="D9283" t="n">
        <v>1831979</v>
      </c>
      <c r="E9283" t="inlineStr">
        <is>
          <t>SEC</t>
        </is>
      </c>
    </row>
    <row r="9284">
      <c r="A9284" s="5">
        <f>HYPERLINK("https://finance.yahoo.com/quote/PIIIW","PIIIW")</f>
        <v/>
      </c>
      <c r="B9284" t="inlineStr">
        <is>
          <t>P3 Health Partners Inc.</t>
        </is>
      </c>
      <c r="C9284" t="inlineStr">
        <is>
          <t>Nasdaq</t>
        </is>
      </c>
      <c r="D9284" t="n">
        <v>1832511</v>
      </c>
      <c r="E9284" t="inlineStr">
        <is>
          <t>SEC</t>
        </is>
      </c>
    </row>
    <row r="9285">
      <c r="A9285" s="5">
        <f>HYPERLINK("https://finance.yahoo.com/quote/SABSW","SABSW")</f>
        <v/>
      </c>
      <c r="B9285" t="inlineStr">
        <is>
          <t>SAB Biotherapeutics, Inc.</t>
        </is>
      </c>
      <c r="C9285" t="inlineStr">
        <is>
          <t>Nasdaq</t>
        </is>
      </c>
      <c r="D9285" t="n">
        <v>1833214</v>
      </c>
      <c r="E9285" t="inlineStr">
        <is>
          <t>SEC</t>
        </is>
      </c>
    </row>
    <row r="9286">
      <c r="A9286" s="5">
        <f>HYPERLINK("https://finance.yahoo.com/quote/MDAIW","MDAIW")</f>
        <v/>
      </c>
      <c r="B9286" t="inlineStr">
        <is>
          <t>Spectral AI, Inc.</t>
        </is>
      </c>
      <c r="C9286" t="inlineStr">
        <is>
          <t>Nasdaq</t>
        </is>
      </c>
      <c r="D9286" t="n">
        <v>1833498</v>
      </c>
      <c r="E9286" t="inlineStr">
        <is>
          <t>SEC</t>
        </is>
      </c>
    </row>
    <row r="9287">
      <c r="A9287" s="5">
        <f>HYPERLINK("https://finance.yahoo.com/quote/GROY-WT","GROY-WT")</f>
        <v/>
      </c>
      <c r="B9287" t="inlineStr">
        <is>
          <t>Gold Royalty Corp.</t>
        </is>
      </c>
      <c r="C9287" t="inlineStr">
        <is>
          <t>NYSE</t>
        </is>
      </c>
      <c r="D9287" t="n">
        <v>1834026</v>
      </c>
      <c r="E9287" t="inlineStr">
        <is>
          <t>SEC</t>
        </is>
      </c>
    </row>
    <row r="9288">
      <c r="A9288" s="5">
        <f>HYPERLINK("https://finance.yahoo.com/quote/CSTUF","CSTUF")</f>
        <v/>
      </c>
      <c r="B9288" t="inlineStr">
        <is>
          <t>Constellation Acquisition Corp I</t>
        </is>
      </c>
      <c r="C9288" t="inlineStr">
        <is>
          <t>OTC</t>
        </is>
      </c>
      <c r="D9288" t="n">
        <v>1834032</v>
      </c>
      <c r="E9288" t="inlineStr">
        <is>
          <t>SEC</t>
        </is>
      </c>
    </row>
    <row r="9289">
      <c r="A9289" s="5">
        <f>HYPERLINK("https://finance.yahoo.com/quote/CSTWF","CSTWF")</f>
        <v/>
      </c>
      <c r="B9289" t="inlineStr">
        <is>
          <t>Constellation Acquisition Corp I</t>
        </is>
      </c>
      <c r="C9289" t="inlineStr">
        <is>
          <t>OTC</t>
        </is>
      </c>
      <c r="D9289" t="n">
        <v>1834032</v>
      </c>
      <c r="E9289" t="inlineStr">
        <is>
          <t>SEC</t>
        </is>
      </c>
    </row>
    <row r="9290">
      <c r="A9290" s="5">
        <f>HYPERLINK("https://finance.yahoo.com/quote/ASAIY","ASAIY")</f>
        <v/>
      </c>
      <c r="B9290" t="inlineStr">
        <is>
          <t>Sendas Distributor S.A.</t>
        </is>
      </c>
      <c r="C9290" t="inlineStr">
        <is>
          <t>OTC</t>
        </is>
      </c>
      <c r="D9290" t="n">
        <v>1834048</v>
      </c>
      <c r="E9290" t="inlineStr">
        <is>
          <t>SEC</t>
        </is>
      </c>
    </row>
    <row r="9291">
      <c r="A9291" s="5">
        <f>HYPERLINK("https://finance.yahoo.com/quote/NNFSF","NNFSF")</f>
        <v/>
      </c>
      <c r="B9291" t="inlineStr">
        <is>
          <t>Nongfu Spring Co. Ltd./ADR</t>
        </is>
      </c>
      <c r="C9291" t="inlineStr">
        <is>
          <t>OTC</t>
        </is>
      </c>
      <c r="D9291" t="n">
        <v>1834267</v>
      </c>
      <c r="E9291" t="inlineStr">
        <is>
          <t>SEC</t>
        </is>
      </c>
    </row>
    <row r="9292">
      <c r="A9292" s="5">
        <f>HYPERLINK("https://finance.yahoo.com/quote/GPATU","GPATU")</f>
        <v/>
      </c>
      <c r="B9292" t="inlineStr">
        <is>
          <t>GP-Act III Acquisition Corp.</t>
        </is>
      </c>
      <c r="C9292" t="inlineStr">
        <is>
          <t>Nasdaq</t>
        </is>
      </c>
      <c r="D9292" t="n">
        <v>1834526</v>
      </c>
      <c r="E9292" t="inlineStr">
        <is>
          <t>SEC</t>
        </is>
      </c>
    </row>
    <row r="9293">
      <c r="A9293" s="5">
        <f>HYPERLINK("https://finance.yahoo.com/quote/GPATW","GPATW")</f>
        <v/>
      </c>
      <c r="B9293" t="inlineStr">
        <is>
          <t>GP-Act III Acquisition Corp.</t>
        </is>
      </c>
      <c r="C9293" t="inlineStr">
        <is>
          <t>Nasdaq</t>
        </is>
      </c>
      <c r="D9293" t="n">
        <v>1834526</v>
      </c>
      <c r="E9293" t="inlineStr">
        <is>
          <t>SEC</t>
        </is>
      </c>
    </row>
    <row r="9294">
      <c r="A9294" s="5">
        <f>HYPERLINK("https://finance.yahoo.com/quote/ZHIHF","ZHIHF")</f>
        <v/>
      </c>
      <c r="B9294" t="inlineStr">
        <is>
          <t>Zhihu Inc.</t>
        </is>
      </c>
      <c r="C9294" t="inlineStr">
        <is>
          <t>OTC</t>
        </is>
      </c>
      <c r="D9294" t="n">
        <v>1835724</v>
      </c>
      <c r="E9294" t="inlineStr">
        <is>
          <t>SEC</t>
        </is>
      </c>
    </row>
    <row r="9295">
      <c r="A9295" s="5">
        <f>HYPERLINK("https://finance.yahoo.com/quote/BETRW","BETRW")</f>
        <v/>
      </c>
      <c r="B9295" t="inlineStr">
        <is>
          <t>Better Home &amp; Finance Holding Co</t>
        </is>
      </c>
      <c r="C9295" t="inlineStr">
        <is>
          <t>Nasdaq</t>
        </is>
      </c>
      <c r="D9295" t="n">
        <v>1835856</v>
      </c>
      <c r="E9295" t="inlineStr">
        <is>
          <t>SEC</t>
        </is>
      </c>
    </row>
    <row r="9296">
      <c r="A9296" s="5">
        <f>HYPERLINK("https://finance.yahoo.com/quote/BBAI-WT","BBAI-WT")</f>
        <v/>
      </c>
      <c r="B9296" t="inlineStr">
        <is>
          <t>BigBear.ai Holdings, Inc.</t>
        </is>
      </c>
      <c r="C9296" t="inlineStr">
        <is>
          <t>NYSE</t>
        </is>
      </c>
      <c r="D9296" t="n">
        <v>1836981</v>
      </c>
      <c r="E9296" t="inlineStr">
        <is>
          <t>SEC</t>
        </is>
      </c>
    </row>
    <row r="9297">
      <c r="A9297" s="5">
        <f>HYPERLINK("https://finance.yahoo.com/quote/CPPTL","CPPTL")</f>
        <v/>
      </c>
      <c r="B9297" t="inlineStr">
        <is>
          <t>Copper Property CTL Pass Through Trust</t>
        </is>
      </c>
      <c r="C9297" t="inlineStr">
        <is>
          <t>OTC</t>
        </is>
      </c>
      <c r="D9297" t="n">
        <v>1837671</v>
      </c>
      <c r="E9297" t="inlineStr">
        <is>
          <t>SEC</t>
        </is>
      </c>
    </row>
    <row r="9298">
      <c r="A9298" s="5">
        <f>HYPERLINK("https://finance.yahoo.com/quote/BNAIW","BNAIW")</f>
        <v/>
      </c>
      <c r="B9298" t="inlineStr">
        <is>
          <t>Brand Engagement Network Inc.</t>
        </is>
      </c>
      <c r="C9298" t="inlineStr">
        <is>
          <t>Nasdaq</t>
        </is>
      </c>
      <c r="D9298" t="n">
        <v>1838163</v>
      </c>
      <c r="E9298" t="inlineStr">
        <is>
          <t>SEC</t>
        </is>
      </c>
    </row>
    <row r="9299">
      <c r="A9299" s="5">
        <f>HYPERLINK("https://finance.yahoo.com/quote/RGTIW","RGTIW")</f>
        <v/>
      </c>
      <c r="B9299" t="inlineStr">
        <is>
          <t>Rigetti Computing, Inc.</t>
        </is>
      </c>
      <c r="C9299" t="inlineStr">
        <is>
          <t>Nasdaq</t>
        </is>
      </c>
      <c r="D9299" t="n">
        <v>1838359</v>
      </c>
      <c r="E9299" t="inlineStr">
        <is>
          <t>SEC</t>
        </is>
      </c>
    </row>
    <row r="9300">
      <c r="A9300" s="5">
        <f>HYPERLINK("https://finance.yahoo.com/quote/SPWRW","SPWRW")</f>
        <v/>
      </c>
      <c r="B9300" t="inlineStr">
        <is>
          <t>SunPower Inc.</t>
        </is>
      </c>
      <c r="C9300" t="inlineStr">
        <is>
          <t>Nasdaq</t>
        </is>
      </c>
      <c r="D9300" t="n">
        <v>1838987</v>
      </c>
      <c r="E9300" t="inlineStr">
        <is>
          <t>SEC</t>
        </is>
      </c>
    </row>
    <row r="9301">
      <c r="A9301" s="5">
        <f>HYPERLINK("https://finance.yahoo.com/quote/CORZR","CORZR")</f>
        <v/>
      </c>
      <c r="B9301" t="inlineStr">
        <is>
          <t>Core Scientific, Inc./tx</t>
        </is>
      </c>
      <c r="C9301" t="inlineStr">
        <is>
          <t>OTC</t>
        </is>
      </c>
      <c r="D9301" t="n">
        <v>1839341</v>
      </c>
      <c r="E9301" t="inlineStr">
        <is>
          <t>SEC</t>
        </is>
      </c>
    </row>
    <row r="9302">
      <c r="A9302" s="5">
        <f>HYPERLINK("https://finance.yahoo.com/quote/CORZW","CORZW")</f>
        <v/>
      </c>
      <c r="B9302" t="inlineStr">
        <is>
          <t>Core Scientific, Inc./tx</t>
        </is>
      </c>
      <c r="C9302" t="inlineStr">
        <is>
          <t>Nasdaq</t>
        </is>
      </c>
      <c r="D9302" t="n">
        <v>1839341</v>
      </c>
      <c r="E9302" t="inlineStr">
        <is>
          <t>SEC</t>
        </is>
      </c>
    </row>
    <row r="9303">
      <c r="A9303" s="5">
        <f>HYPERLINK("https://finance.yahoo.com/quote/CORZZ","CORZZ")</f>
        <v/>
      </c>
      <c r="B9303" t="inlineStr">
        <is>
          <t>Core Scientific, Inc./tx</t>
        </is>
      </c>
      <c r="C9303" t="inlineStr">
        <is>
          <t>Nasdaq</t>
        </is>
      </c>
      <c r="D9303" t="n">
        <v>1839341</v>
      </c>
      <c r="E9303" t="inlineStr">
        <is>
          <t>SEC</t>
        </is>
      </c>
    </row>
    <row r="9304">
      <c r="A9304" s="5">
        <f>HYPERLINK("https://finance.yahoo.com/quote/XBPEW","XBPEW")</f>
        <v/>
      </c>
      <c r="B9304" t="inlineStr">
        <is>
          <t>XBP Global Holdings, Inc.</t>
        </is>
      </c>
      <c r="C9304" t="inlineStr">
        <is>
          <t>Nasdaq</t>
        </is>
      </c>
      <c r="D9304" t="n">
        <v>1839530</v>
      </c>
      <c r="E9304" t="inlineStr">
        <is>
          <t>SEC</t>
        </is>
      </c>
    </row>
    <row r="9305">
      <c r="A9305" s="5">
        <f>HYPERLINK("https://finance.yahoo.com/quote/DMXCF","DMXCF")</f>
        <v/>
      </c>
      <c r="B9305" t="inlineStr">
        <is>
          <t>District Metals Corp.</t>
        </is>
      </c>
      <c r="C9305" t="inlineStr">
        <is>
          <t>OTC</t>
        </is>
      </c>
      <c r="D9305" t="n">
        <v>1839586</v>
      </c>
      <c r="E9305" t="inlineStr">
        <is>
          <t>SEC</t>
        </is>
      </c>
    </row>
    <row r="9306">
      <c r="A9306" s="5">
        <f>HYPERLINK("https://finance.yahoo.com/quote/MLKMF","MLKMF")</f>
        <v/>
      </c>
      <c r="B9306" t="inlineStr">
        <is>
          <t>Waldencast plc</t>
        </is>
      </c>
      <c r="C9306" t="inlineStr">
        <is>
          <t>OTC</t>
        </is>
      </c>
      <c r="D9306" t="n">
        <v>1840199</v>
      </c>
      <c r="E9306" t="inlineStr">
        <is>
          <t>SEC</t>
        </is>
      </c>
    </row>
    <row r="9307">
      <c r="A9307" s="5">
        <f>HYPERLINK("https://finance.yahoo.com/quote/MLKWF","MLKWF")</f>
        <v/>
      </c>
      <c r="B9307" t="inlineStr">
        <is>
          <t>Waldencast plc</t>
        </is>
      </c>
      <c r="C9307" t="inlineStr">
        <is>
          <t>OTC</t>
        </is>
      </c>
      <c r="D9307" t="n">
        <v>1840199</v>
      </c>
      <c r="E9307" t="inlineStr">
        <is>
          <t>SEC</t>
        </is>
      </c>
    </row>
    <row r="9308">
      <c r="A9308" s="5">
        <f>HYPERLINK("https://finance.yahoo.com/quote/VEEAW","VEEAW")</f>
        <v/>
      </c>
      <c r="B9308" t="inlineStr">
        <is>
          <t>VEEA INC.</t>
        </is>
      </c>
      <c r="C9308" t="inlineStr">
        <is>
          <t>Nasdaq</t>
        </is>
      </c>
      <c r="D9308" t="n">
        <v>1840317</v>
      </c>
      <c r="E9308" t="inlineStr">
        <is>
          <t>SEC</t>
        </is>
      </c>
    </row>
    <row r="9309">
      <c r="A9309" s="5">
        <f>HYPERLINK("https://finance.yahoo.com/quote/OSRHW","OSRHW")</f>
        <v/>
      </c>
      <c r="B9309" t="inlineStr">
        <is>
          <t>OSR Health, Inc.</t>
        </is>
      </c>
      <c r="C9309" t="inlineStr">
        <is>
          <t>OTC</t>
        </is>
      </c>
      <c r="D9309" t="n">
        <v>1840425</v>
      </c>
      <c r="E9309" t="inlineStr">
        <is>
          <t>SEC</t>
        </is>
      </c>
    </row>
    <row r="9310">
      <c r="A9310" s="5">
        <f>HYPERLINK("https://finance.yahoo.com/quote/LOCLW","LOCLW")</f>
        <v/>
      </c>
      <c r="B9310" t="inlineStr">
        <is>
          <t>Local Bounti Corporation/DE</t>
        </is>
      </c>
      <c r="C9310" t="inlineStr">
        <is>
          <t>OTC</t>
        </is>
      </c>
      <c r="D9310" t="n">
        <v>1840780</v>
      </c>
      <c r="E9310" t="inlineStr">
        <is>
          <t>SEC</t>
        </is>
      </c>
    </row>
    <row r="9311">
      <c r="A9311" s="5">
        <f>HYPERLINK("https://finance.yahoo.com/quote/SOUNW","SOUNW")</f>
        <v/>
      </c>
      <c r="B9311" t="inlineStr">
        <is>
          <t>SOUNDHOUND AI, INC.</t>
        </is>
      </c>
      <c r="C9311" t="inlineStr">
        <is>
          <t>Nasdaq</t>
        </is>
      </c>
      <c r="D9311" t="n">
        <v>1840856</v>
      </c>
      <c r="E9311" t="inlineStr">
        <is>
          <t>SEC</t>
        </is>
      </c>
    </row>
    <row r="9312">
      <c r="A9312" s="5">
        <f>HYPERLINK("https://finance.yahoo.com/quote/COCHW","COCHW")</f>
        <v/>
      </c>
      <c r="B9312" t="inlineStr">
        <is>
          <t>Envoy Medical, Inc.</t>
        </is>
      </c>
      <c r="C9312" t="inlineStr">
        <is>
          <t>Nasdaq</t>
        </is>
      </c>
      <c r="D9312" t="n">
        <v>1840877</v>
      </c>
      <c r="E9312" t="inlineStr">
        <is>
          <t>SEC</t>
        </is>
      </c>
    </row>
    <row r="9313">
      <c r="A9313" s="5">
        <f>HYPERLINK("https://finance.yahoo.com/quote/HOLOW","HOLOW")</f>
        <v/>
      </c>
      <c r="B9313" t="inlineStr">
        <is>
          <t>MicroCloud Hologram Inc.</t>
        </is>
      </c>
      <c r="C9313" t="inlineStr">
        <is>
          <t>Nasdaq</t>
        </is>
      </c>
      <c r="D9313" t="n">
        <v>1841209</v>
      </c>
      <c r="E9313" t="inlineStr">
        <is>
          <t>SEC</t>
        </is>
      </c>
    </row>
    <row r="9314">
      <c r="A9314" s="5">
        <f>HYPERLINK("https://finance.yahoo.com/quote/DAVEW","DAVEW")</f>
        <v/>
      </c>
      <c r="B9314" t="inlineStr">
        <is>
          <t>Dave Inc./DE</t>
        </is>
      </c>
      <c r="C9314" t="inlineStr">
        <is>
          <t>Nasdaq</t>
        </is>
      </c>
      <c r="D9314" t="n">
        <v>1841408</v>
      </c>
      <c r="E9314" t="inlineStr">
        <is>
          <t>SEC</t>
        </is>
      </c>
    </row>
    <row r="9315">
      <c r="A9315" s="5">
        <f>HYPERLINK("https://finance.yahoo.com/quote/VGASW","VGASW")</f>
        <v/>
      </c>
      <c r="B9315" t="inlineStr">
        <is>
          <t>Verde Clean Fuels, Inc.</t>
        </is>
      </c>
      <c r="C9315" t="inlineStr">
        <is>
          <t>Nasdaq</t>
        </is>
      </c>
      <c r="D9315" t="n">
        <v>1841425</v>
      </c>
      <c r="E9315" t="inlineStr">
        <is>
          <t>SEC</t>
        </is>
      </c>
    </row>
    <row r="9316">
      <c r="A9316" s="5">
        <f>HYPERLINK("https://finance.yahoo.com/quote/GROVW","GROVW")</f>
        <v/>
      </c>
      <c r="B9316" t="inlineStr">
        <is>
          <t>Grove Collaborative Holdings, Inc.</t>
        </is>
      </c>
      <c r="C9316" t="inlineStr">
        <is>
          <t>OTC</t>
        </is>
      </c>
      <c r="D9316" t="n">
        <v>1841761</v>
      </c>
      <c r="E9316" t="inlineStr">
        <is>
          <t>SEC</t>
        </is>
      </c>
    </row>
    <row r="9317">
      <c r="A9317" s="5">
        <f>HYPERLINK("https://finance.yahoo.com/quote/LLPS","LLPS")</f>
        <v/>
      </c>
      <c r="B9317" t="inlineStr">
        <is>
          <t>Limitless Projects Inc.</t>
        </is>
      </c>
      <c r="C9317" t="inlineStr">
        <is>
          <t>OTC</t>
        </is>
      </c>
      <c r="D9317" t="n">
        <v>1842167</v>
      </c>
      <c r="E9317" t="inlineStr">
        <is>
          <t>SEC</t>
        </is>
      </c>
    </row>
    <row r="9318">
      <c r="A9318" s="5">
        <f>HYPERLINK("https://finance.yahoo.com/quote/EONR-WT","EONR-WT")</f>
        <v/>
      </c>
      <c r="B9318" t="inlineStr">
        <is>
          <t>EON Resources Inc.</t>
        </is>
      </c>
      <c r="C9318" t="inlineStr">
        <is>
          <t>NYSE</t>
        </is>
      </c>
      <c r="D9318" t="n">
        <v>1842556</v>
      </c>
      <c r="E9318" t="inlineStr">
        <is>
          <t>SEC</t>
        </is>
      </c>
    </row>
    <row r="9319">
      <c r="A9319" s="5">
        <f>HYPERLINK("https://finance.yahoo.com/quote/AISPW","AISPW")</f>
        <v/>
      </c>
      <c r="B9319" t="inlineStr">
        <is>
          <t>Airship AI Holdings, Inc.</t>
        </is>
      </c>
      <c r="C9319" t="inlineStr">
        <is>
          <t>Nasdaq</t>
        </is>
      </c>
      <c r="D9319" t="n">
        <v>1842566</v>
      </c>
      <c r="E9319" t="inlineStr">
        <is>
          <t>SEC</t>
        </is>
      </c>
    </row>
    <row r="9320">
      <c r="A9320" s="5">
        <f>HYPERLINK("https://finance.yahoo.com/quote/XAGEW","XAGEW")</f>
        <v/>
      </c>
      <c r="B9320" t="inlineStr">
        <is>
          <t>Longevity Health Holdings, Inc.</t>
        </is>
      </c>
      <c r="C9320" t="inlineStr">
        <is>
          <t>OTC</t>
        </is>
      </c>
      <c r="D9320" t="n">
        <v>1842939</v>
      </c>
      <c r="E9320" t="inlineStr">
        <is>
          <t>SEC</t>
        </is>
      </c>
    </row>
    <row r="9321">
      <c r="A9321" s="5">
        <f>HYPERLINK("https://finance.yahoo.com/quote/RMCOW","RMCOW")</f>
        <v/>
      </c>
      <c r="B9321" t="inlineStr">
        <is>
          <t>Royalty Management Holding Corp</t>
        </is>
      </c>
      <c r="C9321" t="inlineStr">
        <is>
          <t>Nasdaq</t>
        </is>
      </c>
      <c r="D9321" t="n">
        <v>1843656</v>
      </c>
      <c r="E9321" t="inlineStr">
        <is>
          <t>SEC</t>
        </is>
      </c>
    </row>
    <row r="9322">
      <c r="A9322" s="5">
        <f>HYPERLINK("https://finance.yahoo.com/quote/ZPTAW","ZPTAW")</f>
        <v/>
      </c>
      <c r="B9322" t="inlineStr">
        <is>
          <t>Zapata Quantum, Inc.</t>
        </is>
      </c>
      <c r="C9322" t="inlineStr">
        <is>
          <t>OTC</t>
        </is>
      </c>
      <c r="D9322" t="n">
        <v>1843714</v>
      </c>
      <c r="E9322" t="inlineStr">
        <is>
          <t>SEC</t>
        </is>
      </c>
    </row>
    <row r="9323">
      <c r="A9323" s="5">
        <f>HYPERLINK("https://finance.yahoo.com/quote/LNZAW","LNZAW")</f>
        <v/>
      </c>
      <c r="B9323" t="inlineStr">
        <is>
          <t>LanzaTech Global, Inc.</t>
        </is>
      </c>
      <c r="C9323" t="inlineStr">
        <is>
          <t>Nasdaq</t>
        </is>
      </c>
      <c r="D9323" t="n">
        <v>1843724</v>
      </c>
      <c r="E9323" t="inlineStr">
        <is>
          <t>SEC</t>
        </is>
      </c>
    </row>
    <row r="9324">
      <c r="A9324" s="5">
        <f>HYPERLINK("https://finance.yahoo.com/quote/FLYX-WT","FLYX-WT")</f>
        <v/>
      </c>
      <c r="B9324" t="inlineStr">
        <is>
          <t>FLYEXCLUSIVE INC.</t>
        </is>
      </c>
      <c r="C9324" t="inlineStr">
        <is>
          <t>NYSE</t>
        </is>
      </c>
      <c r="D9324" t="n">
        <v>1843973</v>
      </c>
      <c r="E9324" t="inlineStr">
        <is>
          <t>SEC</t>
        </is>
      </c>
    </row>
    <row r="9325">
      <c r="A9325" s="5">
        <f>HYPERLINK("https://finance.yahoo.com/quote/ESLAW","ESLAW")</f>
        <v/>
      </c>
      <c r="B9325" t="inlineStr">
        <is>
          <t>Estrella Immunopharma, Inc.</t>
        </is>
      </c>
      <c r="C9325" t="inlineStr">
        <is>
          <t>Nasdaq</t>
        </is>
      </c>
      <c r="D9325" t="n">
        <v>1844417</v>
      </c>
      <c r="E9325" t="inlineStr">
        <is>
          <t>SEC</t>
        </is>
      </c>
    </row>
    <row r="9326">
      <c r="A9326" s="5">
        <f>HYPERLINK("https://finance.yahoo.com/quote/QTIWW","QTIWW")</f>
        <v/>
      </c>
      <c r="B9326" t="inlineStr">
        <is>
          <t>QT IMAGING HOLDINGS, INC.</t>
        </is>
      </c>
      <c r="C9326" t="inlineStr">
        <is>
          <t>OTC</t>
        </is>
      </c>
      <c r="D9326" t="n">
        <v>1844505</v>
      </c>
      <c r="E9326" t="inlineStr">
        <is>
          <t>SEC</t>
        </is>
      </c>
    </row>
    <row r="9327">
      <c r="A9327" s="5">
        <f>HYPERLINK("https://finance.yahoo.com/quote/SLDPW","SLDPW")</f>
        <v/>
      </c>
      <c r="B9327" t="inlineStr">
        <is>
          <t>Solid Power, Inc.</t>
        </is>
      </c>
      <c r="C9327" t="inlineStr">
        <is>
          <t>Nasdaq</t>
        </is>
      </c>
      <c r="D9327" t="n">
        <v>1844862</v>
      </c>
      <c r="E9327" t="inlineStr">
        <is>
          <t>SEC</t>
        </is>
      </c>
    </row>
    <row r="9328">
      <c r="A9328" s="5">
        <f>HYPERLINK("https://finance.yahoo.com/quote/ANNAW","ANNAW")</f>
        <v/>
      </c>
      <c r="B9328" t="inlineStr">
        <is>
          <t>AleAnna, Inc.</t>
        </is>
      </c>
      <c r="C9328" t="inlineStr">
        <is>
          <t>Nasdaq</t>
        </is>
      </c>
      <c r="D9328" t="n">
        <v>1845123</v>
      </c>
      <c r="E9328" t="inlineStr">
        <is>
          <t>SEC</t>
        </is>
      </c>
    </row>
    <row r="9329">
      <c r="A9329" s="5">
        <f>HYPERLINK("https://finance.yahoo.com/quote/CBGGF","CBGGF")</f>
        <v/>
      </c>
      <c r="B9329" t="inlineStr">
        <is>
          <t>Chain Bridge I</t>
        </is>
      </c>
      <c r="C9329" t="inlineStr">
        <is>
          <t>OTC</t>
        </is>
      </c>
      <c r="D9329" t="n">
        <v>1845149</v>
      </c>
      <c r="E9329" t="inlineStr">
        <is>
          <t>SEC</t>
        </is>
      </c>
    </row>
    <row r="9330">
      <c r="A9330" s="5">
        <f>HYPERLINK("https://finance.yahoo.com/quote/CBRGF","CBRGF")</f>
        <v/>
      </c>
      <c r="B9330" t="inlineStr">
        <is>
          <t>Chain Bridge I</t>
        </is>
      </c>
      <c r="C9330" t="inlineStr">
        <is>
          <t>OTC</t>
        </is>
      </c>
      <c r="D9330" t="n">
        <v>1845149</v>
      </c>
      <c r="E9330" t="inlineStr">
        <is>
          <t>SEC</t>
        </is>
      </c>
    </row>
    <row r="9331">
      <c r="A9331" s="5">
        <f>HYPERLINK("https://finance.yahoo.com/quote/NPWR-WT","NPWR-WT")</f>
        <v/>
      </c>
      <c r="B9331" t="inlineStr">
        <is>
          <t>Net Power Inc.</t>
        </is>
      </c>
      <c r="C9331" t="inlineStr">
        <is>
          <t>NYSE</t>
        </is>
      </c>
      <c r="D9331" t="n">
        <v>1845437</v>
      </c>
      <c r="E9331" t="inlineStr">
        <is>
          <t>SEC</t>
        </is>
      </c>
    </row>
    <row r="9332">
      <c r="A9332" s="5">
        <f>HYPERLINK("https://finance.yahoo.com/quote/IMAQR","IMAQR")</f>
        <v/>
      </c>
      <c r="B9332" t="inlineStr">
        <is>
          <t>International Media Acquisition Corp.</t>
        </is>
      </c>
      <c r="C9332" t="inlineStr">
        <is>
          <t>OTC</t>
        </is>
      </c>
      <c r="D9332" t="n">
        <v>1846235</v>
      </c>
      <c r="E9332" t="inlineStr">
        <is>
          <t>SEC</t>
        </is>
      </c>
    </row>
    <row r="9333">
      <c r="A9333" s="5">
        <f>HYPERLINK("https://finance.yahoo.com/quote/IMAQU","IMAQU")</f>
        <v/>
      </c>
      <c r="B9333" t="inlineStr">
        <is>
          <t>International Media Acquisition Corp.</t>
        </is>
      </c>
      <c r="C9333" t="inlineStr">
        <is>
          <t>OTC</t>
        </is>
      </c>
      <c r="D9333" t="n">
        <v>1846235</v>
      </c>
      <c r="E9333" t="inlineStr">
        <is>
          <t>SEC</t>
        </is>
      </c>
    </row>
    <row r="9334">
      <c r="A9334" s="5">
        <f>HYPERLINK("https://finance.yahoo.com/quote/IMAQW","IMAQW")</f>
        <v/>
      </c>
      <c r="B9334" t="inlineStr">
        <is>
          <t>International Media Acquisition Corp.</t>
        </is>
      </c>
      <c r="C9334" t="inlineStr">
        <is>
          <t>OTC</t>
        </is>
      </c>
      <c r="D9334" t="n">
        <v>1846235</v>
      </c>
      <c r="E9334" t="inlineStr">
        <is>
          <t>SEC</t>
        </is>
      </c>
    </row>
    <row r="9335">
      <c r="A9335" s="5">
        <f>HYPERLINK("https://finance.yahoo.com/quote/OABIW","OABIW")</f>
        <v/>
      </c>
      <c r="B9335" t="inlineStr">
        <is>
          <t>OmniAb, Inc.</t>
        </is>
      </c>
      <c r="C9335" t="inlineStr">
        <is>
          <t>Nasdaq</t>
        </is>
      </c>
      <c r="D9335" t="n">
        <v>1846253</v>
      </c>
      <c r="E9335" t="inlineStr">
        <is>
          <t>SEC</t>
        </is>
      </c>
    </row>
    <row r="9336">
      <c r="A9336" s="5">
        <f>HYPERLINK("https://finance.yahoo.com/quote/FIGP","FIGP")</f>
        <v/>
      </c>
      <c r="B9336" t="inlineStr">
        <is>
          <t>Forge Group, Inc.</t>
        </is>
      </c>
      <c r="C9336" t="inlineStr">
        <is>
          <t>OTC</t>
        </is>
      </c>
      <c r="D9336" t="n">
        <v>1846702</v>
      </c>
      <c r="E9336" t="inlineStr">
        <is>
          <t>SEC</t>
        </is>
      </c>
    </row>
    <row r="9337">
      <c r="A9337" s="5">
        <f>HYPERLINK("https://finance.yahoo.com/quote/PSQH-WT","PSQH-WT")</f>
        <v/>
      </c>
      <c r="B9337" t="inlineStr">
        <is>
          <t>PSQ Holdings, Inc.</t>
        </is>
      </c>
      <c r="C9337" t="inlineStr">
        <is>
          <t>NYSE</t>
        </is>
      </c>
      <c r="D9337" t="n">
        <v>1847064</v>
      </c>
      <c r="E9337" t="inlineStr">
        <is>
          <t>SEC</t>
        </is>
      </c>
    </row>
    <row r="9338">
      <c r="A9338" s="5">
        <f>HYPERLINK("https://finance.yahoo.com/quote/SAIHW","SAIHW")</f>
        <v/>
      </c>
      <c r="B9338" t="inlineStr">
        <is>
          <t>SAIHEAT Ltd</t>
        </is>
      </c>
      <c r="C9338" t="inlineStr">
        <is>
          <t>Nasdaq</t>
        </is>
      </c>
      <c r="D9338" t="n">
        <v>1847075</v>
      </c>
      <c r="E9338" t="inlineStr">
        <is>
          <t>SEC</t>
        </is>
      </c>
    </row>
    <row r="9339">
      <c r="A9339" s="5">
        <f>HYPERLINK("https://finance.yahoo.com/quote/ASBPW","ASBPW")</f>
        <v/>
      </c>
      <c r="B9339" t="inlineStr">
        <is>
          <t>Aspire-Lakewood Holdings, Inc.</t>
        </is>
      </c>
      <c r="C9339" t="inlineStr">
        <is>
          <t>Nasdaq</t>
        </is>
      </c>
      <c r="D9339" t="n">
        <v>1847345</v>
      </c>
      <c r="E9339" t="inlineStr">
        <is>
          <t>SEC</t>
        </is>
      </c>
    </row>
    <row r="9340">
      <c r="A9340" s="5">
        <f>HYPERLINK("https://finance.yahoo.com/quote/EUDAW","EUDAW")</f>
        <v/>
      </c>
      <c r="B9340" t="inlineStr">
        <is>
          <t>EUDA Health Holdings Ltd</t>
        </is>
      </c>
      <c r="C9340" t="inlineStr">
        <is>
          <t>Nasdaq</t>
        </is>
      </c>
      <c r="D9340" t="n">
        <v>1847846</v>
      </c>
      <c r="E9340" t="inlineStr">
        <is>
          <t>SEC</t>
        </is>
      </c>
    </row>
    <row r="9341">
      <c r="A9341" s="5">
        <f>HYPERLINK("https://finance.yahoo.com/quote/DFLIW","DFLIW")</f>
        <v/>
      </c>
      <c r="B9341" t="inlineStr">
        <is>
          <t>Dragonfly Energy Holdings Corp.</t>
        </is>
      </c>
      <c r="C9341" t="inlineStr">
        <is>
          <t>Nasdaq</t>
        </is>
      </c>
      <c r="D9341" t="n">
        <v>1847986</v>
      </c>
      <c r="E9341" t="inlineStr">
        <is>
          <t>SEC</t>
        </is>
      </c>
    </row>
    <row r="9342">
      <c r="A9342" s="5">
        <f>HYPERLINK("https://finance.yahoo.com/quote/OKMN","OKMN")</f>
        <v/>
      </c>
      <c r="B9342" t="inlineStr">
        <is>
          <t>OKMIN RESOURCES, INC.</t>
        </is>
      </c>
      <c r="C9342" t="inlineStr">
        <is>
          <t>OTC</t>
        </is>
      </c>
      <c r="D9342" t="n">
        <v>1848334</v>
      </c>
      <c r="E9342" t="inlineStr">
        <is>
          <t>SEC</t>
        </is>
      </c>
    </row>
    <row r="9343">
      <c r="A9343" s="5">
        <f>HYPERLINK("https://finance.yahoo.com/quote/GDLG","GDLG")</f>
        <v/>
      </c>
      <c r="B9343" t="inlineStr">
        <is>
          <t>Glidelogic Corp.</t>
        </is>
      </c>
      <c r="C9343" t="inlineStr">
        <is>
          <t>OTC</t>
        </is>
      </c>
      <c r="D9343" t="n">
        <v>1848672</v>
      </c>
      <c r="E9343" t="inlineStr">
        <is>
          <t>SEC</t>
        </is>
      </c>
    </row>
    <row r="9344">
      <c r="A9344" s="5">
        <f>HYPERLINK("https://finance.yahoo.com/quote/INPOF","INPOF")</f>
        <v/>
      </c>
      <c r="B9344" t="inlineStr">
        <is>
          <t>InPost S.A./ADR</t>
        </is>
      </c>
      <c r="C9344" t="inlineStr">
        <is>
          <t>OTC</t>
        </is>
      </c>
      <c r="D9344" t="n">
        <v>1848826</v>
      </c>
      <c r="E9344" t="inlineStr">
        <is>
          <t>SEC</t>
        </is>
      </c>
    </row>
    <row r="9345">
      <c r="A9345" s="5">
        <f>HYPERLINK("https://finance.yahoo.com/quote/ONMDW","ONMDW")</f>
        <v/>
      </c>
      <c r="B9345" t="inlineStr">
        <is>
          <t>OneMedNet Corp</t>
        </is>
      </c>
      <c r="C9345" t="inlineStr">
        <is>
          <t>Nasdaq</t>
        </is>
      </c>
      <c r="D9345" t="n">
        <v>1849380</v>
      </c>
      <c r="E9345" t="inlineStr">
        <is>
          <t>SEC</t>
        </is>
      </c>
    </row>
    <row r="9346">
      <c r="A9346" s="5">
        <f>HYPERLINK("https://finance.yahoo.com/quote/DJTWW","DJTWW")</f>
        <v/>
      </c>
      <c r="B9346" t="inlineStr">
        <is>
          <t>Trump Media &amp; Technology Group Corp.</t>
        </is>
      </c>
      <c r="C9346" t="inlineStr">
        <is>
          <t>Nasdaq</t>
        </is>
      </c>
      <c r="D9346" t="n">
        <v>1849635</v>
      </c>
      <c r="E9346" t="inlineStr">
        <is>
          <t>SEC</t>
        </is>
      </c>
    </row>
    <row r="9347">
      <c r="A9347" s="5">
        <f>HYPERLINK("https://finance.yahoo.com/quote/KITTW","KITTW")</f>
        <v/>
      </c>
      <c r="B9347" t="inlineStr">
        <is>
          <t>Nauticus Robotics, Inc.</t>
        </is>
      </c>
      <c r="C9347" t="inlineStr">
        <is>
          <t>Nasdaq</t>
        </is>
      </c>
      <c r="D9347" t="n">
        <v>1849820</v>
      </c>
      <c r="E9347" t="inlineStr">
        <is>
          <t>SEC</t>
        </is>
      </c>
    </row>
    <row r="9348">
      <c r="A9348" s="5">
        <f>HYPERLINK("https://finance.yahoo.com/quote/FSHPR","FSHPR")</f>
        <v/>
      </c>
      <c r="B9348" t="inlineStr">
        <is>
          <t>Flag Ship Acquisition Corp</t>
        </is>
      </c>
      <c r="C9348" t="inlineStr">
        <is>
          <t>Nasdaq</t>
        </is>
      </c>
      <c r="D9348" t="n">
        <v>1850059</v>
      </c>
      <c r="E9348" t="inlineStr">
        <is>
          <t>SEC</t>
        </is>
      </c>
    </row>
    <row r="9349">
      <c r="A9349" s="5">
        <f>HYPERLINK("https://finance.yahoo.com/quote/CNDAU","CNDAU")</f>
        <v/>
      </c>
      <c r="B9349" t="inlineStr">
        <is>
          <t>Concord Acquisition Corp II</t>
        </is>
      </c>
      <c r="C9349" t="inlineStr">
        <is>
          <t>OTC</t>
        </is>
      </c>
      <c r="D9349" t="n">
        <v>1851959</v>
      </c>
      <c r="E9349" t="inlineStr">
        <is>
          <t>SEC</t>
        </is>
      </c>
    </row>
    <row r="9350">
      <c r="A9350" s="5">
        <f>HYPERLINK("https://finance.yahoo.com/quote/CNDAW","CNDAW")</f>
        <v/>
      </c>
      <c r="B9350" t="inlineStr">
        <is>
          <t>Concord Acquisition Corp II</t>
        </is>
      </c>
      <c r="C9350" t="inlineStr">
        <is>
          <t>OTC</t>
        </is>
      </c>
      <c r="D9350" t="n">
        <v>1851959</v>
      </c>
      <c r="E9350" t="inlineStr">
        <is>
          <t>SEC</t>
        </is>
      </c>
    </row>
    <row r="9351">
      <c r="A9351" s="5">
        <f>HYPERLINK("https://finance.yahoo.com/quote/GCTS-WT","GCTS-WT")</f>
        <v/>
      </c>
      <c r="B9351" t="inlineStr">
        <is>
          <t>GCT Semiconductor Holding, Inc.</t>
        </is>
      </c>
      <c r="C9351" t="inlineStr">
        <is>
          <t>NYSE</t>
        </is>
      </c>
      <c r="D9351" t="n">
        <v>1851961</v>
      </c>
      <c r="E9351" t="inlineStr">
        <is>
          <t>SEC</t>
        </is>
      </c>
    </row>
    <row r="9352">
      <c r="A9352" s="5">
        <f>HYPERLINK("https://finance.yahoo.com/quote/AEAEU","AEAEU")</f>
        <v/>
      </c>
      <c r="B9352" t="inlineStr">
        <is>
          <t>AltEnergy Acquisition Corp</t>
        </is>
      </c>
      <c r="C9352" t="inlineStr">
        <is>
          <t>OTC</t>
        </is>
      </c>
      <c r="D9352" t="n">
        <v>1852016</v>
      </c>
      <c r="E9352" t="inlineStr">
        <is>
          <t>SEC</t>
        </is>
      </c>
    </row>
    <row r="9353">
      <c r="A9353" s="5">
        <f>HYPERLINK("https://finance.yahoo.com/quote/AEAEW","AEAEW")</f>
        <v/>
      </c>
      <c r="B9353" t="inlineStr">
        <is>
          <t>AltEnergy Acquisition Corp</t>
        </is>
      </c>
      <c r="C9353" t="inlineStr">
        <is>
          <t>OTC</t>
        </is>
      </c>
      <c r="D9353" t="n">
        <v>1852016</v>
      </c>
      <c r="E9353" t="inlineStr">
        <is>
          <t>SEC</t>
        </is>
      </c>
    </row>
    <row r="9354">
      <c r="A9354" s="5">
        <f>HYPERLINK("https://finance.yahoo.com/quote/IXQUF","IXQUF")</f>
        <v/>
      </c>
      <c r="B9354" t="inlineStr">
        <is>
          <t>IX Acquisition Corp.</t>
        </is>
      </c>
      <c r="C9354" t="inlineStr">
        <is>
          <t>OTC</t>
        </is>
      </c>
      <c r="D9354" t="n">
        <v>1852019</v>
      </c>
      <c r="E9354" t="inlineStr">
        <is>
          <t>SEC</t>
        </is>
      </c>
    </row>
    <row r="9355">
      <c r="A9355" s="5">
        <f>HYPERLINK("https://finance.yahoo.com/quote/IXQWF","IXQWF")</f>
        <v/>
      </c>
      <c r="B9355" t="inlineStr">
        <is>
          <t>IX Acquisition Corp.</t>
        </is>
      </c>
      <c r="C9355" t="inlineStr">
        <is>
          <t>OTC</t>
        </is>
      </c>
      <c r="D9355" t="n">
        <v>1852019</v>
      </c>
      <c r="E9355" t="inlineStr">
        <is>
          <t>SEC</t>
        </is>
      </c>
    </row>
    <row r="9356">
      <c r="A9356" s="5">
        <f>HYPERLINK("https://finance.yahoo.com/quote/FILG","FILG")</f>
        <v/>
      </c>
      <c r="B9356" t="inlineStr">
        <is>
          <t>Grayscale Filecoin Trust (FIL)</t>
        </is>
      </c>
      <c r="C9356" t="inlineStr">
        <is>
          <t>OTC</t>
        </is>
      </c>
      <c r="D9356" t="n">
        <v>1852039</v>
      </c>
      <c r="E9356" t="inlineStr">
        <is>
          <t>SEC</t>
        </is>
      </c>
    </row>
    <row r="9357">
      <c r="A9357" s="5">
        <f>HYPERLINK("https://finance.yahoo.com/quote/BEAGR","BEAGR")</f>
        <v/>
      </c>
      <c r="B9357" t="inlineStr">
        <is>
          <t>Bold Eagle Acquisition Corp.</t>
        </is>
      </c>
      <c r="C9357" t="inlineStr">
        <is>
          <t>Nasdaq</t>
        </is>
      </c>
      <c r="D9357" t="n">
        <v>1852207</v>
      </c>
      <c r="E9357" t="inlineStr">
        <is>
          <t>SEC</t>
        </is>
      </c>
    </row>
    <row r="9358">
      <c r="A9358" s="5">
        <f>HYPERLINK("https://finance.yahoo.com/quote/BEAGU","BEAGU")</f>
        <v/>
      </c>
      <c r="B9358" t="inlineStr">
        <is>
          <t>Bold Eagle Acquisition Corp.</t>
        </is>
      </c>
      <c r="C9358" t="inlineStr">
        <is>
          <t>Nasdaq</t>
        </is>
      </c>
      <c r="D9358" t="n">
        <v>1852207</v>
      </c>
      <c r="E9358" t="inlineStr">
        <is>
          <t>SEC</t>
        </is>
      </c>
    </row>
    <row r="9359">
      <c r="A9359" s="5">
        <f>HYPERLINK("https://finance.yahoo.com/quote/NVA-WT","NVA-WT")</f>
        <v/>
      </c>
      <c r="B9359" t="inlineStr">
        <is>
          <t>Nova Minerals Corp</t>
        </is>
      </c>
      <c r="C9359" t="inlineStr">
        <is>
          <t>NYSE</t>
        </is>
      </c>
      <c r="D9359" t="n">
        <v>1852551</v>
      </c>
      <c r="E9359" t="inlineStr">
        <is>
          <t>SEC</t>
        </is>
      </c>
    </row>
    <row r="9360">
      <c r="A9360" s="5">
        <f>HYPERLINK("https://finance.yahoo.com/quote/SGST","SGST")</f>
        <v/>
      </c>
      <c r="B9360" t="inlineStr">
        <is>
          <t>Strategic Storage Trust VI, Inc.</t>
        </is>
      </c>
      <c r="C9360" t="inlineStr">
        <is>
          <t>OTC</t>
        </is>
      </c>
      <c r="D9360" t="n">
        <v>1852575</v>
      </c>
      <c r="E9360" t="inlineStr">
        <is>
          <t>SEC</t>
        </is>
      </c>
    </row>
    <row r="9361">
      <c r="A9361" s="5">
        <f>HYPERLINK("https://finance.yahoo.com/quote/BRLSW","BRLSW")</f>
        <v/>
      </c>
      <c r="B9361" t="inlineStr">
        <is>
          <t>Borealis Foods Inc.</t>
        </is>
      </c>
      <c r="C9361" t="inlineStr">
        <is>
          <t>Nasdaq</t>
        </is>
      </c>
      <c r="D9361" t="n">
        <v>1852973</v>
      </c>
      <c r="E9361" t="inlineStr">
        <is>
          <t>SEC</t>
        </is>
      </c>
    </row>
    <row r="9362">
      <c r="A9362" s="5">
        <f>HYPERLINK("https://finance.yahoo.com/quote/AERTW","AERTW")</f>
        <v/>
      </c>
      <c r="B9362" t="inlineStr">
        <is>
          <t>Aeries Technology, Inc.</t>
        </is>
      </c>
      <c r="C9362" t="inlineStr">
        <is>
          <t>Nasdaq</t>
        </is>
      </c>
      <c r="D9362" t="n">
        <v>1853044</v>
      </c>
      <c r="E9362" t="inlineStr">
        <is>
          <t>SEC</t>
        </is>
      </c>
    </row>
    <row r="9363">
      <c r="A9363" s="5">
        <f>HYPERLINK("https://finance.yahoo.com/quote/SOARW","SOARW")</f>
        <v/>
      </c>
      <c r="B9363" t="inlineStr">
        <is>
          <t>SOAR AI, Inc.</t>
        </is>
      </c>
      <c r="C9363" t="inlineStr">
        <is>
          <t>OTC</t>
        </is>
      </c>
      <c r="D9363" t="n">
        <v>1853070</v>
      </c>
      <c r="E9363" t="inlineStr">
        <is>
          <t>SEC</t>
        </is>
      </c>
    </row>
    <row r="9364">
      <c r="A9364" s="5">
        <f>HYPERLINK("https://finance.yahoo.com/quote/KDKRW","KDKRW")</f>
        <v/>
      </c>
      <c r="B9364" t="inlineStr">
        <is>
          <t>Kodiak AI, Inc.</t>
        </is>
      </c>
      <c r="C9364" t="inlineStr">
        <is>
          <t>Nasdaq</t>
        </is>
      </c>
      <c r="D9364" t="n">
        <v>1853138</v>
      </c>
      <c r="E9364" t="inlineStr">
        <is>
          <t>SEC</t>
        </is>
      </c>
    </row>
    <row r="9365">
      <c r="A9365" s="5">
        <f>HYPERLINK("https://finance.yahoo.com/quote/HMELF","HMELF")</f>
        <v/>
      </c>
      <c r="B9365" t="inlineStr">
        <is>
          <t>Hold Me Ltd</t>
        </is>
      </c>
      <c r="C9365" t="inlineStr">
        <is>
          <t>OTC</t>
        </is>
      </c>
      <c r="D9365" t="n">
        <v>1853630</v>
      </c>
      <c r="E9365" t="inlineStr">
        <is>
          <t>SEC</t>
        </is>
      </c>
    </row>
    <row r="9366">
      <c r="A9366" s="5">
        <f>HYPERLINK("https://finance.yahoo.com/quote/IAUX-WT","IAUX-WT")</f>
        <v/>
      </c>
      <c r="B9366" t="inlineStr">
        <is>
          <t>i-80 Gold Corp.</t>
        </is>
      </c>
      <c r="C9366" t="inlineStr">
        <is>
          <t>NYSE</t>
        </is>
      </c>
      <c r="D9366" t="n">
        <v>1853962</v>
      </c>
      <c r="E9366" t="inlineStr">
        <is>
          <t>SEC</t>
        </is>
      </c>
    </row>
    <row r="9367">
      <c r="A9367" s="5">
        <f>HYPERLINK("https://finance.yahoo.com/quote/ZCARW","ZCARW")</f>
        <v/>
      </c>
      <c r="B9367" t="inlineStr">
        <is>
          <t>Zoomcar Holdings, Inc.</t>
        </is>
      </c>
      <c r="C9367" t="inlineStr">
        <is>
          <t>OTC</t>
        </is>
      </c>
      <c r="D9367" t="n">
        <v>1854275</v>
      </c>
      <c r="E9367" t="inlineStr">
        <is>
          <t>SEC</t>
        </is>
      </c>
    </row>
    <row r="9368">
      <c r="A9368" s="5">
        <f>HYPERLINK("https://finance.yahoo.com/quote/WINVR","WINVR")</f>
        <v/>
      </c>
      <c r="B9368" t="inlineStr">
        <is>
          <t>WinVest Acquisition Corp.</t>
        </is>
      </c>
      <c r="C9368" t="inlineStr">
        <is>
          <t>OTC</t>
        </is>
      </c>
      <c r="D9368" t="n">
        <v>1854463</v>
      </c>
      <c r="E9368" t="inlineStr">
        <is>
          <t>SEC</t>
        </is>
      </c>
    </row>
    <row r="9369">
      <c r="A9369" s="5">
        <f>HYPERLINK("https://finance.yahoo.com/quote/MINR","MINR")</f>
        <v/>
      </c>
      <c r="B9369" t="inlineStr">
        <is>
          <t>Minerva Gold Inc.</t>
        </is>
      </c>
      <c r="C9369" t="inlineStr">
        <is>
          <t>OTC</t>
        </is>
      </c>
      <c r="D9369" t="n">
        <v>1854816</v>
      </c>
      <c r="E9369" t="inlineStr">
        <is>
          <t>SEC</t>
        </is>
      </c>
    </row>
    <row r="9370">
      <c r="A9370" s="5">
        <f>HYPERLINK("https://finance.yahoo.com/quote/SHFSW","SHFSW")</f>
        <v/>
      </c>
      <c r="B9370" t="inlineStr">
        <is>
          <t>SHF Holdings, Inc.</t>
        </is>
      </c>
      <c r="C9370" t="inlineStr">
        <is>
          <t>Nasdaq</t>
        </is>
      </c>
      <c r="D9370" t="n">
        <v>1854963</v>
      </c>
      <c r="E9370" t="inlineStr">
        <is>
          <t>SEC</t>
        </is>
      </c>
    </row>
    <row r="9371">
      <c r="A9371" s="5">
        <f>HYPERLINK("https://finance.yahoo.com/quote/MOBXW","MOBXW")</f>
        <v/>
      </c>
      <c r="B9371" t="inlineStr">
        <is>
          <t>MOBIX LABS, INC</t>
        </is>
      </c>
      <c r="C9371" t="inlineStr">
        <is>
          <t>Nasdaq</t>
        </is>
      </c>
      <c r="D9371" t="n">
        <v>1855467</v>
      </c>
      <c r="E9371" t="inlineStr">
        <is>
          <t>SEC</t>
        </is>
      </c>
    </row>
    <row r="9372">
      <c r="A9372" s="5">
        <f>HYPERLINK("https://finance.yahoo.com/quote/AIRJW","AIRJW")</f>
        <v/>
      </c>
      <c r="B9372" t="inlineStr">
        <is>
          <t>AirJoule Technologies Corp.</t>
        </is>
      </c>
      <c r="C9372" t="inlineStr">
        <is>
          <t>Nasdaq</t>
        </is>
      </c>
      <c r="D9372" t="n">
        <v>1855474</v>
      </c>
      <c r="E9372" t="inlineStr">
        <is>
          <t>SEC</t>
        </is>
      </c>
    </row>
    <row r="9373">
      <c r="A9373" s="5">
        <f>HYPERLINK("https://finance.yahoo.com/quote/CLDWW","CLDWW")</f>
        <v/>
      </c>
      <c r="B9373" t="inlineStr">
        <is>
          <t>Calidi Biotherapeutics, Inc.</t>
        </is>
      </c>
      <c r="C9373" t="inlineStr">
        <is>
          <t>OTC</t>
        </is>
      </c>
      <c r="D9373" t="n">
        <v>1855485</v>
      </c>
      <c r="E9373" t="inlineStr">
        <is>
          <t>SEC</t>
        </is>
      </c>
    </row>
    <row r="9374">
      <c r="A9374" s="5">
        <f>HYPERLINK("https://finance.yahoo.com/quote/GRABW","GRABW")</f>
        <v/>
      </c>
      <c r="B9374" t="inlineStr">
        <is>
          <t>Grab Holdings Ltd</t>
        </is>
      </c>
      <c r="C9374" t="inlineStr">
        <is>
          <t>Nasdaq</t>
        </is>
      </c>
      <c r="D9374" t="n">
        <v>1855612</v>
      </c>
      <c r="E9374" t="inlineStr">
        <is>
          <t>SEC</t>
        </is>
      </c>
    </row>
    <row r="9375">
      <c r="A9375" s="5">
        <f>HYPERLINK("https://finance.yahoo.com/quote/SEATW","SEATW")</f>
        <v/>
      </c>
      <c r="B9375" t="inlineStr">
        <is>
          <t>Vivid Seats Inc.</t>
        </is>
      </c>
      <c r="C9375" t="inlineStr">
        <is>
          <t>Nasdaq</t>
        </is>
      </c>
      <c r="D9375" t="n">
        <v>1856031</v>
      </c>
      <c r="E9375" t="inlineStr">
        <is>
          <t>SEC</t>
        </is>
      </c>
    </row>
    <row r="9376">
      <c r="A9376" s="5">
        <f>HYPERLINK("https://finance.yahoo.com/quote/HNSDF","HNSDF")</f>
        <v/>
      </c>
      <c r="B9376" t="inlineStr">
        <is>
          <t>Hensoldt AG/ADR</t>
        </is>
      </c>
      <c r="C9376" t="inlineStr">
        <is>
          <t>OTC</t>
        </is>
      </c>
      <c r="D9376" t="n">
        <v>1856488</v>
      </c>
      <c r="E9376" t="inlineStr">
        <is>
          <t>SEC</t>
        </is>
      </c>
    </row>
    <row r="9377">
      <c r="A9377" s="5">
        <f>HYPERLINK("https://finance.yahoo.com/quote/APOS","APOS")</f>
        <v/>
      </c>
      <c r="B9377" t="inlineStr">
        <is>
          <t>Apollo Global Management, Inc.</t>
        </is>
      </c>
      <c r="C9377" t="inlineStr">
        <is>
          <t>NYSE</t>
        </is>
      </c>
      <c r="D9377" t="n">
        <v>1858681</v>
      </c>
      <c r="E9377" t="inlineStr">
        <is>
          <t>SEC</t>
        </is>
      </c>
    </row>
    <row r="9378">
      <c r="A9378" s="5">
        <f>HYPERLINK("https://finance.yahoo.com/quote/BFRIW","BFRIW")</f>
        <v/>
      </c>
      <c r="B9378" t="inlineStr">
        <is>
          <t>Biofrontera Inc.</t>
        </is>
      </c>
      <c r="C9378" t="inlineStr">
        <is>
          <t>Nasdaq</t>
        </is>
      </c>
      <c r="D9378" t="n">
        <v>1858685</v>
      </c>
      <c r="E9378" t="inlineStr">
        <is>
          <t>SEC</t>
        </is>
      </c>
    </row>
    <row r="9379">
      <c r="A9379" s="5">
        <f>HYPERLINK("https://finance.yahoo.com/quote/MCAGR","MCAGR")</f>
        <v/>
      </c>
      <c r="B9379" t="inlineStr">
        <is>
          <t>Mountain Crest Acquisition Corp. V</t>
        </is>
      </c>
      <c r="C9379" t="inlineStr">
        <is>
          <t>OTC</t>
        </is>
      </c>
      <c r="D9379" t="n">
        <v>1859035</v>
      </c>
      <c r="E9379" t="inlineStr">
        <is>
          <t>SEC</t>
        </is>
      </c>
    </row>
    <row r="9380">
      <c r="A9380" s="5">
        <f>HYPERLINK("https://finance.yahoo.com/quote/MCAGU","MCAGU")</f>
        <v/>
      </c>
      <c r="B9380" t="inlineStr">
        <is>
          <t>Mountain Crest Acquisition Corp. V</t>
        </is>
      </c>
      <c r="C9380" t="inlineStr">
        <is>
          <t>OTC</t>
        </is>
      </c>
      <c r="D9380" t="n">
        <v>1859035</v>
      </c>
      <c r="E9380" t="inlineStr">
        <is>
          <t>SEC</t>
        </is>
      </c>
    </row>
    <row r="9381">
      <c r="A9381" s="5">
        <f>HYPERLINK("https://finance.yahoo.com/quote/NVACW","NVACW")</f>
        <v/>
      </c>
      <c r="B9381" t="inlineStr">
        <is>
          <t>Profusa, Inc.</t>
        </is>
      </c>
      <c r="C9381" t="inlineStr">
        <is>
          <t>OTC</t>
        </is>
      </c>
      <c r="D9381" t="n">
        <v>1859807</v>
      </c>
      <c r="E9381" t="inlineStr">
        <is>
          <t>SEC</t>
        </is>
      </c>
    </row>
    <row r="9382">
      <c r="A9382" s="5">
        <f>HYPERLINK("https://finance.yahoo.com/quote/ASTLW","ASTLW")</f>
        <v/>
      </c>
      <c r="B9382" t="inlineStr">
        <is>
          <t>Algoma Steel Group Inc.</t>
        </is>
      </c>
      <c r="C9382" t="inlineStr">
        <is>
          <t>Nasdaq</t>
        </is>
      </c>
      <c r="D9382" t="n">
        <v>1860805</v>
      </c>
      <c r="E9382" t="inlineStr">
        <is>
          <t>SEC</t>
        </is>
      </c>
    </row>
    <row r="9383">
      <c r="A9383" s="5">
        <f>HYPERLINK("https://finance.yahoo.com/quote/TVGNW","TVGNW")</f>
        <v/>
      </c>
      <c r="B9383" t="inlineStr">
        <is>
          <t>Tevogen Inc.</t>
        </is>
      </c>
      <c r="C9383" t="inlineStr">
        <is>
          <t>Nasdaq</t>
        </is>
      </c>
      <c r="D9383" t="n">
        <v>1860871</v>
      </c>
      <c r="E9383" t="inlineStr">
        <is>
          <t>SEC</t>
        </is>
      </c>
    </row>
    <row r="9384">
      <c r="A9384" s="5">
        <f>HYPERLINK("https://finance.yahoo.com/quote/HSIGF","HSIGF")</f>
        <v/>
      </c>
      <c r="B9384" t="inlineStr">
        <is>
          <t>Hesai Group</t>
        </is>
      </c>
      <c r="C9384" t="inlineStr">
        <is>
          <t>OTC</t>
        </is>
      </c>
      <c r="D9384" t="n">
        <v>1861737</v>
      </c>
      <c r="E9384" t="inlineStr">
        <is>
          <t>SEC</t>
        </is>
      </c>
    </row>
    <row r="9385">
      <c r="A9385" s="5">
        <f>HYPERLINK("https://finance.yahoo.com/quote/ECXWW","ECXWW")</f>
        <v/>
      </c>
      <c r="B9385" t="inlineStr">
        <is>
          <t>ECARX Holdings Inc.</t>
        </is>
      </c>
      <c r="C9385" t="inlineStr">
        <is>
          <t>Nasdaq</t>
        </is>
      </c>
      <c r="D9385" t="n">
        <v>1861974</v>
      </c>
      <c r="E9385" t="inlineStr">
        <is>
          <t>SEC</t>
        </is>
      </c>
    </row>
    <row r="9386">
      <c r="A9386" s="5">
        <f>HYPERLINK("https://finance.yahoo.com/quote/CINGW","CINGW")</f>
        <v/>
      </c>
      <c r="B9386" t="inlineStr">
        <is>
          <t>Cingulate Inc.</t>
        </is>
      </c>
      <c r="C9386" t="inlineStr">
        <is>
          <t>Nasdaq</t>
        </is>
      </c>
      <c r="D9386" t="n">
        <v>1862150</v>
      </c>
      <c r="E9386" t="inlineStr">
        <is>
          <t>SEC</t>
        </is>
      </c>
    </row>
    <row r="9387">
      <c r="A9387" s="5">
        <f>HYPERLINK("https://finance.yahoo.com/quote/AMODW","AMODW")</f>
        <v/>
      </c>
      <c r="B9387" t="inlineStr">
        <is>
          <t>ALPHA MODUS HOLDINGS, INC.</t>
        </is>
      </c>
      <c r="C9387" t="inlineStr">
        <is>
          <t>Nasdaq</t>
        </is>
      </c>
      <c r="D9387" t="n">
        <v>1862463</v>
      </c>
      <c r="E9387" t="inlineStr">
        <is>
          <t>SEC</t>
        </is>
      </c>
    </row>
    <row r="9388">
      <c r="A9388" s="5">
        <f>HYPERLINK("https://finance.yahoo.com/quote/MSAIW","MSAIW")</f>
        <v/>
      </c>
      <c r="B9388" t="inlineStr">
        <is>
          <t>MultiSensor AI Holdings, Inc.</t>
        </is>
      </c>
      <c r="C9388" t="inlineStr">
        <is>
          <t>Nasdaq</t>
        </is>
      </c>
      <c r="D9388" t="n">
        <v>1863990</v>
      </c>
      <c r="E9388" t="inlineStr">
        <is>
          <t>SEC</t>
        </is>
      </c>
    </row>
    <row r="9389">
      <c r="A9389" s="5">
        <f>HYPERLINK("https://finance.yahoo.com/quote/VSEED","VSEED")</f>
        <v/>
      </c>
      <c r="B9389" t="inlineStr">
        <is>
          <t>VSEE HEALTH, INC.</t>
        </is>
      </c>
      <c r="C9389" t="inlineStr">
        <is>
          <t>OTC</t>
        </is>
      </c>
      <c r="D9389" t="n">
        <v>1864531</v>
      </c>
      <c r="E9389" t="inlineStr">
        <is>
          <t>SEC</t>
        </is>
      </c>
    </row>
    <row r="9390">
      <c r="A9390" s="5">
        <f>HYPERLINK("https://finance.yahoo.com/quote/VSEEW","VSEEW")</f>
        <v/>
      </c>
      <c r="B9390" t="inlineStr">
        <is>
          <t>VSEE HEALTH, INC.</t>
        </is>
      </c>
      <c r="C9390" t="inlineStr">
        <is>
          <t>OTC</t>
        </is>
      </c>
      <c r="D9390" t="n">
        <v>1864531</v>
      </c>
      <c r="E9390" t="inlineStr">
        <is>
          <t>SEC</t>
        </is>
      </c>
    </row>
    <row r="9391">
      <c r="A9391" s="5">
        <f>HYPERLINK("https://finance.yahoo.com/quote/FGIWW","FGIWW")</f>
        <v/>
      </c>
      <c r="B9391" t="inlineStr">
        <is>
          <t>FGI Industries Ltd.</t>
        </is>
      </c>
      <c r="C9391" t="inlineStr">
        <is>
          <t>Nasdaq</t>
        </is>
      </c>
      <c r="D9391" t="n">
        <v>1864943</v>
      </c>
      <c r="E9391" t="inlineStr">
        <is>
          <t>SEC</t>
        </is>
      </c>
    </row>
    <row r="9392">
      <c r="A9392" s="5">
        <f>HYPERLINK("https://finance.yahoo.com/quote/ALSTF","ALSTF")</f>
        <v/>
      </c>
      <c r="B9392" t="inlineStr">
        <is>
          <t>Alpha Star Acquisition Corp</t>
        </is>
      </c>
      <c r="C9392" t="inlineStr">
        <is>
          <t>OTC</t>
        </is>
      </c>
      <c r="D9392" t="n">
        <v>1865111</v>
      </c>
      <c r="E9392" t="inlineStr">
        <is>
          <t>SEC</t>
        </is>
      </c>
    </row>
    <row r="9393">
      <c r="A9393" s="5">
        <f>HYPERLINK("https://finance.yahoo.com/quote/ALSUF","ALSUF")</f>
        <v/>
      </c>
      <c r="B9393" t="inlineStr">
        <is>
          <t>Alpha Star Acquisition Corp</t>
        </is>
      </c>
      <c r="C9393" t="inlineStr">
        <is>
          <t>OTC</t>
        </is>
      </c>
      <c r="D9393" t="n">
        <v>1865111</v>
      </c>
      <c r="E9393" t="inlineStr">
        <is>
          <t>SEC</t>
        </is>
      </c>
    </row>
    <row r="9394">
      <c r="A9394" s="5">
        <f>HYPERLINK("https://finance.yahoo.com/quote/ALSWF","ALSWF")</f>
        <v/>
      </c>
      <c r="B9394" t="inlineStr">
        <is>
          <t>Alpha Star Acquisition Corp</t>
        </is>
      </c>
      <c r="C9394" t="inlineStr">
        <is>
          <t>OTC</t>
        </is>
      </c>
      <c r="D9394" t="n">
        <v>1865111</v>
      </c>
      <c r="E9394" t="inlineStr">
        <is>
          <t>SEC</t>
        </is>
      </c>
    </row>
    <row r="9395">
      <c r="A9395" s="5">
        <f>HYPERLINK("https://finance.yahoo.com/quote/CMCUF","CMCUF")</f>
        <v/>
      </c>
      <c r="B9395" t="inlineStr">
        <is>
          <t>Piermont Valley Acquisition Corp</t>
        </is>
      </c>
      <c r="C9395" t="inlineStr">
        <is>
          <t>OTC</t>
        </is>
      </c>
      <c r="D9395" t="n">
        <v>1865248</v>
      </c>
      <c r="E9395" t="inlineStr">
        <is>
          <t>SEC</t>
        </is>
      </c>
    </row>
    <row r="9396">
      <c r="A9396" s="5">
        <f>HYPERLINK("https://finance.yahoo.com/quote/CMCWF","CMCWF")</f>
        <v/>
      </c>
      <c r="B9396" t="inlineStr">
        <is>
          <t>Piermont Valley Acquisition Corp</t>
        </is>
      </c>
      <c r="C9396" t="inlineStr">
        <is>
          <t>OTC</t>
        </is>
      </c>
      <c r="D9396" t="n">
        <v>1865248</v>
      </c>
      <c r="E9396" t="inlineStr">
        <is>
          <t>SEC</t>
        </is>
      </c>
    </row>
    <row r="9397">
      <c r="A9397" s="5">
        <f>HYPERLINK("https://finance.yahoo.com/quote/ZEOWW","ZEOWW")</f>
        <v/>
      </c>
      <c r="B9397" t="inlineStr">
        <is>
          <t>Zeo Energy Corp.</t>
        </is>
      </c>
      <c r="C9397" t="inlineStr">
        <is>
          <t>Nasdaq</t>
        </is>
      </c>
      <c r="D9397" t="n">
        <v>1865506</v>
      </c>
      <c r="E9397" t="inlineStr">
        <is>
          <t>SEC</t>
        </is>
      </c>
    </row>
    <row r="9398">
      <c r="A9398" s="5">
        <f>HYPERLINK("https://finance.yahoo.com/quote/NXNVW","NXNVW")</f>
        <v/>
      </c>
      <c r="B9398" t="inlineStr">
        <is>
          <t>NEXTNAV INC.</t>
        </is>
      </c>
      <c r="C9398" t="inlineStr">
        <is>
          <t>OTC</t>
        </is>
      </c>
      <c r="D9398" t="n">
        <v>1865631</v>
      </c>
      <c r="E9398" t="inlineStr">
        <is>
          <t>SEC</t>
        </is>
      </c>
    </row>
    <row r="9399">
      <c r="A9399" s="5">
        <f>HYPERLINK("https://finance.yahoo.com/quote/BTSGU","BTSGU")</f>
        <v/>
      </c>
      <c r="B9399" t="inlineStr">
        <is>
          <t>BrightSpring Health Services, Inc.</t>
        </is>
      </c>
      <c r="C9399" t="inlineStr">
        <is>
          <t>Nasdaq</t>
        </is>
      </c>
      <c r="D9399" t="n">
        <v>1865782</v>
      </c>
      <c r="E9399" t="inlineStr">
        <is>
          <t>SEC</t>
        </is>
      </c>
    </row>
    <row r="9400">
      <c r="A9400" s="5">
        <f>HYPERLINK("https://finance.yahoo.com/quote/CTSUF","CTSUF")</f>
        <v/>
      </c>
      <c r="B9400" t="inlineStr">
        <is>
          <t>Cactus Acquisition Corp. 1 Ltd</t>
        </is>
      </c>
      <c r="C9400" t="inlineStr">
        <is>
          <t>OTC</t>
        </is>
      </c>
      <c r="D9400" t="n">
        <v>1865861</v>
      </c>
      <c r="E9400" t="inlineStr">
        <is>
          <t>SEC</t>
        </is>
      </c>
    </row>
    <row r="9401">
      <c r="A9401" s="5">
        <f>HYPERLINK("https://finance.yahoo.com/quote/CTSWF","CTSWF")</f>
        <v/>
      </c>
      <c r="B9401" t="inlineStr">
        <is>
          <t>Cactus Acquisition Corp. 1 Ltd</t>
        </is>
      </c>
      <c r="C9401" t="inlineStr">
        <is>
          <t>OTC</t>
        </is>
      </c>
      <c r="D9401" t="n">
        <v>1865861</v>
      </c>
      <c r="E9401" t="inlineStr">
        <is>
          <t>SEC</t>
        </is>
      </c>
    </row>
    <row r="9402">
      <c r="A9402" s="5">
        <f>HYPERLINK("https://finance.yahoo.com/quote/BULLW","BULLW")</f>
        <v/>
      </c>
      <c r="B9402" t="inlineStr">
        <is>
          <t>Webull Corp</t>
        </is>
      </c>
      <c r="C9402" t="inlineStr">
        <is>
          <t>Nasdaq</t>
        </is>
      </c>
      <c r="D9402" t="n">
        <v>1866364</v>
      </c>
      <c r="E9402" t="inlineStr">
        <is>
          <t>SEC</t>
        </is>
      </c>
    </row>
    <row r="9403">
      <c r="A9403" s="5">
        <f>HYPERLINK("https://finance.yahoo.com/quote/CDROW","CDROW")</f>
        <v/>
      </c>
      <c r="B9403" t="inlineStr">
        <is>
          <t>Codere Online Luxembourg, S.A.</t>
        </is>
      </c>
      <c r="C9403" t="inlineStr">
        <is>
          <t>Nasdaq</t>
        </is>
      </c>
      <c r="D9403" t="n">
        <v>1866782</v>
      </c>
      <c r="E9403" t="inlineStr">
        <is>
          <t>SEC</t>
        </is>
      </c>
    </row>
    <row r="9404">
      <c r="A9404" s="5">
        <f>HYPERLINK("https://finance.yahoo.com/quote/OPTXW","OPTXW")</f>
        <v/>
      </c>
      <c r="B9404" t="inlineStr">
        <is>
          <t>SYNTEC OPTICS HOLDINGS, INC.</t>
        </is>
      </c>
      <c r="C9404" t="inlineStr">
        <is>
          <t>Nasdaq</t>
        </is>
      </c>
      <c r="D9404" t="n">
        <v>1866816</v>
      </c>
      <c r="E9404" t="inlineStr">
        <is>
          <t>SEC</t>
        </is>
      </c>
    </row>
    <row r="9405">
      <c r="A9405" s="5">
        <f>HYPERLINK("https://finance.yahoo.com/quote/EVAWF","EVAWF")</f>
        <v/>
      </c>
      <c r="B9405" t="inlineStr">
        <is>
          <t>Vertical Aerospace Ltd.</t>
        </is>
      </c>
      <c r="C9405" t="inlineStr">
        <is>
          <t>OTC</t>
        </is>
      </c>
      <c r="D9405" t="n">
        <v>1867102</v>
      </c>
      <c r="E9405" t="inlineStr">
        <is>
          <t>SEC</t>
        </is>
      </c>
    </row>
    <row r="9406">
      <c r="A9406" s="5">
        <f>HYPERLINK("https://finance.yahoo.com/quote/EVBWF","EVBWF")</f>
        <v/>
      </c>
      <c r="B9406" t="inlineStr">
        <is>
          <t>Vertical Aerospace Ltd.</t>
        </is>
      </c>
      <c r="C9406" t="inlineStr">
        <is>
          <t>OTC</t>
        </is>
      </c>
      <c r="D9406" t="n">
        <v>1867102</v>
      </c>
      <c r="E9406" t="inlineStr">
        <is>
          <t>SEC</t>
        </is>
      </c>
    </row>
    <row r="9407">
      <c r="A9407" s="5">
        <f>HYPERLINK("https://finance.yahoo.com/quote/EVTWF","EVTWF")</f>
        <v/>
      </c>
      <c r="B9407" t="inlineStr">
        <is>
          <t>Vertical Aerospace Ltd.</t>
        </is>
      </c>
      <c r="C9407" t="inlineStr">
        <is>
          <t>OTC</t>
        </is>
      </c>
      <c r="D9407" t="n">
        <v>1867102</v>
      </c>
      <c r="E9407" t="inlineStr">
        <is>
          <t>SEC</t>
        </is>
      </c>
    </row>
    <row r="9408">
      <c r="A9408" s="5">
        <f>HYPERLINK("https://finance.yahoo.com/quote/WRDIF","WRDIF")</f>
        <v/>
      </c>
      <c r="B9408" t="inlineStr">
        <is>
          <t>WeRide Inc.</t>
        </is>
      </c>
      <c r="C9408" t="inlineStr">
        <is>
          <t>OTC</t>
        </is>
      </c>
      <c r="D9408" t="n">
        <v>1867729</v>
      </c>
      <c r="E9408" t="inlineStr">
        <is>
          <t>SEC</t>
        </is>
      </c>
    </row>
    <row r="9409">
      <c r="A9409" s="5">
        <f>HYPERLINK("https://finance.yahoo.com/quote/CYCUW","CYCUW")</f>
        <v/>
      </c>
      <c r="B9409" t="inlineStr">
        <is>
          <t>Cycurion, Inc.</t>
        </is>
      </c>
      <c r="C9409" t="inlineStr">
        <is>
          <t>Nasdaq</t>
        </is>
      </c>
      <c r="D9409" t="n">
        <v>1868419</v>
      </c>
      <c r="E9409" t="inlineStr">
        <is>
          <t>SEC</t>
        </is>
      </c>
    </row>
    <row r="9410">
      <c r="A9410" s="5">
        <f>HYPERLINK("https://finance.yahoo.com/quote/RDZNW","RDZNW")</f>
        <v/>
      </c>
      <c r="B9410" t="inlineStr">
        <is>
          <t>Roadzen Inc.</t>
        </is>
      </c>
      <c r="C9410" t="inlineStr">
        <is>
          <t>Nasdaq</t>
        </is>
      </c>
      <c r="D9410" t="n">
        <v>1868640</v>
      </c>
      <c r="E9410" t="inlineStr">
        <is>
          <t>SEC</t>
        </is>
      </c>
    </row>
    <row r="9411">
      <c r="A9411" s="5">
        <f>HYPERLINK("https://finance.yahoo.com/quote/CDIOW","CDIOW")</f>
        <v/>
      </c>
      <c r="B9411" t="inlineStr">
        <is>
          <t>Cardio Diagnostics Holdings, Inc.</t>
        </is>
      </c>
      <c r="C9411" t="inlineStr">
        <is>
          <t>Nasdaq</t>
        </is>
      </c>
      <c r="D9411" t="n">
        <v>1870144</v>
      </c>
      <c r="E9411" t="inlineStr">
        <is>
          <t>SEC</t>
        </is>
      </c>
    </row>
    <row r="9412">
      <c r="A9412" s="5">
        <f>HYPERLINK("https://finance.yahoo.com/quote/CEROW","CEROW")</f>
        <v/>
      </c>
      <c r="B9412" t="inlineStr">
        <is>
          <t>CERO THERAPEUTICS HOLDINGS, INC.</t>
        </is>
      </c>
      <c r="C9412" t="inlineStr">
        <is>
          <t>OTC</t>
        </is>
      </c>
      <c r="D9412" t="n">
        <v>1870404</v>
      </c>
      <c r="E9412" t="inlineStr">
        <is>
          <t>SEC</t>
        </is>
      </c>
    </row>
    <row r="9413">
      <c r="A9413" s="5">
        <f>HYPERLINK("https://finance.yahoo.com/quote/DRTSW","DRTSW")</f>
        <v/>
      </c>
      <c r="B9413" t="inlineStr">
        <is>
          <t>Alpha Tau Medical Ltd.</t>
        </is>
      </c>
      <c r="C9413" t="inlineStr">
        <is>
          <t>Nasdaq</t>
        </is>
      </c>
      <c r="D9413" t="n">
        <v>1871321</v>
      </c>
      <c r="E9413" t="inlineStr">
        <is>
          <t>SEC</t>
        </is>
      </c>
    </row>
    <row r="9414">
      <c r="A9414" s="5">
        <f>HYPERLINK("https://finance.yahoo.com/quote/BZAIW","BZAIW")</f>
        <v/>
      </c>
      <c r="B9414" t="inlineStr">
        <is>
          <t>Blaize Holdings, Inc.</t>
        </is>
      </c>
      <c r="C9414" t="inlineStr">
        <is>
          <t>Nasdaq</t>
        </is>
      </c>
      <c r="D9414" t="n">
        <v>1871638</v>
      </c>
      <c r="E9414" t="inlineStr">
        <is>
          <t>SEC</t>
        </is>
      </c>
    </row>
    <row r="9415">
      <c r="A9415" s="5">
        <f>HYPERLINK("https://finance.yahoo.com/quote/ANGHW","ANGHW")</f>
        <v/>
      </c>
      <c r="B9415" t="inlineStr">
        <is>
          <t>Anghami Inc</t>
        </is>
      </c>
      <c r="C9415" t="inlineStr">
        <is>
          <t>Nasdaq</t>
        </is>
      </c>
      <c r="D9415" t="n">
        <v>1871983</v>
      </c>
      <c r="E9415" t="inlineStr">
        <is>
          <t>SEC</t>
        </is>
      </c>
    </row>
    <row r="9416">
      <c r="A9416" s="5">
        <f>HYPERLINK("https://finance.yahoo.com/quote/MIBE","MIBE")</f>
        <v/>
      </c>
      <c r="B9416" t="inlineStr">
        <is>
          <t>MIAMI BREEZE CAR CARE INC</t>
        </is>
      </c>
      <c r="C9416" t="inlineStr">
        <is>
          <t>OTC</t>
        </is>
      </c>
      <c r="D9416" t="n">
        <v>1872066</v>
      </c>
      <c r="E9416" t="inlineStr">
        <is>
          <t>SEC</t>
        </is>
      </c>
    </row>
    <row r="9417">
      <c r="A9417" s="5">
        <f>HYPERLINK("https://finance.yahoo.com/quote/TVAIR","TVAIR")</f>
        <v/>
      </c>
      <c r="B9417" t="inlineStr">
        <is>
          <t>Thayer Ventures Acquisition Corp II</t>
        </is>
      </c>
      <c r="C9417" t="inlineStr">
        <is>
          <t>Nasdaq</t>
        </is>
      </c>
      <c r="D9417" t="n">
        <v>1872228</v>
      </c>
      <c r="E9417" t="inlineStr">
        <is>
          <t>SEC</t>
        </is>
      </c>
    </row>
    <row r="9418">
      <c r="A9418" s="5">
        <f>HYPERLINK("https://finance.yahoo.com/quote/TVAIU","TVAIU")</f>
        <v/>
      </c>
      <c r="B9418" t="inlineStr">
        <is>
          <t>Thayer Ventures Acquisition Corp II</t>
        </is>
      </c>
      <c r="C9418" t="inlineStr">
        <is>
          <t>Nasdaq</t>
        </is>
      </c>
      <c r="D9418" t="n">
        <v>1872228</v>
      </c>
      <c r="E9418" t="inlineStr">
        <is>
          <t>SEC</t>
        </is>
      </c>
    </row>
    <row r="9419">
      <c r="A9419" s="5">
        <f>HYPERLINK("https://finance.yahoo.com/quote/MTEKW","MTEKW")</f>
        <v/>
      </c>
      <c r="B9419" t="inlineStr">
        <is>
          <t>Maris Tech Ltd.</t>
        </is>
      </c>
      <c r="C9419" t="inlineStr">
        <is>
          <t>Nasdaq</t>
        </is>
      </c>
      <c r="D9419" t="n">
        <v>1872964</v>
      </c>
      <c r="E9419" t="inlineStr">
        <is>
          <t>SEC</t>
        </is>
      </c>
    </row>
    <row r="9420">
      <c r="A9420" s="5">
        <f>HYPERLINK("https://finance.yahoo.com/quote/SATLW","SATLW")</f>
        <v/>
      </c>
      <c r="B9420" t="inlineStr">
        <is>
          <t>Satellogic Inc.</t>
        </is>
      </c>
      <c r="C9420" t="inlineStr">
        <is>
          <t>Nasdaq</t>
        </is>
      </c>
      <c r="D9420" t="n">
        <v>1874315</v>
      </c>
      <c r="E9420" t="inlineStr">
        <is>
          <t>SEC</t>
        </is>
      </c>
    </row>
    <row r="9421">
      <c r="A9421" s="5">
        <f>HYPERLINK("https://finance.yahoo.com/quote/NRSNW","NRSNW")</f>
        <v/>
      </c>
      <c r="B9421" t="inlineStr">
        <is>
          <t>NeuroSense Therapeutics Ltd.</t>
        </is>
      </c>
      <c r="C9421" t="inlineStr">
        <is>
          <t>Nasdaq</t>
        </is>
      </c>
      <c r="D9421" t="n">
        <v>1875091</v>
      </c>
      <c r="E9421" t="inlineStr">
        <is>
          <t>SEC</t>
        </is>
      </c>
    </row>
    <row r="9422">
      <c r="A9422" s="5">
        <f>HYPERLINK("https://finance.yahoo.com/quote/LCFYW","LCFYW")</f>
        <v/>
      </c>
      <c r="B9422" t="inlineStr">
        <is>
          <t>Locafy Ltd</t>
        </is>
      </c>
      <c r="C9422" t="inlineStr">
        <is>
          <t>Nasdaq</t>
        </is>
      </c>
      <c r="D9422" t="n">
        <v>1875547</v>
      </c>
      <c r="E9422" t="inlineStr">
        <is>
          <t>SEC</t>
        </is>
      </c>
    </row>
    <row r="9423">
      <c r="A9423" s="5">
        <f>HYPERLINK("https://finance.yahoo.com/quote/SWVLW","SWVLW")</f>
        <v/>
      </c>
      <c r="B9423" t="inlineStr">
        <is>
          <t>Swvl Holdings Corp</t>
        </is>
      </c>
      <c r="C9423" t="inlineStr">
        <is>
          <t>Nasdaq</t>
        </is>
      </c>
      <c r="D9423" t="n">
        <v>1875609</v>
      </c>
      <c r="E9423" t="inlineStr">
        <is>
          <t>SEC</t>
        </is>
      </c>
    </row>
    <row r="9424">
      <c r="A9424" s="5">
        <f>HYPERLINK("https://finance.yahoo.com/quote/PRENW","PRENW")</f>
        <v/>
      </c>
      <c r="B9424" t="inlineStr">
        <is>
          <t>Prenetics Global Ltd</t>
        </is>
      </c>
      <c r="C9424" t="inlineStr">
        <is>
          <t>Nasdaq</t>
        </is>
      </c>
      <c r="D9424" t="n">
        <v>1876431</v>
      </c>
      <c r="E9424" t="inlineStr">
        <is>
          <t>SEC</t>
        </is>
      </c>
    </row>
    <row r="9425">
      <c r="A9425" s="5">
        <f>HYPERLINK("https://finance.yahoo.com/quote/IMPPP","IMPPP")</f>
        <v/>
      </c>
      <c r="B9425" t="inlineStr">
        <is>
          <t>Imperial Petroleum Inc./Marshall Islands</t>
        </is>
      </c>
      <c r="C9425" t="inlineStr">
        <is>
          <t>Nasdaq</t>
        </is>
      </c>
      <c r="D9425" t="n">
        <v>1876581</v>
      </c>
      <c r="E9425" t="inlineStr">
        <is>
          <t>SEC</t>
        </is>
      </c>
    </row>
    <row r="9426">
      <c r="A9426" s="5">
        <f>HYPERLINK("https://finance.yahoo.com/quote/ASCRF","ASCRF")</f>
        <v/>
      </c>
      <c r="B9426" t="inlineStr">
        <is>
          <t>ASPAC II Acquisition Corp.</t>
        </is>
      </c>
      <c r="C9426" t="inlineStr">
        <is>
          <t>OTC</t>
        </is>
      </c>
      <c r="D9426" t="n">
        <v>1876716</v>
      </c>
      <c r="E9426" t="inlineStr">
        <is>
          <t>SEC</t>
        </is>
      </c>
    </row>
    <row r="9427">
      <c r="A9427" s="5">
        <f>HYPERLINK("https://finance.yahoo.com/quote/ASCWF","ASCWF")</f>
        <v/>
      </c>
      <c r="B9427" t="inlineStr">
        <is>
          <t>ASPAC II Acquisition Corp.</t>
        </is>
      </c>
      <c r="C9427" t="inlineStr">
        <is>
          <t>OTC</t>
        </is>
      </c>
      <c r="D9427" t="n">
        <v>1876716</v>
      </c>
      <c r="E9427" t="inlineStr">
        <is>
          <t>SEC</t>
        </is>
      </c>
    </row>
    <row r="9428">
      <c r="A9428" s="5">
        <f>HYPERLINK("https://finance.yahoo.com/quote/ASUUF","ASUUF")</f>
        <v/>
      </c>
      <c r="B9428" t="inlineStr">
        <is>
          <t>ASPAC II Acquisition Corp.</t>
        </is>
      </c>
      <c r="C9428" t="inlineStr">
        <is>
          <t>OTC</t>
        </is>
      </c>
      <c r="D9428" t="n">
        <v>1876716</v>
      </c>
      <c r="E9428" t="inlineStr">
        <is>
          <t>SEC</t>
        </is>
      </c>
    </row>
    <row r="9429">
      <c r="A9429" s="5">
        <f>HYPERLINK("https://finance.yahoo.com/quote/ADSEW","ADSEW")</f>
        <v/>
      </c>
      <c r="B9429" t="inlineStr">
        <is>
          <t>Ads-Tec Energy Public Ltd Co</t>
        </is>
      </c>
      <c r="C9429" t="inlineStr">
        <is>
          <t>Nasdaq</t>
        </is>
      </c>
      <c r="D9429" t="n">
        <v>1879248</v>
      </c>
      <c r="E9429" t="inlineStr">
        <is>
          <t>SEC</t>
        </is>
      </c>
    </row>
    <row r="9430">
      <c r="A9430" s="5">
        <f>HYPERLINK("https://finance.yahoo.com/quote/WCHD","WCHD")</f>
        <v/>
      </c>
      <c r="B9430" t="inlineStr">
        <is>
          <t>WeCapital Holdings, Inc.</t>
        </is>
      </c>
      <c r="C9430" t="inlineStr">
        <is>
          <t>OTC</t>
        </is>
      </c>
      <c r="D9430" t="n">
        <v>1880249</v>
      </c>
      <c r="E9430" t="inlineStr">
        <is>
          <t>SEC</t>
        </is>
      </c>
    </row>
    <row r="9431">
      <c r="A9431" s="5">
        <f>HYPERLINK("https://finance.yahoo.com/quote/TPGXL","TPGXL")</f>
        <v/>
      </c>
      <c r="B9431" t="inlineStr">
        <is>
          <t>TPG Inc.</t>
        </is>
      </c>
      <c r="C9431" t="inlineStr">
        <is>
          <t>Nasdaq</t>
        </is>
      </c>
      <c r="D9431" t="n">
        <v>1880661</v>
      </c>
      <c r="E9431" t="inlineStr">
        <is>
          <t>SEC</t>
        </is>
      </c>
    </row>
    <row r="9432">
      <c r="A9432" s="5">
        <f>HYPERLINK("https://finance.yahoo.com/quote/ATEKU","ATEKU")</f>
        <v/>
      </c>
      <c r="B9432" t="inlineStr">
        <is>
          <t>Athena Technology Acquisition Corp. II</t>
        </is>
      </c>
      <c r="C9432" t="inlineStr">
        <is>
          <t>OTC</t>
        </is>
      </c>
      <c r="D9432" t="n">
        <v>1882198</v>
      </c>
      <c r="E9432" t="inlineStr">
        <is>
          <t>SEC</t>
        </is>
      </c>
    </row>
    <row r="9433">
      <c r="A9433" s="5">
        <f>HYPERLINK("https://finance.yahoo.com/quote/ATEKW","ATEKW")</f>
        <v/>
      </c>
      <c r="B9433" t="inlineStr">
        <is>
          <t>Athena Technology Acquisition Corp. II</t>
        </is>
      </c>
      <c r="C9433" t="inlineStr">
        <is>
          <t>OTC</t>
        </is>
      </c>
      <c r="D9433" t="n">
        <v>1882198</v>
      </c>
      <c r="E9433" t="inlineStr">
        <is>
          <t>SEC</t>
        </is>
      </c>
    </row>
    <row r="9434">
      <c r="A9434" s="5">
        <f>HYPERLINK("https://finance.yahoo.com/quote/PGYWW","PGYWW")</f>
        <v/>
      </c>
      <c r="B9434" t="inlineStr">
        <is>
          <t>Pagaya Technologies Ltd.</t>
        </is>
      </c>
      <c r="C9434" t="inlineStr">
        <is>
          <t>Nasdaq</t>
        </is>
      </c>
      <c r="D9434" t="n">
        <v>1883085</v>
      </c>
      <c r="E9434" t="inlineStr">
        <is>
          <t>SEC</t>
        </is>
      </c>
    </row>
    <row r="9435">
      <c r="A9435" s="5">
        <f>HYPERLINK("https://finance.yahoo.com/quote/SLND-WT","SLND-WT")</f>
        <v/>
      </c>
      <c r="B9435" t="inlineStr">
        <is>
          <t>Southland Holdings, Inc.</t>
        </is>
      </c>
      <c r="C9435" t="inlineStr">
        <is>
          <t>NYSE</t>
        </is>
      </c>
      <c r="D9435" t="n">
        <v>1883814</v>
      </c>
      <c r="E9435" t="inlineStr">
        <is>
          <t>SEC</t>
        </is>
      </c>
    </row>
    <row r="9436">
      <c r="A9436" s="5">
        <f>HYPERLINK("https://finance.yahoo.com/quote/ACLEW","ACLEW")</f>
        <v/>
      </c>
      <c r="B9436" t="inlineStr">
        <is>
          <t>Aedis Energy Inc.</t>
        </is>
      </c>
      <c r="C9436" t="inlineStr">
        <is>
          <t>OTC</t>
        </is>
      </c>
      <c r="D9436" t="n">
        <v>1883984</v>
      </c>
      <c r="E9436" t="inlineStr">
        <is>
          <t>SEC</t>
        </is>
      </c>
    </row>
    <row r="9437">
      <c r="A9437" s="5">
        <f>HYPERLINK("https://finance.yahoo.com/quote/ADIS","ADIS")</f>
        <v/>
      </c>
      <c r="B9437" t="inlineStr">
        <is>
          <t>Aedis Energy Inc.</t>
        </is>
      </c>
      <c r="C9437" t="inlineStr">
        <is>
          <t>OTC</t>
        </is>
      </c>
      <c r="D9437" t="n">
        <v>1883984</v>
      </c>
      <c r="E9437" t="inlineStr">
        <is>
          <t>SEC</t>
        </is>
      </c>
    </row>
    <row r="9438">
      <c r="A9438" s="5">
        <f>HYPERLINK("https://finance.yahoo.com/quote/SPKUF","SPKUF")</f>
        <v/>
      </c>
      <c r="B9438" t="inlineStr">
        <is>
          <t>Spark I Acquisition Corp</t>
        </is>
      </c>
      <c r="C9438" t="inlineStr">
        <is>
          <t>OTC</t>
        </is>
      </c>
      <c r="D9438" t="n">
        <v>1884046</v>
      </c>
      <c r="E9438" t="inlineStr">
        <is>
          <t>SEC</t>
        </is>
      </c>
    </row>
    <row r="9439">
      <c r="A9439" s="5">
        <f>HYPERLINK("https://finance.yahoo.com/quote/SPKWF","SPKWF")</f>
        <v/>
      </c>
      <c r="B9439" t="inlineStr">
        <is>
          <t>Spark I Acquisition Corp</t>
        </is>
      </c>
      <c r="C9439" t="inlineStr">
        <is>
          <t>OTC</t>
        </is>
      </c>
      <c r="D9439" t="n">
        <v>1884046</v>
      </c>
      <c r="E9439" t="inlineStr">
        <is>
          <t>SEC</t>
        </is>
      </c>
    </row>
    <row r="9440">
      <c r="A9440" s="5">
        <f>HYPERLINK("https://finance.yahoo.com/quote/PLSAY","PLSAY")</f>
        <v/>
      </c>
      <c r="B9440" t="inlineStr">
        <is>
          <t>Polestar Automotive Holding UK PLC</t>
        </is>
      </c>
      <c r="C9440" t="inlineStr">
        <is>
          <t>OTC</t>
        </is>
      </c>
      <c r="D9440" t="n">
        <v>1884082</v>
      </c>
      <c r="E9440" t="inlineStr">
        <is>
          <t>SEC</t>
        </is>
      </c>
    </row>
    <row r="9441">
      <c r="A9441" s="5">
        <f>HYPERLINK("https://finance.yahoo.com/quote/NEXRW","NEXRW")</f>
        <v/>
      </c>
      <c r="B9441" t="inlineStr">
        <is>
          <t>Nexera Technologies Ltd</t>
        </is>
      </c>
      <c r="C9441" t="inlineStr">
        <is>
          <t>Nasdaq</t>
        </is>
      </c>
      <c r="D9441" t="n">
        <v>1885408</v>
      </c>
      <c r="E9441" t="inlineStr">
        <is>
          <t>SEC</t>
        </is>
      </c>
    </row>
    <row r="9442">
      <c r="A9442" s="5">
        <f>HYPERLINK("https://finance.yahoo.com/quote/GGROW","GGROW")</f>
        <v/>
      </c>
      <c r="B9442" t="inlineStr">
        <is>
          <t>Gogoro Inc.</t>
        </is>
      </c>
      <c r="C9442" t="inlineStr">
        <is>
          <t>Nasdaq</t>
        </is>
      </c>
      <c r="D9442" t="n">
        <v>1886190</v>
      </c>
      <c r="E9442" t="inlineStr">
        <is>
          <t>SEC</t>
        </is>
      </c>
    </row>
    <row r="9443">
      <c r="A9443" s="5">
        <f>HYPERLINK("https://finance.yahoo.com/quote/WLDSW","WLDSW")</f>
        <v/>
      </c>
      <c r="B9443" t="inlineStr">
        <is>
          <t>Wearable Devices Ltd.</t>
        </is>
      </c>
      <c r="C9443" t="inlineStr">
        <is>
          <t>Nasdaq</t>
        </is>
      </c>
      <c r="D9443" t="n">
        <v>1887673</v>
      </c>
      <c r="E9443" t="inlineStr">
        <is>
          <t>SEC</t>
        </is>
      </c>
    </row>
    <row r="9444">
      <c r="A9444" s="5">
        <f>HYPERLINK("https://finance.yahoo.com/quote/FEAV","FEAV")</f>
        <v/>
      </c>
      <c r="B9444" t="inlineStr">
        <is>
          <t>5E Advanced Materials, Inc.</t>
        </is>
      </c>
      <c r="C9444" t="inlineStr">
        <is>
          <t>OTC</t>
        </is>
      </c>
      <c r="D9444" t="n">
        <v>1888654</v>
      </c>
      <c r="E9444" t="inlineStr">
        <is>
          <t>SEC</t>
        </is>
      </c>
    </row>
    <row r="9445">
      <c r="A9445" s="5">
        <f>HYPERLINK("https://finance.yahoo.com/quote/REEUF","REEUF")</f>
        <v/>
      </c>
      <c r="B9445" t="inlineStr">
        <is>
          <t>Cartesian Growth Corp II</t>
        </is>
      </c>
      <c r="C9445" t="inlineStr">
        <is>
          <t>OTC</t>
        </is>
      </c>
      <c r="D9445" t="n">
        <v>1889112</v>
      </c>
      <c r="E9445" t="inlineStr">
        <is>
          <t>SEC</t>
        </is>
      </c>
    </row>
    <row r="9446">
      <c r="A9446" s="5">
        <f>HYPERLINK("https://finance.yahoo.com/quote/REEWF","REEWF")</f>
        <v/>
      </c>
      <c r="B9446" t="inlineStr">
        <is>
          <t>Cartesian Growth Corp II</t>
        </is>
      </c>
      <c r="C9446" t="inlineStr">
        <is>
          <t>OTC</t>
        </is>
      </c>
      <c r="D9446" t="n">
        <v>1889112</v>
      </c>
      <c r="E9446" t="inlineStr">
        <is>
          <t>SEC</t>
        </is>
      </c>
    </row>
    <row r="9447">
      <c r="A9447" s="5">
        <f>HYPERLINK("https://finance.yahoo.com/quote/FLDDW","FLDDW")</f>
        <v/>
      </c>
      <c r="B9447" t="inlineStr">
        <is>
          <t>Fold Holdings, Inc.</t>
        </is>
      </c>
      <c r="C9447" t="inlineStr">
        <is>
          <t>Nasdaq</t>
        </is>
      </c>
      <c r="D9447" t="n">
        <v>1889123</v>
      </c>
      <c r="E9447" t="inlineStr">
        <is>
          <t>SEC</t>
        </is>
      </c>
    </row>
    <row r="9448">
      <c r="A9448" s="5">
        <f>HYPERLINK("https://finance.yahoo.com/quote/CRBD","CRBD")</f>
        <v/>
      </c>
      <c r="B9448" t="inlineStr">
        <is>
          <t>Corebridge Financial, Inc.</t>
        </is>
      </c>
      <c r="C9448" t="inlineStr">
        <is>
          <t>NYSE</t>
        </is>
      </c>
      <c r="D9448" t="n">
        <v>1889539</v>
      </c>
      <c r="E9448" t="inlineStr">
        <is>
          <t>SEC</t>
        </is>
      </c>
    </row>
    <row r="9449">
      <c r="A9449" s="5">
        <f>HYPERLINK("https://finance.yahoo.com/quote/DFSCW","DFSCW")</f>
        <v/>
      </c>
      <c r="B9449" t="inlineStr">
        <is>
          <t>DEFSEC Technologies Inc.</t>
        </is>
      </c>
      <c r="C9449" t="inlineStr">
        <is>
          <t>Nasdaq</t>
        </is>
      </c>
      <c r="D9449" t="n">
        <v>1889823</v>
      </c>
      <c r="E9449" t="inlineStr">
        <is>
          <t>SEC</t>
        </is>
      </c>
    </row>
    <row r="9450">
      <c r="A9450" s="5">
        <f>HYPERLINK("https://finance.yahoo.com/quote/KVAUF","KVAUF")</f>
        <v/>
      </c>
      <c r="B9450" t="inlineStr">
        <is>
          <t>Keen Vision Acquisition Corp.</t>
        </is>
      </c>
      <c r="C9450" t="inlineStr">
        <is>
          <t>OTC</t>
        </is>
      </c>
      <c r="D9450" t="n">
        <v>1889983</v>
      </c>
      <c r="E9450" t="inlineStr">
        <is>
          <t>SEC</t>
        </is>
      </c>
    </row>
    <row r="9451">
      <c r="A9451" s="5">
        <f>HYPERLINK("https://finance.yahoo.com/quote/KVAWF","KVAWF")</f>
        <v/>
      </c>
      <c r="B9451" t="inlineStr">
        <is>
          <t>Keen Vision Acquisition Corp.</t>
        </is>
      </c>
      <c r="C9451" t="inlineStr">
        <is>
          <t>OTC</t>
        </is>
      </c>
      <c r="D9451" t="n">
        <v>1889983</v>
      </c>
      <c r="E9451" t="inlineStr">
        <is>
          <t>SEC</t>
        </is>
      </c>
    </row>
    <row r="9452">
      <c r="A9452" s="5">
        <f>HYPERLINK("https://finance.yahoo.com/quote/UMGNF","UMGNF")</f>
        <v/>
      </c>
      <c r="B9452" t="inlineStr">
        <is>
          <t>Universal Music Group N.V./ADR</t>
        </is>
      </c>
      <c r="C9452" t="inlineStr">
        <is>
          <t>OTC</t>
        </is>
      </c>
      <c r="D9452" t="n">
        <v>1890126</v>
      </c>
      <c r="E9452" t="inlineStr">
        <is>
          <t>SEC</t>
        </is>
      </c>
    </row>
    <row r="9453">
      <c r="A9453" s="5">
        <f>HYPERLINK("https://finance.yahoo.com/quote/ASPCR","ASPCR")</f>
        <v/>
      </c>
      <c r="B9453" t="inlineStr">
        <is>
          <t>ASPAC III Acquisition Corp.</t>
        </is>
      </c>
      <c r="C9453" t="inlineStr">
        <is>
          <t>Nasdaq</t>
        </is>
      </c>
      <c r="D9453" t="n">
        <v>1890361</v>
      </c>
      <c r="E9453" t="inlineStr">
        <is>
          <t>SEC</t>
        </is>
      </c>
    </row>
    <row r="9454">
      <c r="A9454" s="5">
        <f>HYPERLINK("https://finance.yahoo.com/quote/ASPCU","ASPCU")</f>
        <v/>
      </c>
      <c r="B9454" t="inlineStr">
        <is>
          <t>ASPAC III Acquisition Corp.</t>
        </is>
      </c>
      <c r="C9454" t="inlineStr">
        <is>
          <t>Nasdaq</t>
        </is>
      </c>
      <c r="D9454" t="n">
        <v>1890361</v>
      </c>
      <c r="E9454" t="inlineStr">
        <is>
          <t>SEC</t>
        </is>
      </c>
    </row>
    <row r="9455">
      <c r="A9455" s="5">
        <f>HYPERLINK("https://finance.yahoo.com/quote/VMCUF","VMCUF")</f>
        <v/>
      </c>
      <c r="B9455" t="inlineStr">
        <is>
          <t>Valuence Merger Corp. I</t>
        </is>
      </c>
      <c r="C9455" t="inlineStr">
        <is>
          <t>OTC</t>
        </is>
      </c>
      <c r="D9455" t="n">
        <v>1892747</v>
      </c>
      <c r="E9455" t="inlineStr">
        <is>
          <t>SEC</t>
        </is>
      </c>
    </row>
    <row r="9456">
      <c r="A9456" s="5">
        <f>HYPERLINK("https://finance.yahoo.com/quote/VMCWF","VMCWF")</f>
        <v/>
      </c>
      <c r="B9456" t="inlineStr">
        <is>
          <t>Valuence Merger Corp. I</t>
        </is>
      </c>
      <c r="C9456" t="inlineStr">
        <is>
          <t>OTC</t>
        </is>
      </c>
      <c r="D9456" t="n">
        <v>1892747</v>
      </c>
      <c r="E9456" t="inlineStr">
        <is>
          <t>SEC</t>
        </is>
      </c>
    </row>
    <row r="9457">
      <c r="A9457" s="5">
        <f>HYPERLINK("https://finance.yahoo.com/quote/ABPWW","ABPWW")</f>
        <v/>
      </c>
      <c r="B9457" t="inlineStr">
        <is>
          <t>Abpro Holdings, Inc.</t>
        </is>
      </c>
      <c r="C9457" t="inlineStr">
        <is>
          <t>OTC</t>
        </is>
      </c>
      <c r="D9457" t="n">
        <v>1893219</v>
      </c>
      <c r="E9457" t="inlineStr">
        <is>
          <t>SEC</t>
        </is>
      </c>
    </row>
    <row r="9458">
      <c r="A9458" s="5">
        <f>HYPERLINK("https://finance.yahoo.com/quote/SVREW","SVREW")</f>
        <v/>
      </c>
      <c r="B9458" t="inlineStr">
        <is>
          <t>SaverOne 2014 Ltd.</t>
        </is>
      </c>
      <c r="C9458" t="inlineStr">
        <is>
          <t>Nasdaq</t>
        </is>
      </c>
      <c r="D9458" t="n">
        <v>1894693</v>
      </c>
      <c r="E9458" t="inlineStr">
        <is>
          <t>SEC</t>
        </is>
      </c>
    </row>
    <row r="9459">
      <c r="A9459" s="5">
        <f>HYPERLINK("https://finance.yahoo.com/quote/NE-WT","NE-WT")</f>
        <v/>
      </c>
      <c r="B9459" t="inlineStr">
        <is>
          <t>Noble Corp plc</t>
        </is>
      </c>
      <c r="C9459" t="inlineStr">
        <is>
          <t>NYSE</t>
        </is>
      </c>
      <c r="D9459" t="n">
        <v>1895262</v>
      </c>
      <c r="E9459" t="inlineStr">
        <is>
          <t>SEC</t>
        </is>
      </c>
    </row>
    <row r="9460">
      <c r="A9460" s="5">
        <f>HYPERLINK("https://finance.yahoo.com/quote/NE-WTA","NE-WTA")</f>
        <v/>
      </c>
      <c r="B9460" t="inlineStr">
        <is>
          <t>Noble Corp plc</t>
        </is>
      </c>
      <c r="C9460" t="inlineStr">
        <is>
          <t>NYSE</t>
        </is>
      </c>
      <c r="D9460" t="n">
        <v>1895262</v>
      </c>
      <c r="E9460" t="inlineStr">
        <is>
          <t>SEC</t>
        </is>
      </c>
    </row>
    <row r="9461">
      <c r="A9461" s="5">
        <f>HYPERLINK("https://finance.yahoo.com/quote/CDTTW","CDTTW")</f>
        <v/>
      </c>
      <c r="B9461" t="inlineStr">
        <is>
          <t>CDT Equity Inc.</t>
        </is>
      </c>
      <c r="C9461" t="inlineStr">
        <is>
          <t>Nasdaq</t>
        </is>
      </c>
      <c r="D9461" t="n">
        <v>1896212</v>
      </c>
      <c r="E9461" t="inlineStr">
        <is>
          <t>SEC</t>
        </is>
      </c>
    </row>
    <row r="9462">
      <c r="A9462" s="5">
        <f>HYPERLINK("https://finance.yahoo.com/quote/DAZSF","DAZSF")</f>
        <v/>
      </c>
      <c r="B9462" t="inlineStr">
        <is>
          <t>ZKGC New Energy Ltd</t>
        </is>
      </c>
      <c r="C9462" t="inlineStr">
        <is>
          <t>OTC</t>
        </is>
      </c>
      <c r="D9462" t="n">
        <v>1896511</v>
      </c>
      <c r="E9462" t="inlineStr">
        <is>
          <t>SEC</t>
        </is>
      </c>
    </row>
    <row r="9463">
      <c r="A9463" s="5">
        <f>HYPERLINK("https://finance.yahoo.com/quote/TONT-UN","TONT-UN")</f>
        <v/>
      </c>
      <c r="B9463" t="inlineStr">
        <is>
          <t>Graf Global Corp.</t>
        </is>
      </c>
      <c r="C9463" t="inlineStr">
        <is>
          <t>NYSE</t>
        </is>
      </c>
      <c r="D9463" t="n">
        <v>1897463</v>
      </c>
      <c r="E9463" t="inlineStr">
        <is>
          <t>SEC</t>
        </is>
      </c>
    </row>
    <row r="9464">
      <c r="A9464" s="5">
        <f>HYPERLINK("https://finance.yahoo.com/quote/TONT-WT","TONT-WT")</f>
        <v/>
      </c>
      <c r="B9464" t="inlineStr">
        <is>
          <t>Graf Global Corp.</t>
        </is>
      </c>
      <c r="C9464" t="inlineStr">
        <is>
          <t>NYSE</t>
        </is>
      </c>
      <c r="D9464" t="n">
        <v>1897463</v>
      </c>
      <c r="E9464" t="inlineStr">
        <is>
          <t>SEC</t>
        </is>
      </c>
    </row>
    <row r="9465">
      <c r="A9465" s="5">
        <f>HYPERLINK("https://finance.yahoo.com/quote/KBGHF","KBGHF")</f>
        <v/>
      </c>
      <c r="B9465" t="inlineStr">
        <is>
          <t>KB Global Holdings Ltd</t>
        </is>
      </c>
      <c r="C9465" t="inlineStr">
        <is>
          <t>OTC</t>
        </is>
      </c>
      <c r="D9465" t="n">
        <v>1897525</v>
      </c>
      <c r="E9465" t="inlineStr">
        <is>
          <t>SEC</t>
        </is>
      </c>
    </row>
    <row r="9466">
      <c r="A9466" s="5">
        <f>HYPERLINK("https://finance.yahoo.com/quote/ALVOW","ALVOW")</f>
        <v/>
      </c>
      <c r="B9466" t="inlineStr">
        <is>
          <t>Alvotech</t>
        </is>
      </c>
      <c r="C9466" t="inlineStr">
        <is>
          <t>Nasdaq</t>
        </is>
      </c>
      <c r="D9466" t="n">
        <v>1898416</v>
      </c>
      <c r="E9466" t="inlineStr">
        <is>
          <t>SEC</t>
        </is>
      </c>
    </row>
    <row r="9467">
      <c r="A9467" s="5">
        <f>HYPERLINK("https://finance.yahoo.com/quote/LVWR-WT","LVWR-WT")</f>
        <v/>
      </c>
      <c r="B9467" t="inlineStr">
        <is>
          <t>LiveWire Group, Inc.</t>
        </is>
      </c>
      <c r="C9467" t="inlineStr">
        <is>
          <t>NYSE</t>
        </is>
      </c>
      <c r="D9467" t="n">
        <v>1898795</v>
      </c>
      <c r="E9467" t="inlineStr">
        <is>
          <t>SEC</t>
        </is>
      </c>
    </row>
    <row r="9468">
      <c r="A9468" s="5">
        <f>HYPERLINK("https://finance.yahoo.com/quote/AMPX-WT","AMPX-WT")</f>
        <v/>
      </c>
      <c r="B9468" t="inlineStr">
        <is>
          <t>Amprius Technologies, Inc.</t>
        </is>
      </c>
      <c r="C9468" t="inlineStr">
        <is>
          <t>NYSE</t>
        </is>
      </c>
      <c r="D9468" t="n">
        <v>1899287</v>
      </c>
      <c r="E9468" t="inlineStr">
        <is>
          <t>SEC</t>
        </is>
      </c>
    </row>
    <row r="9469">
      <c r="A9469" s="5">
        <f>HYPERLINK("https://finance.yahoo.com/quote/PERFF","PERFF")</f>
        <v/>
      </c>
      <c r="B9469" t="inlineStr">
        <is>
          <t>Perfect Corp.</t>
        </is>
      </c>
      <c r="C9469" t="inlineStr">
        <is>
          <t>OTC</t>
        </is>
      </c>
      <c r="D9469" t="n">
        <v>1899830</v>
      </c>
      <c r="E9469" t="inlineStr">
        <is>
          <t>SEC</t>
        </is>
      </c>
    </row>
    <row r="9470">
      <c r="A9470" s="5">
        <f>HYPERLINK("https://finance.yahoo.com/quote/UCFIW","UCFIW")</f>
        <v/>
      </c>
      <c r="B9470" t="inlineStr">
        <is>
          <t>CN Healthy Food Tech Group Corp.</t>
        </is>
      </c>
      <c r="C9470" t="inlineStr">
        <is>
          <t>Nasdaq</t>
        </is>
      </c>
      <c r="D9470" t="n">
        <v>1901203</v>
      </c>
      <c r="E9470" t="inlineStr">
        <is>
          <t>SEC</t>
        </is>
      </c>
    </row>
    <row r="9471">
      <c r="A9471" s="5">
        <f>HYPERLINK("https://finance.yahoo.com/quote/ZRCN","ZRCN")</f>
        <v/>
      </c>
      <c r="B9471" t="inlineStr">
        <is>
          <t>ZRCN Inc.</t>
        </is>
      </c>
      <c r="C9471" t="inlineStr">
        <is>
          <t>OTC</t>
        </is>
      </c>
      <c r="D9471" t="n">
        <v>1901297</v>
      </c>
      <c r="E9471" t="inlineStr">
        <is>
          <t>SEC</t>
        </is>
      </c>
    </row>
    <row r="9472">
      <c r="A9472" s="5">
        <f>HYPERLINK("https://finance.yahoo.com/quote/ALCUF","ALCUF")</f>
        <v/>
      </c>
      <c r="B9472" t="inlineStr">
        <is>
          <t>Alchemy Investments Acquisition Corp 1</t>
        </is>
      </c>
      <c r="C9472" t="inlineStr">
        <is>
          <t>OTC</t>
        </is>
      </c>
      <c r="D9472" t="n">
        <v>1901336</v>
      </c>
      <c r="E9472" t="inlineStr">
        <is>
          <t>SEC</t>
        </is>
      </c>
    </row>
    <row r="9473">
      <c r="A9473" s="5">
        <f>HYPERLINK("https://finance.yahoo.com/quote/ALCWF","ALCWF")</f>
        <v/>
      </c>
      <c r="B9473" t="inlineStr">
        <is>
          <t>Alchemy Investments Acquisition Corp 1</t>
        </is>
      </c>
      <c r="C9473" t="inlineStr">
        <is>
          <t>OTC</t>
        </is>
      </c>
      <c r="D9473" t="n">
        <v>1901336</v>
      </c>
      <c r="E9473" t="inlineStr">
        <is>
          <t>SEC</t>
        </is>
      </c>
    </row>
    <row r="9474">
      <c r="A9474" s="5">
        <f>HYPERLINK("https://finance.yahoo.com/quote/GRRRW","GRRRW")</f>
        <v/>
      </c>
      <c r="B9474" t="inlineStr">
        <is>
          <t>Gorilla Technology Group Inc.</t>
        </is>
      </c>
      <c r="C9474" t="inlineStr">
        <is>
          <t>Nasdaq</t>
        </is>
      </c>
      <c r="D9474" t="n">
        <v>1903145</v>
      </c>
      <c r="E9474" t="inlineStr">
        <is>
          <t>SEC</t>
        </is>
      </c>
    </row>
    <row r="9475">
      <c r="A9475" s="5">
        <f>HYPERLINK("https://finance.yahoo.com/quote/CLRRF","CLRRF")</f>
        <v/>
      </c>
      <c r="B9475" t="inlineStr">
        <is>
          <t>ClimateRock</t>
        </is>
      </c>
      <c r="C9475" t="inlineStr">
        <is>
          <t>OTC</t>
        </is>
      </c>
      <c r="D9475" t="n">
        <v>1903392</v>
      </c>
      <c r="E9475" t="inlineStr">
        <is>
          <t>SEC</t>
        </is>
      </c>
    </row>
    <row r="9476">
      <c r="A9476" s="5">
        <f>HYPERLINK("https://finance.yahoo.com/quote/CLRUF","CLRUF")</f>
        <v/>
      </c>
      <c r="B9476" t="inlineStr">
        <is>
          <t>ClimateRock</t>
        </is>
      </c>
      <c r="C9476" t="inlineStr">
        <is>
          <t>OTC</t>
        </is>
      </c>
      <c r="D9476" t="n">
        <v>1903392</v>
      </c>
      <c r="E9476" t="inlineStr">
        <is>
          <t>SEC</t>
        </is>
      </c>
    </row>
    <row r="9477">
      <c r="A9477" s="5">
        <f>HYPERLINK("https://finance.yahoo.com/quote/CLRWF","CLRWF")</f>
        <v/>
      </c>
      <c r="B9477" t="inlineStr">
        <is>
          <t>ClimateRock</t>
        </is>
      </c>
      <c r="C9477" t="inlineStr">
        <is>
          <t>OTC</t>
        </is>
      </c>
      <c r="D9477" t="n">
        <v>1903392</v>
      </c>
      <c r="E9477" t="inlineStr">
        <is>
          <t>SEC</t>
        </is>
      </c>
    </row>
    <row r="9478">
      <c r="A9478" s="5">
        <f>HYPERLINK("https://finance.yahoo.com/quote/AFRIW","AFRIW")</f>
        <v/>
      </c>
      <c r="B9478" t="inlineStr">
        <is>
          <t>Forafric Global PLC</t>
        </is>
      </c>
      <c r="C9478" t="inlineStr">
        <is>
          <t>Nasdaq</t>
        </is>
      </c>
      <c r="D9478" t="n">
        <v>1903870</v>
      </c>
      <c r="E9478" t="inlineStr">
        <is>
          <t>SEC</t>
        </is>
      </c>
    </row>
    <row r="9479">
      <c r="A9479" s="5">
        <f>HYPERLINK("https://finance.yahoo.com/quote/BAKR","BAKR")</f>
        <v/>
      </c>
      <c r="B9479" t="inlineStr">
        <is>
          <t>Baker Global Asset Management Inc.</t>
        </is>
      </c>
      <c r="C9479" t="inlineStr">
        <is>
          <t>OTC</t>
        </is>
      </c>
      <c r="D9479" t="n">
        <v>1904616</v>
      </c>
      <c r="E9479" t="inlineStr">
        <is>
          <t>SEC</t>
        </is>
      </c>
    </row>
    <row r="9480">
      <c r="A9480" s="5">
        <f>HYPERLINK("https://finance.yahoo.com/quote/HUBCW","HUBCW")</f>
        <v/>
      </c>
      <c r="B9480" t="inlineStr">
        <is>
          <t>Hub Cyber Security Ltd.</t>
        </is>
      </c>
      <c r="C9480" t="inlineStr">
        <is>
          <t>Nasdaq</t>
        </is>
      </c>
      <c r="D9480" t="n">
        <v>1905660</v>
      </c>
      <c r="E9480" t="inlineStr">
        <is>
          <t>SEC</t>
        </is>
      </c>
    </row>
    <row r="9481">
      <c r="A9481" s="5">
        <f>HYPERLINK("https://finance.yahoo.com/quote/HUBCZ","HUBCZ")</f>
        <v/>
      </c>
      <c r="B9481" t="inlineStr">
        <is>
          <t>Hub Cyber Security Ltd.</t>
        </is>
      </c>
      <c r="C9481" t="inlineStr">
        <is>
          <t>Nasdaq</t>
        </is>
      </c>
      <c r="D9481" t="n">
        <v>1905660</v>
      </c>
      <c r="E9481" t="inlineStr">
        <is>
          <t>SEC</t>
        </is>
      </c>
    </row>
    <row r="9482">
      <c r="A9482" s="5">
        <f>HYPERLINK("https://finance.yahoo.com/quote/GRMLW","GRMLW")</f>
        <v/>
      </c>
      <c r="B9482" t="inlineStr">
        <is>
          <t>Greenland Mines Ltd</t>
        </is>
      </c>
      <c r="C9482" t="inlineStr">
        <is>
          <t>Nasdaq</t>
        </is>
      </c>
      <c r="D9482" t="n">
        <v>1907223</v>
      </c>
      <c r="E9482" t="inlineStr">
        <is>
          <t>SEC</t>
        </is>
      </c>
    </row>
    <row r="9483">
      <c r="A9483" s="5">
        <f>HYPERLINK("https://finance.yahoo.com/quote/RPDL","RPDL")</f>
        <v/>
      </c>
      <c r="B9483" t="inlineStr">
        <is>
          <t>Rapid Line Inc.</t>
        </is>
      </c>
      <c r="C9483" t="inlineStr">
        <is>
          <t>OTC</t>
        </is>
      </c>
      <c r="D9483" t="n">
        <v>1910975</v>
      </c>
      <c r="E9483" t="inlineStr">
        <is>
          <t>SEC</t>
        </is>
      </c>
    </row>
    <row r="9484">
      <c r="A9484" s="5">
        <f>HYPERLINK("https://finance.yahoo.com/quote/SCVE","SCVE")</f>
        <v/>
      </c>
      <c r="B9484" t="inlineStr">
        <is>
          <t>Sound Cave Technology Inc.</t>
        </is>
      </c>
      <c r="C9484" t="inlineStr">
        <is>
          <t>OTC</t>
        </is>
      </c>
      <c r="D9484" t="n">
        <v>1912540</v>
      </c>
      <c r="E9484" t="inlineStr">
        <is>
          <t>SEC</t>
        </is>
      </c>
    </row>
    <row r="9485">
      <c r="A9485" s="5">
        <f>HYPERLINK("https://finance.yahoo.com/quote/VFSWW","VFSWW")</f>
        <v/>
      </c>
      <c r="B9485" t="inlineStr">
        <is>
          <t>VinFast Auto Ltd.</t>
        </is>
      </c>
      <c r="C9485" t="inlineStr">
        <is>
          <t>Nasdaq</t>
        </is>
      </c>
      <c r="D9485" t="n">
        <v>1913510</v>
      </c>
      <c r="E9485" t="inlineStr">
        <is>
          <t>SEC</t>
        </is>
      </c>
    </row>
    <row r="9486">
      <c r="A9486" s="5">
        <f>HYPERLINK("https://finance.yahoo.com/quote/SMNRW","SMNRW")</f>
        <v/>
      </c>
      <c r="B9486" t="inlineStr">
        <is>
          <t>Semnur Pharmaceuticals, Inc.</t>
        </is>
      </c>
      <c r="C9486" t="inlineStr">
        <is>
          <t>OTC</t>
        </is>
      </c>
      <c r="D9486" t="n">
        <v>1913577</v>
      </c>
      <c r="E9486" t="inlineStr">
        <is>
          <t>SEC</t>
        </is>
      </c>
    </row>
    <row r="9487">
      <c r="A9487" s="5">
        <f>HYPERLINK("https://finance.yahoo.com/quote/CNCKW","CNCKW")</f>
        <v/>
      </c>
      <c r="B9487" t="inlineStr">
        <is>
          <t>Coincheck Group N.V.</t>
        </is>
      </c>
      <c r="C9487" t="inlineStr">
        <is>
          <t>Nasdaq</t>
        </is>
      </c>
      <c r="D9487" t="n">
        <v>1913847</v>
      </c>
      <c r="E9487" t="inlineStr">
        <is>
          <t>SEC</t>
        </is>
      </c>
    </row>
    <row r="9488">
      <c r="A9488" s="5">
        <f>HYPERLINK("https://finance.yahoo.com/quote/ISLUF","ISLUF")</f>
        <v/>
      </c>
      <c r="B9488" t="inlineStr">
        <is>
          <t>Israel Acquisitions Corp</t>
        </is>
      </c>
      <c r="C9488" t="inlineStr">
        <is>
          <t>OTC</t>
        </is>
      </c>
      <c r="D9488" t="n">
        <v>1915328</v>
      </c>
      <c r="E9488" t="inlineStr">
        <is>
          <t>SEC</t>
        </is>
      </c>
    </row>
    <row r="9489">
      <c r="A9489" s="5">
        <f>HYPERLINK("https://finance.yahoo.com/quote/ISLWF","ISLWF")</f>
        <v/>
      </c>
      <c r="B9489" t="inlineStr">
        <is>
          <t>Israel Acquisitions Corp</t>
        </is>
      </c>
      <c r="C9489" t="inlineStr">
        <is>
          <t>OTC</t>
        </is>
      </c>
      <c r="D9489" t="n">
        <v>1915328</v>
      </c>
      <c r="E9489" t="inlineStr">
        <is>
          <t>SEC</t>
        </is>
      </c>
    </row>
    <row r="9490">
      <c r="A9490" s="5">
        <f>HYPERLINK("https://finance.yahoo.com/quote/HEMNF","HEMNF")</f>
        <v/>
      </c>
      <c r="B9490" t="inlineStr">
        <is>
          <t>Hemnet Group AB/ADR</t>
        </is>
      </c>
      <c r="C9490" t="inlineStr">
        <is>
          <t>OTC</t>
        </is>
      </c>
      <c r="D9490" t="n">
        <v>1915760</v>
      </c>
      <c r="E9490" t="inlineStr">
        <is>
          <t>SEC</t>
        </is>
      </c>
    </row>
    <row r="9491">
      <c r="A9491" s="5">
        <f>HYPERLINK("https://finance.yahoo.com/quote/DBHL","DBHL")</f>
        <v/>
      </c>
      <c r="B9491" t="inlineStr">
        <is>
          <t>Deep Isolation Nuclear, Inc.</t>
        </is>
      </c>
      <c r="C9491" t="inlineStr">
        <is>
          <t>OTC</t>
        </is>
      </c>
      <c r="D9491" t="n">
        <v>1918080</v>
      </c>
      <c r="E9491" t="inlineStr">
        <is>
          <t>SEC</t>
        </is>
      </c>
    </row>
    <row r="9492">
      <c r="A9492" s="5">
        <f>HYPERLINK("https://finance.yahoo.com/quote/NBRGR","NBRGR")</f>
        <v/>
      </c>
      <c r="B9492" t="inlineStr">
        <is>
          <t>Newbridge Acquisition Ltd</t>
        </is>
      </c>
      <c r="C9492" t="inlineStr">
        <is>
          <t>Nasdaq</t>
        </is>
      </c>
      <c r="D9492" t="n">
        <v>1918414</v>
      </c>
      <c r="E9492" t="inlineStr">
        <is>
          <t>SEC</t>
        </is>
      </c>
    </row>
    <row r="9493">
      <c r="A9493" s="5">
        <f>HYPERLINK("https://finance.yahoo.com/quote/NBRGU","NBRGU")</f>
        <v/>
      </c>
      <c r="B9493" t="inlineStr">
        <is>
          <t>Newbridge Acquisition Ltd</t>
        </is>
      </c>
      <c r="C9493" t="inlineStr">
        <is>
          <t>Nasdaq</t>
        </is>
      </c>
      <c r="D9493" t="n">
        <v>1918414</v>
      </c>
      <c r="E9493" t="inlineStr">
        <is>
          <t>SEC</t>
        </is>
      </c>
    </row>
    <row r="9494">
      <c r="A9494" s="5">
        <f>HYPERLINK("https://finance.yahoo.com/quote/RZLVW","RZLVW")</f>
        <v/>
      </c>
      <c r="B9494" t="inlineStr">
        <is>
          <t>REZOLVE AI PLC</t>
        </is>
      </c>
      <c r="C9494" t="inlineStr">
        <is>
          <t>Nasdaq</t>
        </is>
      </c>
      <c r="D9494" t="n">
        <v>1920294</v>
      </c>
      <c r="E9494" t="inlineStr">
        <is>
          <t>SEC</t>
        </is>
      </c>
    </row>
    <row r="9495">
      <c r="A9495" s="5">
        <f>HYPERLINK("https://finance.yahoo.com/quote/SATA","SATA")</f>
        <v/>
      </c>
      <c r="B9495" t="inlineStr">
        <is>
          <t>Strive, Inc.</t>
        </is>
      </c>
      <c r="C9495" t="inlineStr">
        <is>
          <t>Nasdaq</t>
        </is>
      </c>
      <c r="D9495" t="n">
        <v>1920406</v>
      </c>
      <c r="E9495" t="inlineStr">
        <is>
          <t>SEC</t>
        </is>
      </c>
    </row>
    <row r="9496">
      <c r="A9496" s="5">
        <f>HYPERLINK("https://finance.yahoo.com/quote/FUFUW","FUFUW")</f>
        <v/>
      </c>
      <c r="B9496" t="inlineStr">
        <is>
          <t>Bitfufu Inc.</t>
        </is>
      </c>
      <c r="C9496" t="inlineStr">
        <is>
          <t>Nasdaq</t>
        </is>
      </c>
      <c r="D9496" t="n">
        <v>1921158</v>
      </c>
      <c r="E9496" t="inlineStr">
        <is>
          <t>SEC</t>
        </is>
      </c>
    </row>
    <row r="9497">
      <c r="A9497" s="5">
        <f>HYPERLINK("https://finance.yahoo.com/quote/AZTGY","AZTGY")</f>
        <v/>
      </c>
      <c r="B9497" t="inlineStr">
        <is>
          <t>AZTECH GLOBAL LTD./ADR</t>
        </is>
      </c>
      <c r="C9497" t="inlineStr">
        <is>
          <t>OTC</t>
        </is>
      </c>
      <c r="D9497" t="n">
        <v>1921332</v>
      </c>
      <c r="E9497" t="inlineStr">
        <is>
          <t>SEC</t>
        </is>
      </c>
    </row>
    <row r="9498">
      <c r="A9498" s="5">
        <f>HYPERLINK("https://finance.yahoo.com/quote/AAFRF","AAFRF")</f>
        <v/>
      </c>
      <c r="B9498" t="inlineStr">
        <is>
          <t>Airtel Africa plc/ADR</t>
        </is>
      </c>
      <c r="C9498" t="inlineStr">
        <is>
          <t>OTC</t>
        </is>
      </c>
      <c r="D9498" t="n">
        <v>1921338</v>
      </c>
      <c r="E9498" t="inlineStr">
        <is>
          <t>SEC</t>
        </is>
      </c>
    </row>
    <row r="9499">
      <c r="A9499" s="5">
        <f>HYPERLINK("https://finance.yahoo.com/quote/LANWF","LANWF")</f>
        <v/>
      </c>
      <c r="B9499" t="inlineStr">
        <is>
          <t>Lanvin Group Holdings Ltd</t>
        </is>
      </c>
      <c r="C9499" t="inlineStr">
        <is>
          <t>OTC</t>
        </is>
      </c>
      <c r="D9499" t="n">
        <v>1922097</v>
      </c>
      <c r="E9499" t="inlineStr">
        <is>
          <t>SEC</t>
        </is>
      </c>
    </row>
    <row r="9500">
      <c r="A9500" s="5">
        <f>HYPERLINK("https://finance.yahoo.com/quote/AKPPS","AKPPS")</f>
        <v/>
      </c>
      <c r="B9500" t="inlineStr">
        <is>
          <t>Ark7 Properties Plus LLC</t>
        </is>
      </c>
      <c r="C9500" t="inlineStr">
        <is>
          <t>OTC</t>
        </is>
      </c>
      <c r="D9500" t="n">
        <v>1923734</v>
      </c>
      <c r="E9500" t="inlineStr">
        <is>
          <t>SEC</t>
        </is>
      </c>
    </row>
    <row r="9501">
      <c r="A9501" s="5">
        <f>HYPERLINK("https://finance.yahoo.com/quote/RLNDF","RLNDF")</f>
        <v/>
      </c>
      <c r="B9501" t="inlineStr">
        <is>
          <t>RoyaLand Co Ltd.</t>
        </is>
      </c>
      <c r="C9501" t="inlineStr">
        <is>
          <t>OTC</t>
        </is>
      </c>
      <c r="D9501" t="n">
        <v>1924064</v>
      </c>
      <c r="E9501" t="inlineStr">
        <is>
          <t>SEC</t>
        </is>
      </c>
    </row>
    <row r="9502">
      <c r="A9502" s="5">
        <f>HYPERLINK("https://finance.yahoo.com/quote/OCAC-RI","OCAC-RI")</f>
        <v/>
      </c>
      <c r="B9502" t="inlineStr">
        <is>
          <t>Ocean Capital Acquisition Corp</t>
        </is>
      </c>
      <c r="C9502" t="inlineStr">
        <is>
          <t>NYSE</t>
        </is>
      </c>
      <c r="D9502" t="n">
        <v>1926314</v>
      </c>
      <c r="E9502" t="inlineStr">
        <is>
          <t>SEC</t>
        </is>
      </c>
    </row>
    <row r="9503">
      <c r="A9503" s="5">
        <f>HYPERLINK("https://finance.yahoo.com/quote/OCAC-UN","OCAC-UN")</f>
        <v/>
      </c>
      <c r="B9503" t="inlineStr">
        <is>
          <t>Ocean Capital Acquisition Corp</t>
        </is>
      </c>
      <c r="C9503" t="inlineStr">
        <is>
          <t>NYSE</t>
        </is>
      </c>
      <c r="D9503" t="n">
        <v>1926314</v>
      </c>
      <c r="E9503" t="inlineStr">
        <is>
          <t>SEC</t>
        </is>
      </c>
    </row>
    <row r="9504">
      <c r="A9504" s="5">
        <f>HYPERLINK("https://finance.yahoo.com/quote/OCAC-WT","OCAC-WT")</f>
        <v/>
      </c>
      <c r="B9504" t="inlineStr">
        <is>
          <t>Ocean Capital Acquisition Corp</t>
        </is>
      </c>
      <c r="C9504" t="inlineStr">
        <is>
          <t>NYSE</t>
        </is>
      </c>
      <c r="D9504" t="n">
        <v>1926314</v>
      </c>
      <c r="E9504" t="inlineStr">
        <is>
          <t>SEC</t>
        </is>
      </c>
    </row>
    <row r="9505">
      <c r="A9505" s="5">
        <f>HYPERLINK("https://finance.yahoo.com/quote/TDACU","TDACU")</f>
        <v/>
      </c>
      <c r="B9505" t="inlineStr">
        <is>
          <t>Translational Development Acquisition Corp.</t>
        </is>
      </c>
      <c r="C9505" t="inlineStr">
        <is>
          <t>Nasdaq</t>
        </is>
      </c>
      <c r="D9505" t="n">
        <v>1926599</v>
      </c>
      <c r="E9505" t="inlineStr">
        <is>
          <t>SEC</t>
        </is>
      </c>
    </row>
    <row r="9506">
      <c r="A9506" s="5">
        <f>HYPERLINK("https://finance.yahoo.com/quote/TDACW","TDACW")</f>
        <v/>
      </c>
      <c r="B9506" t="inlineStr">
        <is>
          <t>Translational Development Acquisition Corp.</t>
        </is>
      </c>
      <c r="C9506" t="inlineStr">
        <is>
          <t>Nasdaq</t>
        </is>
      </c>
      <c r="D9506" t="n">
        <v>1926599</v>
      </c>
      <c r="E9506" t="inlineStr">
        <is>
          <t>SEC</t>
        </is>
      </c>
    </row>
    <row r="9507">
      <c r="A9507" s="5">
        <f>HYPERLINK("https://finance.yahoo.com/quote/CRGOW","CRGOW")</f>
        <v/>
      </c>
      <c r="B9507" t="inlineStr">
        <is>
          <t>Freightos Ltd</t>
        </is>
      </c>
      <c r="C9507" t="inlineStr">
        <is>
          <t>Nasdaq</t>
        </is>
      </c>
      <c r="D9507" t="n">
        <v>1927719</v>
      </c>
      <c r="E9507" t="inlineStr">
        <is>
          <t>SEC</t>
        </is>
      </c>
    </row>
    <row r="9508">
      <c r="A9508" s="5">
        <f>HYPERLINK("https://finance.yahoo.com/quote/HOVRW","HOVRW")</f>
        <v/>
      </c>
      <c r="B9508" t="inlineStr">
        <is>
          <t>New Horizon Aircraft Ltd.</t>
        </is>
      </c>
      <c r="C9508" t="inlineStr">
        <is>
          <t>Nasdaq</t>
        </is>
      </c>
      <c r="D9508" t="n">
        <v>1930021</v>
      </c>
      <c r="E9508" t="inlineStr">
        <is>
          <t>SEC</t>
        </is>
      </c>
    </row>
    <row r="9509">
      <c r="A9509" s="5">
        <f>HYPERLINK("https://finance.yahoo.com/quote/SPMA","SPMA")</f>
        <v/>
      </c>
      <c r="B9509" t="inlineStr">
        <is>
          <t>Sound Point Meridian Capital, Inc.</t>
        </is>
      </c>
      <c r="C9509" t="inlineStr">
        <is>
          <t>NYSE</t>
        </is>
      </c>
      <c r="D9509" t="n">
        <v>1930147</v>
      </c>
      <c r="E9509" t="inlineStr">
        <is>
          <t>SEC</t>
        </is>
      </c>
    </row>
    <row r="9510">
      <c r="A9510" s="5">
        <f>HYPERLINK("https://finance.yahoo.com/quote/SPME","SPME")</f>
        <v/>
      </c>
      <c r="B9510" t="inlineStr">
        <is>
          <t>Sound Point Meridian Capital, Inc.</t>
        </is>
      </c>
      <c r="C9510" t="inlineStr">
        <is>
          <t>NYSE</t>
        </is>
      </c>
      <c r="D9510" t="n">
        <v>1930147</v>
      </c>
      <c r="E9510" t="inlineStr">
        <is>
          <t>SEC</t>
        </is>
      </c>
    </row>
    <row r="9511">
      <c r="A9511" s="5">
        <f>HYPERLINK("https://finance.yahoo.com/quote/SBCWW","SBCWW")</f>
        <v/>
      </c>
      <c r="B9511" t="inlineStr">
        <is>
          <t>SBC Medical Group Holdings Inc</t>
        </is>
      </c>
      <c r="C9511" t="inlineStr">
        <is>
          <t>Nasdaq</t>
        </is>
      </c>
      <c r="D9511" t="n">
        <v>1930313</v>
      </c>
      <c r="E9511" t="inlineStr">
        <is>
          <t>SEC</t>
        </is>
      </c>
    </row>
    <row r="9512">
      <c r="A9512" s="5">
        <f>HYPERLINK("https://finance.yahoo.com/quote/BCCG","BCCG")</f>
        <v/>
      </c>
      <c r="B9512" t="inlineStr">
        <is>
          <t>Blue Chip Capital Group Inc.</t>
        </is>
      </c>
      <c r="C9512" t="inlineStr">
        <is>
          <t>OTC</t>
        </is>
      </c>
      <c r="D9512" t="n">
        <v>1932213</v>
      </c>
      <c r="E9512" t="inlineStr">
        <is>
          <t>SEC</t>
        </is>
      </c>
    </row>
    <row r="9513">
      <c r="A9513" s="5">
        <f>HYPERLINK("https://finance.yahoo.com/quote/AIIOW","AIIOW")</f>
        <v/>
      </c>
      <c r="B9513" t="inlineStr">
        <is>
          <t>ROBO.AI INC.</t>
        </is>
      </c>
      <c r="C9513" t="inlineStr">
        <is>
          <t>Nasdaq</t>
        </is>
      </c>
      <c r="D9513" t="n">
        <v>1932737</v>
      </c>
      <c r="E9513" t="inlineStr">
        <is>
          <t>SEC</t>
        </is>
      </c>
    </row>
    <row r="9514">
      <c r="A9514" s="5">
        <f>HYPERLINK("https://finance.yahoo.com/quote/NTCS","NTCS")</f>
        <v/>
      </c>
      <c r="B9514" t="inlineStr">
        <is>
          <t>Natics Corp.</t>
        </is>
      </c>
      <c r="C9514" t="inlineStr">
        <is>
          <t>OTC</t>
        </is>
      </c>
      <c r="D9514" t="n">
        <v>1933359</v>
      </c>
      <c r="E9514" t="inlineStr">
        <is>
          <t>SEC</t>
        </is>
      </c>
    </row>
    <row r="9515">
      <c r="A9515" s="5">
        <f>HYPERLINK("https://finance.yahoo.com/quote/FGN","FGN")</f>
        <v/>
      </c>
      <c r="B9515" t="inlineStr">
        <is>
          <t>F&amp;G Annuities &amp; Life, Inc.</t>
        </is>
      </c>
      <c r="C9515" t="inlineStr">
        <is>
          <t>NYSE</t>
        </is>
      </c>
      <c r="D9515" t="n">
        <v>1934850</v>
      </c>
      <c r="E9515" t="inlineStr">
        <is>
          <t>SEC</t>
        </is>
      </c>
    </row>
    <row r="9516">
      <c r="A9516" s="5">
        <f>HYPERLINK("https://finance.yahoo.com/quote/FGSN","FGSN")</f>
        <v/>
      </c>
      <c r="B9516" t="inlineStr">
        <is>
          <t>F&amp;G Annuities &amp; Life, Inc.</t>
        </is>
      </c>
      <c r="C9516" t="inlineStr">
        <is>
          <t>NYSE</t>
        </is>
      </c>
      <c r="D9516" t="n">
        <v>1934850</v>
      </c>
      <c r="E9516" t="inlineStr">
        <is>
          <t>SEC</t>
        </is>
      </c>
    </row>
    <row r="9517">
      <c r="A9517" s="5">
        <f>HYPERLINK("https://finance.yahoo.com/quote/KMFG","KMFG")</f>
        <v/>
      </c>
      <c r="B9517" t="inlineStr">
        <is>
          <t>KEEMO Fashion Group Ltd</t>
        </is>
      </c>
      <c r="C9517" t="inlineStr">
        <is>
          <t>OTC</t>
        </is>
      </c>
      <c r="D9517" t="n">
        <v>1935033</v>
      </c>
      <c r="E9517" t="inlineStr">
        <is>
          <t>SEC</t>
        </is>
      </c>
    </row>
    <row r="9518">
      <c r="A9518" s="5">
        <f>HYPERLINK("https://finance.yahoo.com/quote/FMSTW","FMSTW")</f>
        <v/>
      </c>
      <c r="B9518" t="inlineStr">
        <is>
          <t>Foremost Clean Energy Ltd.</t>
        </is>
      </c>
      <c r="C9518" t="inlineStr">
        <is>
          <t>Nasdaq</t>
        </is>
      </c>
      <c r="D9518" t="n">
        <v>1935418</v>
      </c>
      <c r="E9518" t="inlineStr">
        <is>
          <t>SEC</t>
        </is>
      </c>
    </row>
    <row r="9519">
      <c r="A9519" s="5">
        <f>HYPERLINK("https://finance.yahoo.com/quote/NAMSW","NAMSW")</f>
        <v/>
      </c>
      <c r="B9519" t="inlineStr">
        <is>
          <t>NewAmsterdam Pharma Co N.V.</t>
        </is>
      </c>
      <c r="C9519" t="inlineStr">
        <is>
          <t>Nasdaq</t>
        </is>
      </c>
      <c r="D9519" t="n">
        <v>1936258</v>
      </c>
      <c r="E9519" t="inlineStr">
        <is>
          <t>SEC</t>
        </is>
      </c>
    </row>
    <row r="9520">
      <c r="A9520" s="5">
        <f>HYPERLINK("https://finance.yahoo.com/quote/SDAWW","SDAWW")</f>
        <v/>
      </c>
      <c r="B9520" t="inlineStr">
        <is>
          <t>SunCar Technology Group Inc.</t>
        </is>
      </c>
      <c r="C9520" t="inlineStr">
        <is>
          <t>Nasdaq</t>
        </is>
      </c>
      <c r="D9520" t="n">
        <v>1936804</v>
      </c>
      <c r="E9520" t="inlineStr">
        <is>
          <t>SEC</t>
        </is>
      </c>
    </row>
    <row r="9521">
      <c r="A9521" s="5">
        <f>HYPERLINK("https://finance.yahoo.com/quote/MLECW","MLECW")</f>
        <v/>
      </c>
      <c r="B9521" t="inlineStr">
        <is>
          <t>Moolec Science SA</t>
        </is>
      </c>
      <c r="C9521" t="inlineStr">
        <is>
          <t>Nasdaq</t>
        </is>
      </c>
      <c r="D9521" t="n">
        <v>1937737</v>
      </c>
      <c r="E9521" t="inlineStr">
        <is>
          <t>SEC</t>
        </is>
      </c>
    </row>
    <row r="9522">
      <c r="A9522" s="5">
        <f>HYPERLINK("https://finance.yahoo.com/quote/FBYDP","FBYDP")</f>
        <v/>
      </c>
      <c r="B9522" t="inlineStr">
        <is>
          <t>Falcon's Beyond Global, Inc.</t>
        </is>
      </c>
      <c r="C9522" t="inlineStr">
        <is>
          <t>Nasdaq</t>
        </is>
      </c>
      <c r="D9522" t="n">
        <v>1937987</v>
      </c>
      <c r="E9522" t="inlineStr">
        <is>
          <t>SEC</t>
        </is>
      </c>
    </row>
    <row r="9523">
      <c r="A9523" s="5">
        <f>HYPERLINK("https://finance.yahoo.com/quote/FBYDW","FBYDW")</f>
        <v/>
      </c>
      <c r="B9523" t="inlineStr">
        <is>
          <t>Falcon's Beyond Global, Inc.</t>
        </is>
      </c>
      <c r="C9523" t="inlineStr">
        <is>
          <t>Nasdaq</t>
        </is>
      </c>
      <c r="D9523" t="n">
        <v>1937987</v>
      </c>
      <c r="E9523" t="inlineStr">
        <is>
          <t>SEC</t>
        </is>
      </c>
    </row>
    <row r="9524">
      <c r="A9524" s="5">
        <f>HYPERLINK("https://finance.yahoo.com/quote/PTIV","PTIV")</f>
        <v/>
      </c>
      <c r="B9524" t="inlineStr">
        <is>
          <t>Pineapple Financial Inc.</t>
        </is>
      </c>
      <c r="C9524" t="inlineStr"/>
      <c r="D9524" t="n">
        <v>1938109</v>
      </c>
      <c r="E9524" t="inlineStr">
        <is>
          <t>SEC</t>
        </is>
      </c>
    </row>
    <row r="9525">
      <c r="A9525" s="5">
        <f>HYPERLINK("https://finance.yahoo.com/quote/PALX","PALX")</f>
        <v/>
      </c>
      <c r="B9525" t="inlineStr">
        <is>
          <t>Palomino Laboratories Inc.</t>
        </is>
      </c>
      <c r="C9525" t="inlineStr">
        <is>
          <t>OTC</t>
        </is>
      </c>
      <c r="D9525" t="n">
        <v>1938569</v>
      </c>
      <c r="E9525" t="inlineStr">
        <is>
          <t>SEC</t>
        </is>
      </c>
    </row>
    <row r="9526">
      <c r="A9526" s="5">
        <f>HYPERLINK("https://finance.yahoo.com/quote/LMMY","LMMY")</f>
        <v/>
      </c>
      <c r="B9526" t="inlineStr">
        <is>
          <t>Exousia Bio, Inc.</t>
        </is>
      </c>
      <c r="C9526" t="inlineStr">
        <is>
          <t>OTC</t>
        </is>
      </c>
      <c r="D9526" t="n">
        <v>1939937</v>
      </c>
      <c r="E9526" t="inlineStr">
        <is>
          <t>SEC</t>
        </is>
      </c>
    </row>
    <row r="9527">
      <c r="A9527" s="5">
        <f>HYPERLINK("https://finance.yahoo.com/quote/SMXWW","SMXWW")</f>
        <v/>
      </c>
      <c r="B9527" t="inlineStr">
        <is>
          <t>SMX (Security Matters) Public Ltd Co</t>
        </is>
      </c>
      <c r="C9527" t="inlineStr">
        <is>
          <t>Nasdaq</t>
        </is>
      </c>
      <c r="D9527" t="n">
        <v>1940674</v>
      </c>
      <c r="E9527" t="inlineStr">
        <is>
          <t>SEC</t>
        </is>
      </c>
    </row>
    <row r="9528">
      <c r="A9528" s="5">
        <f>HYPERLINK("https://finance.yahoo.com/quote/TANAF","TANAF")</f>
        <v/>
      </c>
      <c r="B9528" t="inlineStr">
        <is>
          <t>Tian'an Technology Group Ltd</t>
        </is>
      </c>
      <c r="C9528" t="inlineStr">
        <is>
          <t>OTC</t>
        </is>
      </c>
      <c r="D9528" t="n">
        <v>1941189</v>
      </c>
      <c r="E9528" t="inlineStr">
        <is>
          <t>SEC</t>
        </is>
      </c>
    </row>
    <row r="9529">
      <c r="A9529" s="5">
        <f>HYPERLINK("https://finance.yahoo.com/quote/BAERW","BAERW")</f>
        <v/>
      </c>
      <c r="B9529" t="inlineStr">
        <is>
          <t>Bridger Aerospace Group Holdings, Inc.</t>
        </is>
      </c>
      <c r="C9529" t="inlineStr">
        <is>
          <t>Nasdaq</t>
        </is>
      </c>
      <c r="D9529" t="n">
        <v>1941536</v>
      </c>
      <c r="E9529" t="inlineStr">
        <is>
          <t>SEC</t>
        </is>
      </c>
    </row>
    <row r="9530">
      <c r="A9530" s="5">
        <f>HYPERLINK("https://finance.yahoo.com/quote/HSPRF","HSPRF")</f>
        <v/>
      </c>
      <c r="B9530" t="inlineStr">
        <is>
          <t>Horizon Space Acquisition I Corp.</t>
        </is>
      </c>
      <c r="C9530" t="inlineStr">
        <is>
          <t>OTC</t>
        </is>
      </c>
      <c r="D9530" t="n">
        <v>1946021</v>
      </c>
      <c r="E9530" t="inlineStr">
        <is>
          <t>SEC</t>
        </is>
      </c>
    </row>
    <row r="9531">
      <c r="A9531" s="5">
        <f>HYPERLINK("https://finance.yahoo.com/quote/HSPUF","HSPUF")</f>
        <v/>
      </c>
      <c r="B9531" t="inlineStr">
        <is>
          <t>Horizon Space Acquisition I Corp.</t>
        </is>
      </c>
      <c r="C9531" t="inlineStr">
        <is>
          <t>OTC</t>
        </is>
      </c>
      <c r="D9531" t="n">
        <v>1946021</v>
      </c>
      <c r="E9531" t="inlineStr">
        <is>
          <t>SEC</t>
        </is>
      </c>
    </row>
    <row r="9532">
      <c r="A9532" s="5">
        <f>HYPERLINK("https://finance.yahoo.com/quote/HSPWF","HSPWF")</f>
        <v/>
      </c>
      <c r="B9532" t="inlineStr">
        <is>
          <t>Horizon Space Acquisition I Corp.</t>
        </is>
      </c>
      <c r="C9532" t="inlineStr">
        <is>
          <t>OTC</t>
        </is>
      </c>
      <c r="D9532" t="n">
        <v>1946021</v>
      </c>
      <c r="E9532" t="inlineStr">
        <is>
          <t>SEC</t>
        </is>
      </c>
    </row>
    <row r="9533">
      <c r="A9533" s="5">
        <f>HYPERLINK("https://finance.yahoo.com/quote/SXTPW","SXTPW")</f>
        <v/>
      </c>
      <c r="B9533" t="inlineStr">
        <is>
          <t>60 DEGREES PHARMACEUTICALS, INC.</t>
        </is>
      </c>
      <c r="C9533" t="inlineStr">
        <is>
          <t>Nasdaq</t>
        </is>
      </c>
      <c r="D9533" t="n">
        <v>1946563</v>
      </c>
      <c r="E9533" t="inlineStr">
        <is>
          <t>SEC</t>
        </is>
      </c>
    </row>
    <row r="9534">
      <c r="A9534" s="5">
        <f>HYPERLINK("https://finance.yahoo.com/quote/NAKAW","NAKAW")</f>
        <v/>
      </c>
      <c r="B9534" t="inlineStr">
        <is>
          <t>Nakamoto Inc.</t>
        </is>
      </c>
      <c r="C9534" t="inlineStr">
        <is>
          <t>OTC</t>
        </is>
      </c>
      <c r="D9534" t="n">
        <v>1946573</v>
      </c>
      <c r="E9534" t="inlineStr">
        <is>
          <t>SEC</t>
        </is>
      </c>
    </row>
    <row r="9535">
      <c r="A9535" s="5">
        <f>HYPERLINK("https://finance.yahoo.com/quote/RDPTF","RDPTF")</f>
        <v/>
      </c>
      <c r="B9535" t="inlineStr">
        <is>
          <t>Radiopharm Theranostics Ltd</t>
        </is>
      </c>
      <c r="C9535" t="inlineStr">
        <is>
          <t>OTC</t>
        </is>
      </c>
      <c r="D9535" t="n">
        <v>1949257</v>
      </c>
      <c r="E9535" t="inlineStr">
        <is>
          <t>SEC</t>
        </is>
      </c>
    </row>
    <row r="9536">
      <c r="A9536" s="5">
        <f>HYPERLINK("https://finance.yahoo.com/quote/CRMLW","CRMLW")</f>
        <v/>
      </c>
      <c r="B9536" t="inlineStr">
        <is>
          <t>Critical Metals Corp.</t>
        </is>
      </c>
      <c r="C9536" t="inlineStr">
        <is>
          <t>Nasdaq</t>
        </is>
      </c>
      <c r="D9536" t="n">
        <v>1951089</v>
      </c>
      <c r="E9536" t="inlineStr">
        <is>
          <t>SEC</t>
        </is>
      </c>
    </row>
    <row r="9537">
      <c r="A9537" s="5">
        <f>HYPERLINK("https://finance.yahoo.com/quote/CRTMF","CRTMF")</f>
        <v/>
      </c>
      <c r="B9537" t="inlineStr">
        <is>
          <t>Critical Metals Corp.</t>
        </is>
      </c>
      <c r="C9537" t="inlineStr">
        <is>
          <t>OTC</t>
        </is>
      </c>
      <c r="D9537" t="n">
        <v>1951089</v>
      </c>
      <c r="E9537" t="inlineStr">
        <is>
          <t>SEC</t>
        </is>
      </c>
    </row>
    <row r="9538">
      <c r="A9538" s="5">
        <f>HYPERLINK("https://finance.yahoo.com/quote/FCDH","FCDH")</f>
        <v/>
      </c>
      <c r="B9538" t="inlineStr">
        <is>
          <t>Forcendra Holding Ltd</t>
        </is>
      </c>
      <c r="C9538" t="inlineStr">
        <is>
          <t>Nasdaq</t>
        </is>
      </c>
      <c r="D9538" t="n">
        <v>1951294</v>
      </c>
      <c r="E9538" t="inlineStr">
        <is>
          <t>SEC</t>
        </is>
      </c>
    </row>
    <row r="9539">
      <c r="A9539" s="5">
        <f>HYPERLINK("https://finance.yahoo.com/quote/NNRGF","NNRGF")</f>
        <v/>
      </c>
      <c r="B9539" t="inlineStr">
        <is>
          <t>Ninepoint Energy Fund</t>
        </is>
      </c>
      <c r="C9539" t="inlineStr">
        <is>
          <t>OTC</t>
        </is>
      </c>
      <c r="D9539" t="n">
        <v>1951593</v>
      </c>
      <c r="E9539" t="inlineStr">
        <is>
          <t>SEC</t>
        </is>
      </c>
    </row>
    <row r="9540">
      <c r="A9540" s="5">
        <f>HYPERLINK("https://finance.yahoo.com/quote/OCSAW","OCSAW")</f>
        <v/>
      </c>
      <c r="B9540" t="inlineStr">
        <is>
          <t>Oculis Holding AG</t>
        </is>
      </c>
      <c r="C9540" t="inlineStr">
        <is>
          <t>Nasdaq</t>
        </is>
      </c>
      <c r="D9540" t="n">
        <v>1953530</v>
      </c>
      <c r="E9540" t="inlineStr">
        <is>
          <t>SEC</t>
        </is>
      </c>
    </row>
    <row r="9541">
      <c r="A9541" s="5">
        <f>HYPERLINK("https://finance.yahoo.com/quote/BCGWW","BCGWW")</f>
        <v/>
      </c>
      <c r="B9541" t="inlineStr">
        <is>
          <t>Binah Capital Group, Inc.</t>
        </is>
      </c>
      <c r="C9541" t="inlineStr">
        <is>
          <t>Nasdaq</t>
        </is>
      </c>
      <c r="D9541" t="n">
        <v>1953984</v>
      </c>
      <c r="E9541" t="inlineStr">
        <is>
          <t>SEC</t>
        </is>
      </c>
    </row>
    <row r="9542">
      <c r="A9542" s="5">
        <f>HYPERLINK("https://finance.yahoo.com/quote/ALMP","ALMP")</f>
        <v/>
      </c>
      <c r="B9542" t="inlineStr">
        <is>
          <t>Almco Plumbing Inc</t>
        </is>
      </c>
      <c r="C9542" t="inlineStr">
        <is>
          <t>OTC</t>
        </is>
      </c>
      <c r="D9542" t="n">
        <v>1956237</v>
      </c>
      <c r="E9542" t="inlineStr">
        <is>
          <t>SEC</t>
        </is>
      </c>
    </row>
    <row r="9543">
      <c r="A9543" s="5">
        <f>HYPERLINK("https://finance.yahoo.com/quote/NOEMR","NOEMR")</f>
        <v/>
      </c>
      <c r="B9543" t="inlineStr">
        <is>
          <t>CO2 Energy Transition Corp.</t>
        </is>
      </c>
      <c r="C9543" t="inlineStr">
        <is>
          <t>Nasdaq</t>
        </is>
      </c>
      <c r="D9543" t="n">
        <v>1956648</v>
      </c>
      <c r="E9543" t="inlineStr">
        <is>
          <t>SEC</t>
        </is>
      </c>
    </row>
    <row r="9544">
      <c r="A9544" s="5">
        <f>HYPERLINK("https://finance.yahoo.com/quote/NOEMU","NOEMU")</f>
        <v/>
      </c>
      <c r="B9544" t="inlineStr">
        <is>
          <t>CO2 Energy Transition Corp.</t>
        </is>
      </c>
      <c r="C9544" t="inlineStr">
        <is>
          <t>Nasdaq</t>
        </is>
      </c>
      <c r="D9544" t="n">
        <v>1956648</v>
      </c>
      <c r="E9544" t="inlineStr">
        <is>
          <t>SEC</t>
        </is>
      </c>
    </row>
    <row r="9545">
      <c r="A9545" s="5">
        <f>HYPERLINK("https://finance.yahoo.com/quote/NOEMW","NOEMW")</f>
        <v/>
      </c>
      <c r="B9545" t="inlineStr">
        <is>
          <t>CO2 Energy Transition Corp.</t>
        </is>
      </c>
      <c r="C9545" t="inlineStr">
        <is>
          <t>Nasdaq</t>
        </is>
      </c>
      <c r="D9545" t="n">
        <v>1956648</v>
      </c>
      <c r="E9545" t="inlineStr">
        <is>
          <t>SEC</t>
        </is>
      </c>
    </row>
    <row r="9546">
      <c r="A9546" s="5">
        <f>HYPERLINK("https://finance.yahoo.com/quote/AAVXF","AAVXF")</f>
        <v/>
      </c>
      <c r="B9546" t="inlineStr">
        <is>
          <t>Abivax S.A.</t>
        </is>
      </c>
      <c r="C9546" t="inlineStr">
        <is>
          <t>OTC</t>
        </is>
      </c>
      <c r="D9546" t="n">
        <v>1956827</v>
      </c>
      <c r="E9546" t="inlineStr">
        <is>
          <t>SEC</t>
        </is>
      </c>
    </row>
    <row r="9547">
      <c r="A9547" s="5">
        <f>HYPERLINK("https://finance.yahoo.com/quote/ABLVW","ABLVW")</f>
        <v/>
      </c>
      <c r="B9547" t="inlineStr">
        <is>
          <t>Able View Global Inc.</t>
        </is>
      </c>
      <c r="C9547" t="inlineStr">
        <is>
          <t>Nasdaq</t>
        </is>
      </c>
      <c r="D9547" t="n">
        <v>1957489</v>
      </c>
      <c r="E9547" t="inlineStr">
        <is>
          <t>SEC</t>
        </is>
      </c>
    </row>
    <row r="9548">
      <c r="A9548" s="5">
        <f>HYPERLINK("https://finance.yahoo.com/quote/OIOWW","OIOWW")</f>
        <v/>
      </c>
      <c r="B9548" t="inlineStr">
        <is>
          <t>OIO Group</t>
        </is>
      </c>
      <c r="C9548" t="inlineStr">
        <is>
          <t>Nasdaq</t>
        </is>
      </c>
      <c r="D9548" t="n">
        <v>1957538</v>
      </c>
      <c r="E9548" t="inlineStr">
        <is>
          <t>SEC</t>
        </is>
      </c>
    </row>
    <row r="9549">
      <c r="A9549" s="5">
        <f>HYPERLINK("https://finance.yahoo.com/quote/MACT","MACT")</f>
        <v/>
      </c>
      <c r="B9549" t="inlineStr">
        <is>
          <t>MachTen, Inc.</t>
        </is>
      </c>
      <c r="C9549" t="inlineStr">
        <is>
          <t>OTC</t>
        </is>
      </c>
      <c r="D9549" t="n">
        <v>1957783</v>
      </c>
      <c r="E9549" t="inlineStr">
        <is>
          <t>SEC</t>
        </is>
      </c>
    </row>
    <row r="9550">
      <c r="A9550" s="5">
        <f>HYPERLINK("https://finance.yahoo.com/quote/LZM-WT","LZM-WT")</f>
        <v/>
      </c>
      <c r="B9550" t="inlineStr">
        <is>
          <t>Lifezone Metals Ltd</t>
        </is>
      </c>
      <c r="C9550" t="inlineStr">
        <is>
          <t>NYSE</t>
        </is>
      </c>
      <c r="D9550" t="n">
        <v>1958217</v>
      </c>
      <c r="E9550" t="inlineStr">
        <is>
          <t>SEC</t>
        </is>
      </c>
    </row>
    <row r="9551">
      <c r="A9551" s="5">
        <f>HYPERLINK("https://finance.yahoo.com/quote/COOTW","COOTW")</f>
        <v/>
      </c>
      <c r="B9551" t="inlineStr">
        <is>
          <t>Australian Oilseeds Holdings Ltd</t>
        </is>
      </c>
      <c r="C9551" t="inlineStr">
        <is>
          <t>Nasdaq</t>
        </is>
      </c>
      <c r="D9551" t="n">
        <v>1959994</v>
      </c>
      <c r="E9551" t="inlineStr">
        <is>
          <t>SEC</t>
        </is>
      </c>
    </row>
    <row r="9552">
      <c r="A9552" s="5">
        <f>HYPERLINK("https://finance.yahoo.com/quote/EXYNW","EXYNW")</f>
        <v/>
      </c>
      <c r="B9552" t="inlineStr">
        <is>
          <t>Exyn Technologies, Inc.</t>
        </is>
      </c>
      <c r="C9552" t="inlineStr">
        <is>
          <t>Nasdaq</t>
        </is>
      </c>
      <c r="D9552" t="n">
        <v>1960355</v>
      </c>
      <c r="E9552" t="inlineStr">
        <is>
          <t>SEC</t>
        </is>
      </c>
    </row>
    <row r="9553">
      <c r="A9553" s="5">
        <f>HYPERLINK("https://finance.yahoo.com/quote/LOTWW","LOTWW")</f>
        <v/>
      </c>
      <c r="B9553" t="inlineStr">
        <is>
          <t>Lotus Technology Inc.</t>
        </is>
      </c>
      <c r="C9553" t="inlineStr">
        <is>
          <t>Nasdaq</t>
        </is>
      </c>
      <c r="D9553" t="n">
        <v>1962746</v>
      </c>
      <c r="E9553" t="inlineStr">
        <is>
          <t>SEC</t>
        </is>
      </c>
    </row>
    <row r="9554">
      <c r="A9554" s="5">
        <f>HYPERLINK("https://finance.yahoo.com/quote/ATCHW","ATCHW")</f>
        <v/>
      </c>
      <c r="B9554" t="inlineStr">
        <is>
          <t>AtlasClear Holdings, Inc.</t>
        </is>
      </c>
      <c r="C9554" t="inlineStr">
        <is>
          <t>OTC</t>
        </is>
      </c>
      <c r="D9554" t="n">
        <v>1963088</v>
      </c>
      <c r="E9554" t="inlineStr">
        <is>
          <t>SEC</t>
        </is>
      </c>
    </row>
    <row r="9555">
      <c r="A9555" s="5">
        <f>HYPERLINK("https://finance.yahoo.com/quote/MGTEW","MGTEW")</f>
        <v/>
      </c>
      <c r="B9555" t="inlineStr">
        <is>
          <t>Marblegate Capital Corp</t>
        </is>
      </c>
      <c r="C9555" t="inlineStr">
        <is>
          <t>OTC</t>
        </is>
      </c>
      <c r="D9555" t="n">
        <v>1965052</v>
      </c>
      <c r="E9555" t="inlineStr">
        <is>
          <t>SEC</t>
        </is>
      </c>
    </row>
    <row r="9556">
      <c r="A9556" s="5">
        <f>HYPERLINK("https://finance.yahoo.com/quote/NVNWF","NVNWF")</f>
        <v/>
      </c>
      <c r="B9556" t="inlineStr">
        <is>
          <t>Nvni Group Ltd</t>
        </is>
      </c>
      <c r="C9556" t="inlineStr">
        <is>
          <t>OTC</t>
        </is>
      </c>
      <c r="D9556" t="n">
        <v>1965143</v>
      </c>
      <c r="E9556" t="inlineStr">
        <is>
          <t>SEC</t>
        </is>
      </c>
    </row>
    <row r="9557">
      <c r="A9557" s="5">
        <f>HYPERLINK("https://finance.yahoo.com/quote/CCGWW","CCGWW")</f>
        <v/>
      </c>
      <c r="B9557" t="inlineStr">
        <is>
          <t>Cheche Group Inc.</t>
        </is>
      </c>
      <c r="C9557" t="inlineStr">
        <is>
          <t>Nasdaq</t>
        </is>
      </c>
      <c r="D9557" t="n">
        <v>1965473</v>
      </c>
      <c r="E9557" t="inlineStr">
        <is>
          <t>SEC</t>
        </is>
      </c>
    </row>
    <row r="9558">
      <c r="A9558" s="5">
        <f>HYPERLINK("https://finance.yahoo.com/quote/GFRWF","GFRWF")</f>
        <v/>
      </c>
      <c r="B9558" t="inlineStr">
        <is>
          <t>Greenfire Resources Ltd.</t>
        </is>
      </c>
      <c r="C9558" t="inlineStr">
        <is>
          <t>OTC</t>
        </is>
      </c>
      <c r="D9558" t="n">
        <v>1966287</v>
      </c>
      <c r="E9558" t="inlineStr">
        <is>
          <t>SEC</t>
        </is>
      </c>
    </row>
    <row r="9559">
      <c r="A9559" s="5">
        <f>HYPERLINK("https://finance.yahoo.com/quote/BCHMF","BCHMF")</f>
        <v/>
      </c>
      <c r="B9559" t="inlineStr">
        <is>
          <t>Bachem Holding AG/ADR</t>
        </is>
      </c>
      <c r="C9559" t="inlineStr">
        <is>
          <t>OTC</t>
        </is>
      </c>
      <c r="D9559" t="n">
        <v>1968378</v>
      </c>
      <c r="E9559" t="inlineStr">
        <is>
          <t>SEC</t>
        </is>
      </c>
    </row>
    <row r="9560">
      <c r="A9560" s="5">
        <f>HYPERLINK("https://finance.yahoo.com/quote/BWAGF","BWAGF")</f>
        <v/>
      </c>
      <c r="B9560" t="inlineStr">
        <is>
          <t>BAWAG Group AG/ADR</t>
        </is>
      </c>
      <c r="C9560" t="inlineStr">
        <is>
          <t>OTC</t>
        </is>
      </c>
      <c r="D9560" t="n">
        <v>1968385</v>
      </c>
      <c r="E9560" t="inlineStr">
        <is>
          <t>SEC</t>
        </is>
      </c>
    </row>
    <row r="9561">
      <c r="A9561" s="5">
        <f>HYPERLINK("https://finance.yahoo.com/quote/PYAIF","PYAIF")</f>
        <v/>
      </c>
      <c r="B9561" t="inlineStr">
        <is>
          <t>Pony AI Inc.</t>
        </is>
      </c>
      <c r="C9561" t="inlineStr">
        <is>
          <t>OTC</t>
        </is>
      </c>
      <c r="D9561" t="n">
        <v>1969302</v>
      </c>
      <c r="E9561" t="inlineStr">
        <is>
          <t>SEC</t>
        </is>
      </c>
    </row>
    <row r="9562">
      <c r="A9562" s="5">
        <f>HYPERLINK("https://finance.yahoo.com/quote/RCWBY","RCWBY")</f>
        <v/>
      </c>
      <c r="B9562" t="inlineStr">
        <is>
          <t>Rockwool A/S/ADR</t>
        </is>
      </c>
      <c r="C9562" t="inlineStr">
        <is>
          <t>OTC</t>
        </is>
      </c>
      <c r="D9562" t="n">
        <v>1969729</v>
      </c>
      <c r="E9562" t="inlineStr">
        <is>
          <t>SEC</t>
        </is>
      </c>
    </row>
    <row r="9563">
      <c r="A9563" s="5">
        <f>HYPERLINK("https://finance.yahoo.com/quote/RKWAF","RKWAF")</f>
        <v/>
      </c>
      <c r="B9563" t="inlineStr">
        <is>
          <t>Rockwool A/S/ADR</t>
        </is>
      </c>
      <c r="C9563" t="inlineStr">
        <is>
          <t>OTC</t>
        </is>
      </c>
      <c r="D9563" t="n">
        <v>1969729</v>
      </c>
      <c r="E9563" t="inlineStr">
        <is>
          <t>SEC</t>
        </is>
      </c>
    </row>
    <row r="9564">
      <c r="A9564" s="5">
        <f>HYPERLINK("https://finance.yahoo.com/quote/RKWBF","RKWBF")</f>
        <v/>
      </c>
      <c r="B9564" t="inlineStr">
        <is>
          <t>Rockwool A/S/ADR</t>
        </is>
      </c>
      <c r="C9564" t="inlineStr">
        <is>
          <t>OTC</t>
        </is>
      </c>
      <c r="D9564" t="n">
        <v>1969729</v>
      </c>
      <c r="E9564" t="inlineStr">
        <is>
          <t>SEC</t>
        </is>
      </c>
    </row>
    <row r="9565">
      <c r="A9565" s="5">
        <f>HYPERLINK("https://finance.yahoo.com/quote/SEPSF","SEPSF")</f>
        <v/>
      </c>
      <c r="B9565" t="inlineStr">
        <is>
          <t>Asep Medical Holdings Inc.</t>
        </is>
      </c>
      <c r="C9565" t="inlineStr">
        <is>
          <t>OTC</t>
        </is>
      </c>
      <c r="D9565" t="n">
        <v>1969766</v>
      </c>
      <c r="E9565" t="inlineStr">
        <is>
          <t>SEC</t>
        </is>
      </c>
    </row>
    <row r="9566">
      <c r="A9566" s="5">
        <f>HYPERLINK("https://finance.yahoo.com/quote/THQQF","THQQF")</f>
        <v/>
      </c>
      <c r="B9566" t="inlineStr">
        <is>
          <t>Embracer Group AB/ADR</t>
        </is>
      </c>
      <c r="C9566" t="inlineStr">
        <is>
          <t>OTC</t>
        </is>
      </c>
      <c r="D9566" t="n">
        <v>1969796</v>
      </c>
      <c r="E9566" t="inlineStr">
        <is>
          <t>SEC</t>
        </is>
      </c>
    </row>
    <row r="9567">
      <c r="A9567" s="5">
        <f>HYPERLINK("https://finance.yahoo.com/quote/LGSP","LGSP")</f>
        <v/>
      </c>
      <c r="B9567" t="inlineStr">
        <is>
          <t>LEGEND SPICES, INC.</t>
        </is>
      </c>
      <c r="C9567" t="inlineStr">
        <is>
          <t>OTC</t>
        </is>
      </c>
      <c r="D9567" t="n">
        <v>1970129</v>
      </c>
      <c r="E9567" t="inlineStr">
        <is>
          <t>SEC</t>
        </is>
      </c>
    </row>
    <row r="9568">
      <c r="A9568" s="5">
        <f>HYPERLINK("https://finance.yahoo.com/quote/THNBY","THNBY")</f>
        <v/>
      </c>
      <c r="B9568" t="inlineStr">
        <is>
          <t>Technoprobe SpA/ADR</t>
        </is>
      </c>
      <c r="C9568" t="inlineStr">
        <is>
          <t>OTC</t>
        </is>
      </c>
      <c r="D9568" t="n">
        <v>1971172</v>
      </c>
      <c r="E9568" t="inlineStr">
        <is>
          <t>SEC</t>
        </is>
      </c>
    </row>
    <row r="9569">
      <c r="A9569" s="5">
        <f>HYPERLINK("https://finance.yahoo.com/quote/LIMNW","LIMNW")</f>
        <v/>
      </c>
      <c r="B9569" t="inlineStr">
        <is>
          <t>Liminatus Pharma, Inc.</t>
        </is>
      </c>
      <c r="C9569" t="inlineStr">
        <is>
          <t>Nasdaq</t>
        </is>
      </c>
      <c r="D9569" t="n">
        <v>1971387</v>
      </c>
      <c r="E9569" t="inlineStr">
        <is>
          <t>SEC</t>
        </is>
      </c>
    </row>
    <row r="9570">
      <c r="A9570" s="5">
        <f>HYPERLINK("https://finance.yahoo.com/quote/MNYWW","MNYWW")</f>
        <v/>
      </c>
      <c r="B9570" t="inlineStr">
        <is>
          <t>MoneyHero Ltd</t>
        </is>
      </c>
      <c r="C9570" t="inlineStr">
        <is>
          <t>Nasdaq</t>
        </is>
      </c>
      <c r="D9570" t="n">
        <v>1974044</v>
      </c>
      <c r="E9570" t="inlineStr">
        <is>
          <t>SEC</t>
        </is>
      </c>
    </row>
    <row r="9571">
      <c r="A9571" s="5">
        <f>HYPERLINK("https://finance.yahoo.com/quote/NPLY","NPLY")</f>
        <v/>
      </c>
      <c r="B9571" t="inlineStr">
        <is>
          <t>Naploy Corp.</t>
        </is>
      </c>
      <c r="C9571" t="inlineStr">
        <is>
          <t>OTC</t>
        </is>
      </c>
      <c r="D9571" t="n">
        <v>1978111</v>
      </c>
      <c r="E9571" t="inlineStr">
        <is>
          <t>SEC</t>
        </is>
      </c>
    </row>
    <row r="9572">
      <c r="A9572" s="5">
        <f>HYPERLINK("https://finance.yahoo.com/quote/QETAR","QETAR")</f>
        <v/>
      </c>
      <c r="B9572" t="inlineStr">
        <is>
          <t>Quetta Acquisition Corp</t>
        </is>
      </c>
      <c r="C9572" t="inlineStr">
        <is>
          <t>OTC</t>
        </is>
      </c>
      <c r="D9572" t="n">
        <v>1978528</v>
      </c>
      <c r="E9572" t="inlineStr">
        <is>
          <t>SEC</t>
        </is>
      </c>
    </row>
    <row r="9573">
      <c r="A9573" s="5">
        <f>HYPERLINK("https://finance.yahoo.com/quote/QETAU","QETAU")</f>
        <v/>
      </c>
      <c r="B9573" t="inlineStr">
        <is>
          <t>Quetta Acquisition Corp</t>
        </is>
      </c>
      <c r="C9573" t="inlineStr">
        <is>
          <t>OTC</t>
        </is>
      </c>
      <c r="D9573" t="n">
        <v>1978528</v>
      </c>
      <c r="E9573" t="inlineStr">
        <is>
          <t>SEC</t>
        </is>
      </c>
    </row>
    <row r="9574">
      <c r="A9574" s="5">
        <f>HYPERLINK("https://finance.yahoo.com/quote/AFJKR","AFJKR")</f>
        <v/>
      </c>
      <c r="B9574" t="inlineStr">
        <is>
          <t>Aimei Health Technology Co., Ltd.</t>
        </is>
      </c>
      <c r="C9574" t="inlineStr">
        <is>
          <t>Nasdaq</t>
        </is>
      </c>
      <c r="D9574" t="n">
        <v>1979005</v>
      </c>
      <c r="E9574" t="inlineStr">
        <is>
          <t>SEC</t>
        </is>
      </c>
    </row>
    <row r="9575">
      <c r="A9575" s="5">
        <f>HYPERLINK("https://finance.yahoo.com/quote/AFJKU","AFJKU")</f>
        <v/>
      </c>
      <c r="B9575" t="inlineStr">
        <is>
          <t>Aimei Health Technology Co., Ltd.</t>
        </is>
      </c>
      <c r="C9575" t="inlineStr">
        <is>
          <t>Nasdaq</t>
        </is>
      </c>
      <c r="D9575" t="n">
        <v>1979005</v>
      </c>
      <c r="E9575" t="inlineStr">
        <is>
          <t>SEC</t>
        </is>
      </c>
    </row>
    <row r="9576">
      <c r="A9576" s="5">
        <f>HYPERLINK("https://finance.yahoo.com/quote/IMAA","IMAA")</f>
        <v/>
      </c>
      <c r="B9576" t="inlineStr">
        <is>
          <t>IMA Tech</t>
        </is>
      </c>
      <c r="C9576" t="inlineStr">
        <is>
          <t>OTC</t>
        </is>
      </c>
      <c r="D9576" t="n">
        <v>1980295</v>
      </c>
      <c r="E9576" t="inlineStr">
        <is>
          <t>SEC</t>
        </is>
      </c>
    </row>
    <row r="9577">
      <c r="A9577" s="5">
        <f>HYPERLINK("https://finance.yahoo.com/quote/ENGNW","ENGNW")</f>
        <v/>
      </c>
      <c r="B9577" t="inlineStr">
        <is>
          <t>enGene Therapeutics Inc.</t>
        </is>
      </c>
      <c r="C9577" t="inlineStr">
        <is>
          <t>Nasdaq</t>
        </is>
      </c>
      <c r="D9577" t="n">
        <v>1980845</v>
      </c>
      <c r="E9577" t="inlineStr">
        <is>
          <t>SEC</t>
        </is>
      </c>
    </row>
    <row r="9578">
      <c r="A9578" s="5">
        <f>HYPERLINK("https://finance.yahoo.com/quote/NIVFW","NIVFW")</f>
        <v/>
      </c>
      <c r="B9578" t="inlineStr">
        <is>
          <t>NewGenIvf Group Ltd</t>
        </is>
      </c>
      <c r="C9578" t="inlineStr">
        <is>
          <t>Nasdaq</t>
        </is>
      </c>
      <c r="D9578" t="n">
        <v>1981662</v>
      </c>
      <c r="E9578" t="inlineStr">
        <is>
          <t>SEC</t>
        </is>
      </c>
    </row>
    <row r="9579">
      <c r="A9579" s="5">
        <f>HYPERLINK("https://finance.yahoo.com/quote/BDMDW","BDMDW")</f>
        <v/>
      </c>
      <c r="B9579" t="inlineStr">
        <is>
          <t>Baird Medical Investment Holdings Ltd</t>
        </is>
      </c>
      <c r="C9579" t="inlineStr">
        <is>
          <t>Nasdaq</t>
        </is>
      </c>
      <c r="D9579" t="n">
        <v>1982444</v>
      </c>
      <c r="E9579" t="inlineStr">
        <is>
          <t>SEC</t>
        </is>
      </c>
    </row>
    <row r="9580">
      <c r="A9580" s="5">
        <f>HYPERLINK("https://finance.yahoo.com/quote/RMSGW","RMSGW")</f>
        <v/>
      </c>
      <c r="B9580" t="inlineStr">
        <is>
          <t>Real Messenger Corp</t>
        </is>
      </c>
      <c r="C9580" t="inlineStr">
        <is>
          <t>Nasdaq</t>
        </is>
      </c>
      <c r="D9580" t="n">
        <v>1983324</v>
      </c>
      <c r="E9580" t="inlineStr">
        <is>
          <t>SEC</t>
        </is>
      </c>
    </row>
    <row r="9581">
      <c r="A9581" s="5">
        <f>HYPERLINK("https://finance.yahoo.com/quote/PBMWW","PBMWW")</f>
        <v/>
      </c>
      <c r="B9581" t="inlineStr">
        <is>
          <t>PSYENCE BIOMEDICAL LTD.</t>
        </is>
      </c>
      <c r="C9581" t="inlineStr">
        <is>
          <t>Nasdaq</t>
        </is>
      </c>
      <c r="D9581" t="n">
        <v>1985062</v>
      </c>
      <c r="E9581" t="inlineStr">
        <is>
          <t>SEC</t>
        </is>
      </c>
    </row>
    <row r="9582">
      <c r="A9582" s="5">
        <f>HYPERLINK("https://finance.yahoo.com/quote/TOYWF","TOYWF")</f>
        <v/>
      </c>
      <c r="B9582" t="inlineStr">
        <is>
          <t>TOYO Co., Ltd</t>
        </is>
      </c>
      <c r="C9582" t="inlineStr">
        <is>
          <t>OTC</t>
        </is>
      </c>
      <c r="D9582" t="n">
        <v>1985273</v>
      </c>
      <c r="E9582" t="inlineStr">
        <is>
          <t>SEC</t>
        </is>
      </c>
    </row>
    <row r="9583">
      <c r="A9583" s="5">
        <f>HYPERLINK("https://finance.yahoo.com/quote/NPEHF","NPEHF")</f>
        <v/>
      </c>
      <c r="B9583" t="inlineStr">
        <is>
          <t>Nippon Express Holdings, Inc./ADR</t>
        </is>
      </c>
      <c r="C9583" t="inlineStr">
        <is>
          <t>OTC</t>
        </is>
      </c>
      <c r="D9583" t="n">
        <v>1985406</v>
      </c>
      <c r="E9583" t="inlineStr">
        <is>
          <t>SEC</t>
        </is>
      </c>
    </row>
    <row r="9584">
      <c r="A9584" s="5">
        <f>HYPERLINK("https://finance.yahoo.com/quote/BBCIW","BBCIW")</f>
        <v/>
      </c>
      <c r="B9584" t="inlineStr">
        <is>
          <t>Bradbury Capital Inc.</t>
        </is>
      </c>
      <c r="C9584" t="inlineStr">
        <is>
          <t>Nasdaq</t>
        </is>
      </c>
      <c r="D9584" t="n">
        <v>1986694</v>
      </c>
      <c r="E9584" t="inlineStr">
        <is>
          <t>SEC</t>
        </is>
      </c>
    </row>
    <row r="9585">
      <c r="A9585" s="5">
        <f>HYPERLINK("https://finance.yahoo.com/quote/GTENU","GTENU")</f>
        <v/>
      </c>
      <c r="B9585" t="inlineStr">
        <is>
          <t>Gores Holdings X, Inc. / CI</t>
        </is>
      </c>
      <c r="C9585" t="inlineStr">
        <is>
          <t>Nasdaq</t>
        </is>
      </c>
      <c r="D9585" t="n">
        <v>1986817</v>
      </c>
      <c r="E9585" t="inlineStr">
        <is>
          <t>SEC</t>
        </is>
      </c>
    </row>
    <row r="9586">
      <c r="A9586" s="5">
        <f>HYPERLINK("https://finance.yahoo.com/quote/GTENW","GTENW")</f>
        <v/>
      </c>
      <c r="B9586" t="inlineStr">
        <is>
          <t>Gores Holdings X, Inc. / CI</t>
        </is>
      </c>
      <c r="C9586" t="inlineStr">
        <is>
          <t>Nasdaq</t>
        </is>
      </c>
      <c r="D9586" t="n">
        <v>1986817</v>
      </c>
      <c r="E9586" t="inlineStr">
        <is>
          <t>SEC</t>
        </is>
      </c>
    </row>
    <row r="9587">
      <c r="A9587" s="5">
        <f>HYPERLINK("https://finance.yahoo.com/quote/SHMDW","SHMDW")</f>
        <v/>
      </c>
      <c r="B9587" t="inlineStr">
        <is>
          <t>SCHMID Group N.V.</t>
        </is>
      </c>
      <c r="C9587" t="inlineStr">
        <is>
          <t>Nasdaq</t>
        </is>
      </c>
      <c r="D9587" t="n">
        <v>1987240</v>
      </c>
      <c r="E9587" t="inlineStr">
        <is>
          <t>SEC</t>
        </is>
      </c>
    </row>
    <row r="9588">
      <c r="A9588" s="5">
        <f>HYPERLINK("https://finance.yahoo.com/quote/MRNOW","MRNOW")</f>
        <v/>
      </c>
      <c r="B9588" t="inlineStr">
        <is>
          <t>Murano Global Investments Plc</t>
        </is>
      </c>
      <c r="C9588" t="inlineStr">
        <is>
          <t>Nasdaq</t>
        </is>
      </c>
      <c r="D9588" t="n">
        <v>1988776</v>
      </c>
      <c r="E9588" t="inlineStr">
        <is>
          <t>SEC</t>
        </is>
      </c>
    </row>
    <row r="9589">
      <c r="A9589" s="5">
        <f>HYPERLINK("https://finance.yahoo.com/quote/GAFC","GAFC")</f>
        <v/>
      </c>
      <c r="B9589" t="inlineStr">
        <is>
          <t>Guru App Factory Corp</t>
        </is>
      </c>
      <c r="C9589" t="inlineStr">
        <is>
          <t>OTC</t>
        </is>
      </c>
      <c r="D9589" t="n">
        <v>1989788</v>
      </c>
      <c r="E9589" t="inlineStr">
        <is>
          <t>SEC</t>
        </is>
      </c>
    </row>
    <row r="9590">
      <c r="A9590" s="5">
        <f>HYPERLINK("https://finance.yahoo.com/quote/MKDWW","MKDWW")</f>
        <v/>
      </c>
      <c r="B9590" t="inlineStr">
        <is>
          <t>MKDWELL Tech Inc.</t>
        </is>
      </c>
      <c r="C9590" t="inlineStr">
        <is>
          <t>Nasdaq</t>
        </is>
      </c>
      <c r="D9590" t="n">
        <v>1991332</v>
      </c>
      <c r="E9590" t="inlineStr">
        <is>
          <t>SEC</t>
        </is>
      </c>
    </row>
    <row r="9591">
      <c r="A9591" s="5">
        <f>HYPERLINK("https://finance.yahoo.com/quote/NBNTS","NBNTS")</f>
        <v/>
      </c>
      <c r="B9591" t="inlineStr">
        <is>
          <t>Neptune REM, LLC</t>
        </is>
      </c>
      <c r="C9591" t="inlineStr">
        <is>
          <t>OTC</t>
        </is>
      </c>
      <c r="D9591" t="n">
        <v>1992001</v>
      </c>
      <c r="E9591" t="inlineStr">
        <is>
          <t>SEC</t>
        </is>
      </c>
    </row>
    <row r="9592">
      <c r="A9592" s="5">
        <f>HYPERLINK("https://finance.yahoo.com/quote/NPTDS","NPTDS")</f>
        <v/>
      </c>
      <c r="B9592" t="inlineStr">
        <is>
          <t>Neptune REM, LLC</t>
        </is>
      </c>
      <c r="C9592" t="inlineStr">
        <is>
          <t>OTC</t>
        </is>
      </c>
      <c r="D9592" t="n">
        <v>1992001</v>
      </c>
      <c r="E9592" t="inlineStr">
        <is>
          <t>SEC</t>
        </is>
      </c>
    </row>
    <row r="9593">
      <c r="A9593" s="5">
        <f>HYPERLINK("https://finance.yahoo.com/quote/ZOOZW","ZOOZW")</f>
        <v/>
      </c>
      <c r="B9593" t="inlineStr">
        <is>
          <t>ZOOZ Strategy Ltd.</t>
        </is>
      </c>
      <c r="C9593" t="inlineStr">
        <is>
          <t>Nasdaq</t>
        </is>
      </c>
      <c r="D9593" t="n">
        <v>1992818</v>
      </c>
      <c r="E9593" t="inlineStr">
        <is>
          <t>SEC</t>
        </is>
      </c>
    </row>
    <row r="9594">
      <c r="A9594" s="5">
        <f>HYPERLINK("https://finance.yahoo.com/quote/HNIT","HNIT")</f>
        <v/>
      </c>
      <c r="B9594" t="inlineStr">
        <is>
          <t>Huineng Technology Corp</t>
        </is>
      </c>
      <c r="C9594" t="inlineStr">
        <is>
          <t>OTC</t>
        </is>
      </c>
      <c r="D9594" t="n">
        <v>1994373</v>
      </c>
      <c r="E9594" t="inlineStr">
        <is>
          <t>SEC</t>
        </is>
      </c>
    </row>
    <row r="9595">
      <c r="A9595" s="5">
        <f>HYPERLINK("https://finance.yahoo.com/quote/OYCG","OYCG")</f>
        <v/>
      </c>
      <c r="B9595" t="inlineStr">
        <is>
          <t>Oyocar Group Inc.</t>
        </is>
      </c>
      <c r="C9595" t="inlineStr">
        <is>
          <t>OTC</t>
        </is>
      </c>
      <c r="D9595" t="n">
        <v>1994582</v>
      </c>
      <c r="E9595" t="inlineStr">
        <is>
          <t>SEC</t>
        </is>
      </c>
    </row>
    <row r="9596">
      <c r="A9596" s="5">
        <f>HYPERLINK("https://finance.yahoo.com/quote/SPHIF","SPHIF")</f>
        <v/>
      </c>
      <c r="B9596" t="inlineStr">
        <is>
          <t>SUPER HI INTERNATIONAL HOLDING LTD.</t>
        </is>
      </c>
      <c r="C9596" t="inlineStr">
        <is>
          <t>OTC</t>
        </is>
      </c>
      <c r="D9596" t="n">
        <v>1995306</v>
      </c>
      <c r="E9596" t="inlineStr">
        <is>
          <t>SEC</t>
        </is>
      </c>
    </row>
    <row r="9597">
      <c r="A9597" s="5">
        <f>HYPERLINK("https://finance.yahoo.com/quote/ESMR","ESMR")</f>
        <v/>
      </c>
      <c r="B9597" t="inlineStr">
        <is>
          <t>E-Smart Corp.</t>
        </is>
      </c>
      <c r="C9597" t="inlineStr">
        <is>
          <t>OTC</t>
        </is>
      </c>
      <c r="D9597" t="n">
        <v>1995920</v>
      </c>
      <c r="E9597" t="inlineStr">
        <is>
          <t>SEC</t>
        </is>
      </c>
    </row>
    <row r="9598">
      <c r="A9598" s="5">
        <f>HYPERLINK("https://finance.yahoo.com/quote/MDCXW","MDCXW")</f>
        <v/>
      </c>
      <c r="B9598" t="inlineStr">
        <is>
          <t>Medicus Pharma Ltd.</t>
        </is>
      </c>
      <c r="C9598" t="inlineStr">
        <is>
          <t>Nasdaq</t>
        </is>
      </c>
      <c r="D9598" t="n">
        <v>1997296</v>
      </c>
      <c r="E9598" t="inlineStr">
        <is>
          <t>SEC</t>
        </is>
      </c>
    </row>
    <row r="9599">
      <c r="A9599" s="5">
        <f>HYPERLINK("https://finance.yahoo.com/quote/TBNRL","TBNRL")</f>
        <v/>
      </c>
      <c r="B9599" t="inlineStr">
        <is>
          <t>Tamboran Resources Corp</t>
        </is>
      </c>
      <c r="C9599" t="inlineStr">
        <is>
          <t>OTC</t>
        </is>
      </c>
      <c r="D9599" t="n">
        <v>1997652</v>
      </c>
      <c r="E9599" t="inlineStr">
        <is>
          <t>SEC</t>
        </is>
      </c>
    </row>
    <row r="9600">
      <c r="A9600" s="5">
        <f>HYPERLINK("https://finance.yahoo.com/quote/PDPA","PDPA")</f>
        <v/>
      </c>
      <c r="B9600" t="inlineStr">
        <is>
          <t>Pearl Diver Credit Co Inc.</t>
        </is>
      </c>
      <c r="C9600" t="inlineStr">
        <is>
          <t>NYSE</t>
        </is>
      </c>
      <c r="D9600" t="n">
        <v>1998043</v>
      </c>
      <c r="E9600" t="inlineStr">
        <is>
          <t>SEC</t>
        </is>
      </c>
    </row>
    <row r="9601">
      <c r="A9601" s="5">
        <f>HYPERLINK("https://finance.yahoo.com/quote/IBACR","IBACR")</f>
        <v/>
      </c>
      <c r="B9601" t="inlineStr">
        <is>
          <t>IB Acquisition Corp.</t>
        </is>
      </c>
      <c r="C9601" t="inlineStr">
        <is>
          <t>Nasdaq</t>
        </is>
      </c>
      <c r="D9601" t="n">
        <v>1998781</v>
      </c>
      <c r="E9601" t="inlineStr">
        <is>
          <t>SEC</t>
        </is>
      </c>
    </row>
    <row r="9602">
      <c r="A9602" s="5">
        <f>HYPERLINK("https://finance.yahoo.com/quote/DSYWW","DSYWW")</f>
        <v/>
      </c>
      <c r="B9602" t="inlineStr">
        <is>
          <t>Big Tree Cloud Holdings Ltd</t>
        </is>
      </c>
      <c r="C9602" t="inlineStr">
        <is>
          <t>Nasdaq</t>
        </is>
      </c>
      <c r="D9602" t="n">
        <v>1999297</v>
      </c>
      <c r="E9602" t="inlineStr">
        <is>
          <t>SEC</t>
        </is>
      </c>
    </row>
    <row r="9603">
      <c r="A9603" s="5">
        <f>HYPERLINK("https://finance.yahoo.com/quote/SCAGW","SCAGW")</f>
        <v/>
      </c>
      <c r="B9603" t="inlineStr">
        <is>
          <t>Scage Future</t>
        </is>
      </c>
      <c r="C9603" t="inlineStr">
        <is>
          <t>Nasdaq</t>
        </is>
      </c>
      <c r="D9603" t="n">
        <v>2000366</v>
      </c>
      <c r="E9603" t="inlineStr">
        <is>
          <t>SEC</t>
        </is>
      </c>
    </row>
    <row r="9604">
      <c r="A9604" s="5">
        <f>HYPERLINK("https://finance.yahoo.com/quote/EURKR","EURKR")</f>
        <v/>
      </c>
      <c r="B9604" t="inlineStr">
        <is>
          <t>Eureka Acquisition Corp</t>
        </is>
      </c>
      <c r="C9604" t="inlineStr">
        <is>
          <t>Nasdaq</t>
        </is>
      </c>
      <c r="D9604" t="n">
        <v>2000410</v>
      </c>
      <c r="E9604" t="inlineStr">
        <is>
          <t>SEC</t>
        </is>
      </c>
    </row>
    <row r="9605">
      <c r="A9605" s="5">
        <f>HYPERLINK("https://finance.yahoo.com/quote/EURKU","EURKU")</f>
        <v/>
      </c>
      <c r="B9605" t="inlineStr">
        <is>
          <t>Eureka Acquisition Corp</t>
        </is>
      </c>
      <c r="C9605" t="inlineStr">
        <is>
          <t>Nasdaq</t>
        </is>
      </c>
      <c r="D9605" t="n">
        <v>2000410</v>
      </c>
      <c r="E9605" t="inlineStr">
        <is>
          <t>SEC</t>
        </is>
      </c>
    </row>
    <row r="9606">
      <c r="A9606" s="5">
        <f>HYPERLINK("https://finance.yahoo.com/quote/DVHGF","DVHGF")</f>
        <v/>
      </c>
      <c r="B9606" t="inlineStr">
        <is>
          <t>Devonian Health Group Inc.</t>
        </is>
      </c>
      <c r="C9606" t="inlineStr">
        <is>
          <t>OTC</t>
        </is>
      </c>
      <c r="D9606" t="n">
        <v>2000684</v>
      </c>
      <c r="E9606" t="inlineStr">
        <is>
          <t>SEC</t>
        </is>
      </c>
    </row>
    <row r="9607">
      <c r="A9607" s="5">
        <f>HYPERLINK("https://finance.yahoo.com/quote/NXATW","NXATW")</f>
        <v/>
      </c>
      <c r="B9607" t="inlineStr">
        <is>
          <t>Nexus Advanced Technologies Inc.</t>
        </is>
      </c>
      <c r="C9607" t="inlineStr">
        <is>
          <t>Nasdaq</t>
        </is>
      </c>
      <c r="D9607" t="n">
        <v>2000756</v>
      </c>
      <c r="E9607" t="inlineStr">
        <is>
          <t>SEC</t>
        </is>
      </c>
    </row>
    <row r="9608">
      <c r="A9608" s="5">
        <f>HYPERLINK("https://finance.yahoo.com/quote/BKHAR","BKHAR")</f>
        <v/>
      </c>
      <c r="B9608" t="inlineStr">
        <is>
          <t>Black Hawk Acquisition Corp</t>
        </is>
      </c>
      <c r="C9608" t="inlineStr">
        <is>
          <t>Nasdaq</t>
        </is>
      </c>
      <c r="D9608" t="n">
        <v>2000775</v>
      </c>
      <c r="E9608" t="inlineStr">
        <is>
          <t>SEC</t>
        </is>
      </c>
    </row>
    <row r="9609">
      <c r="A9609" s="5">
        <f>HYPERLINK("https://finance.yahoo.com/quote/BKHAU","BKHAU")</f>
        <v/>
      </c>
      <c r="B9609" t="inlineStr">
        <is>
          <t>Black Hawk Acquisition Corp</t>
        </is>
      </c>
      <c r="C9609" t="inlineStr">
        <is>
          <t>Nasdaq</t>
        </is>
      </c>
      <c r="D9609" t="n">
        <v>2000775</v>
      </c>
      <c r="E9609" t="inlineStr">
        <is>
          <t>SEC</t>
        </is>
      </c>
    </row>
    <row r="9610">
      <c r="A9610" s="5">
        <f>HYPERLINK("https://finance.yahoo.com/quote/MDXR","MDXR")</f>
        <v/>
      </c>
      <c r="B9610" t="inlineStr">
        <is>
          <t>MEDICAL EXERCISE INC.</t>
        </is>
      </c>
      <c r="C9610" t="inlineStr">
        <is>
          <t>OTC</t>
        </is>
      </c>
      <c r="D9610" t="n">
        <v>2001249</v>
      </c>
      <c r="E9610" t="inlineStr">
        <is>
          <t>SEC</t>
        </is>
      </c>
    </row>
    <row r="9611">
      <c r="A9611" s="5">
        <f>HYPERLINK("https://finance.yahoo.com/quote/INVLW","INVLW")</f>
        <v/>
      </c>
      <c r="B9611" t="inlineStr">
        <is>
          <t>Innventure, Inc.</t>
        </is>
      </c>
      <c r="C9611" t="inlineStr">
        <is>
          <t>OTC</t>
        </is>
      </c>
      <c r="D9611" t="n">
        <v>2001557</v>
      </c>
      <c r="E9611" t="inlineStr">
        <is>
          <t>SEC</t>
        </is>
      </c>
    </row>
    <row r="9612">
      <c r="A9612" s="5">
        <f>HYPERLINK("https://finance.yahoo.com/quote/HPAIW","HPAIW")</f>
        <v/>
      </c>
      <c r="B9612" t="inlineStr">
        <is>
          <t>Helport AI Ltd</t>
        </is>
      </c>
      <c r="C9612" t="inlineStr">
        <is>
          <t>Nasdaq</t>
        </is>
      </c>
      <c r="D9612" t="n">
        <v>2001699</v>
      </c>
      <c r="E9612" t="inlineStr">
        <is>
          <t>SEC</t>
        </is>
      </c>
    </row>
    <row r="9613">
      <c r="A9613" s="5">
        <f>HYPERLINK("https://finance.yahoo.com/quote/GCLWW","GCLWW")</f>
        <v/>
      </c>
      <c r="B9613" t="inlineStr">
        <is>
          <t>GCL Global Holdings Ltd</t>
        </is>
      </c>
      <c r="C9613" t="inlineStr">
        <is>
          <t>Nasdaq</t>
        </is>
      </c>
      <c r="D9613" t="n">
        <v>2002045</v>
      </c>
      <c r="E9613" t="inlineStr">
        <is>
          <t>SEC</t>
        </is>
      </c>
    </row>
    <row r="9614">
      <c r="A9614" s="5">
        <f>HYPERLINK("https://finance.yahoo.com/quote/MGSD","MGSD")</f>
        <v/>
      </c>
      <c r="B9614" t="inlineStr">
        <is>
          <t>Maitong Sunshine Cultural Development Co., Ltd</t>
        </is>
      </c>
      <c r="C9614" t="inlineStr">
        <is>
          <t>OTC</t>
        </is>
      </c>
      <c r="D9614" t="n">
        <v>2003750</v>
      </c>
      <c r="E9614" t="inlineStr">
        <is>
          <t>SEC</t>
        </is>
      </c>
    </row>
    <row r="9615">
      <c r="A9615" s="5">
        <f>HYPERLINK("https://finance.yahoo.com/quote/TLPPF","TLPPF")</f>
        <v/>
      </c>
      <c r="B9615" t="inlineStr">
        <is>
          <t>Telix Pharmaceuticals Ltd</t>
        </is>
      </c>
      <c r="C9615" t="inlineStr">
        <is>
          <t>OTC</t>
        </is>
      </c>
      <c r="D9615" t="n">
        <v>2007191</v>
      </c>
      <c r="E9615" t="inlineStr">
        <is>
          <t>SEC</t>
        </is>
      </c>
    </row>
    <row r="9616">
      <c r="A9616" s="5">
        <f>HYPERLINK("https://finance.yahoo.com/quote/INFQ-WT","INFQ-WT")</f>
        <v/>
      </c>
      <c r="B9616" t="inlineStr">
        <is>
          <t>Infleqtion, Inc.</t>
        </is>
      </c>
      <c r="C9616" t="inlineStr">
        <is>
          <t>NYSE</t>
        </is>
      </c>
      <c r="D9616" t="n">
        <v>2007825</v>
      </c>
      <c r="E9616" t="inlineStr">
        <is>
          <t>SEC</t>
        </is>
      </c>
    </row>
    <row r="9617">
      <c r="A9617" s="5">
        <f>HYPERLINK("https://finance.yahoo.com/quote/TACHU","TACHU")</f>
        <v/>
      </c>
      <c r="B9617" t="inlineStr">
        <is>
          <t>Titan Acquisition Corp.</t>
        </is>
      </c>
      <c r="C9617" t="inlineStr">
        <is>
          <t>Nasdaq</t>
        </is>
      </c>
      <c r="D9617" t="n">
        <v>2009183</v>
      </c>
      <c r="E9617" t="inlineStr">
        <is>
          <t>SEC</t>
        </is>
      </c>
    </row>
    <row r="9618">
      <c r="A9618" s="5">
        <f>HYPERLINK("https://finance.yahoo.com/quote/TACHW","TACHW")</f>
        <v/>
      </c>
      <c r="B9618" t="inlineStr">
        <is>
          <t>Titan Acquisition Corp.</t>
        </is>
      </c>
      <c r="C9618" t="inlineStr">
        <is>
          <t>Nasdaq</t>
        </is>
      </c>
      <c r="D9618" t="n">
        <v>2009183</v>
      </c>
      <c r="E9618" t="inlineStr">
        <is>
          <t>SEC</t>
        </is>
      </c>
    </row>
    <row r="9619">
      <c r="A9619" s="5">
        <f>HYPERLINK("https://finance.yahoo.com/quote/FVNNR","FVNNR")</f>
        <v/>
      </c>
      <c r="B9619" t="inlineStr">
        <is>
          <t>Future Vision II Acquisition Corp.</t>
        </is>
      </c>
      <c r="C9619" t="inlineStr">
        <is>
          <t>Nasdaq</t>
        </is>
      </c>
      <c r="D9619" t="n">
        <v>2010653</v>
      </c>
      <c r="E9619" t="inlineStr">
        <is>
          <t>SEC</t>
        </is>
      </c>
    </row>
    <row r="9620">
      <c r="A9620" s="5">
        <f>HYPERLINK("https://finance.yahoo.com/quote/FVNNU","FVNNU")</f>
        <v/>
      </c>
      <c r="B9620" t="inlineStr">
        <is>
          <t>Future Vision II Acquisition Corp.</t>
        </is>
      </c>
      <c r="C9620" t="inlineStr">
        <is>
          <t>Nasdaq</t>
        </is>
      </c>
      <c r="D9620" t="n">
        <v>2010653</v>
      </c>
      <c r="E9620" t="inlineStr">
        <is>
          <t>SEC</t>
        </is>
      </c>
    </row>
    <row r="9621">
      <c r="A9621" s="5">
        <f>HYPERLINK("https://finance.yahoo.com/quote/ALFUW","ALFUW")</f>
        <v/>
      </c>
      <c r="B9621" t="inlineStr">
        <is>
          <t>Centurion Acquisition Corp.</t>
        </is>
      </c>
      <c r="C9621" t="inlineStr">
        <is>
          <t>Nasdaq</t>
        </is>
      </c>
      <c r="D9621" t="n">
        <v>2010930</v>
      </c>
      <c r="E9621" t="inlineStr">
        <is>
          <t>SEC</t>
        </is>
      </c>
    </row>
    <row r="9622">
      <c r="A9622" s="5">
        <f>HYPERLINK("https://finance.yahoo.com/quote/PVIT","PVIT")</f>
        <v/>
      </c>
      <c r="B9622" t="inlineStr">
        <is>
          <t>Palisades Venture Inc.</t>
        </is>
      </c>
      <c r="C9622" t="inlineStr">
        <is>
          <t>OTC</t>
        </is>
      </c>
      <c r="D9622" t="n">
        <v>2010982</v>
      </c>
      <c r="E9622" t="inlineStr">
        <is>
          <t>SEC</t>
        </is>
      </c>
    </row>
    <row r="9623">
      <c r="A9623" s="5">
        <f>HYPERLINK("https://finance.yahoo.com/quote/KNIH","KNIH")</f>
        <v/>
      </c>
      <c r="B9623" t="inlineStr">
        <is>
          <t>Kioni Holdings Ltd</t>
        </is>
      </c>
      <c r="C9623" t="inlineStr">
        <is>
          <t>OTC</t>
        </is>
      </c>
      <c r="D9623" t="n">
        <v>2011134</v>
      </c>
      <c r="E9623" t="inlineStr">
        <is>
          <t>SEC</t>
        </is>
      </c>
    </row>
    <row r="9624">
      <c r="A9624" s="5">
        <f>HYPERLINK("https://finance.yahoo.com/quote/YDESW","YDESW")</f>
        <v/>
      </c>
      <c r="B9624" t="inlineStr">
        <is>
          <t>YD Bio Ltd</t>
        </is>
      </c>
      <c r="C9624" t="inlineStr">
        <is>
          <t>Nasdaq</t>
        </is>
      </c>
      <c r="D9624" t="n">
        <v>2011674</v>
      </c>
      <c r="E9624" t="inlineStr">
        <is>
          <t>SEC</t>
        </is>
      </c>
    </row>
    <row r="9625">
      <c r="A9625" s="5">
        <f>HYPERLINK("https://finance.yahoo.com/quote/RFAIR","RFAIR")</f>
        <v/>
      </c>
      <c r="B9625" t="inlineStr">
        <is>
          <t>RF Acquisition Corp II</t>
        </is>
      </c>
      <c r="C9625" t="inlineStr">
        <is>
          <t>Nasdaq</t>
        </is>
      </c>
      <c r="D9625" t="n">
        <v>2012807</v>
      </c>
      <c r="E9625" t="inlineStr">
        <is>
          <t>SEC</t>
        </is>
      </c>
    </row>
    <row r="9626">
      <c r="A9626" s="5">
        <f>HYPERLINK("https://finance.yahoo.com/quote/RFAIU","RFAIU")</f>
        <v/>
      </c>
      <c r="B9626" t="inlineStr">
        <is>
          <t>RF Acquisition Corp II</t>
        </is>
      </c>
      <c r="C9626" t="inlineStr">
        <is>
          <t>Nasdaq</t>
        </is>
      </c>
      <c r="D9626" t="n">
        <v>2012807</v>
      </c>
      <c r="E9626" t="inlineStr">
        <is>
          <t>SEC</t>
        </is>
      </c>
    </row>
    <row r="9627">
      <c r="A9627" s="5">
        <f>HYPERLINK("https://finance.yahoo.com/quote/TNMWF","TNMWF")</f>
        <v/>
      </c>
      <c r="B9627" t="inlineStr">
        <is>
          <t>TNL Mediagene</t>
        </is>
      </c>
      <c r="C9627" t="inlineStr">
        <is>
          <t>OTC</t>
        </is>
      </c>
      <c r="D9627" t="n">
        <v>2013186</v>
      </c>
      <c r="E9627" t="inlineStr">
        <is>
          <t>SEC</t>
        </is>
      </c>
    </row>
    <row r="9628">
      <c r="A9628" s="5">
        <f>HYPERLINK("https://finance.yahoo.com/quote/FOXXW","FOXXW")</f>
        <v/>
      </c>
      <c r="B9628" t="inlineStr">
        <is>
          <t>Foxx Development Holdings Inc.</t>
        </is>
      </c>
      <c r="C9628" t="inlineStr">
        <is>
          <t>Nasdaq</t>
        </is>
      </c>
      <c r="D9628" t="n">
        <v>2013807</v>
      </c>
      <c r="E9628" t="inlineStr">
        <is>
          <t>SEC</t>
        </is>
      </c>
    </row>
    <row r="9629">
      <c r="A9629" s="5">
        <f>HYPERLINK("https://finance.yahoo.com/quote/FSTWF","FSTWF")</f>
        <v/>
      </c>
      <c r="B9629" t="inlineStr">
        <is>
          <t>FST Corp.</t>
        </is>
      </c>
      <c r="C9629" t="inlineStr">
        <is>
          <t>OTC</t>
        </is>
      </c>
      <c r="D9629" t="n">
        <v>2014254</v>
      </c>
      <c r="E9629" t="inlineStr">
        <is>
          <t>SEC</t>
        </is>
      </c>
    </row>
    <row r="9630">
      <c r="A9630" s="5">
        <f>HYPERLINK("https://finance.yahoo.com/quote/SIMAW","SIMAW")</f>
        <v/>
      </c>
      <c r="B9630" t="inlineStr">
        <is>
          <t>SIM Acquisition Corp. I</t>
        </is>
      </c>
      <c r="C9630" t="inlineStr">
        <is>
          <t>Nasdaq</t>
        </is>
      </c>
      <c r="D9630" t="n">
        <v>2014982</v>
      </c>
      <c r="E9630" t="inlineStr">
        <is>
          <t>SEC</t>
        </is>
      </c>
    </row>
    <row r="9631">
      <c r="A9631" s="5">
        <f>HYPERLINK("https://finance.yahoo.com/quote/LPAAW","LPAAW")</f>
        <v/>
      </c>
      <c r="B9631" t="inlineStr">
        <is>
          <t>Launch One Acquisition Corp.</t>
        </is>
      </c>
      <c r="C9631" t="inlineStr">
        <is>
          <t>Nasdaq</t>
        </is>
      </c>
      <c r="D9631" t="n">
        <v>2015502</v>
      </c>
      <c r="E9631" t="inlineStr">
        <is>
          <t>SEC</t>
        </is>
      </c>
    </row>
    <row r="9632">
      <c r="A9632" s="5">
        <f>HYPERLINK("https://finance.yahoo.com/quote/SBXUF","SBXUF")</f>
        <v/>
      </c>
      <c r="B9632" t="inlineStr">
        <is>
          <t>SilverBox Corp IV</t>
        </is>
      </c>
      <c r="C9632" t="inlineStr">
        <is>
          <t>OTC</t>
        </is>
      </c>
      <c r="D9632" t="n">
        <v>2015947</v>
      </c>
      <c r="E9632" t="inlineStr">
        <is>
          <t>SEC</t>
        </is>
      </c>
    </row>
    <row r="9633">
      <c r="A9633" s="5">
        <f>HYPERLINK("https://finance.yahoo.com/quote/SBXWF","SBXWF")</f>
        <v/>
      </c>
      <c r="B9633" t="inlineStr">
        <is>
          <t>SilverBox Corp IV</t>
        </is>
      </c>
      <c r="C9633" t="inlineStr">
        <is>
          <t>OTC</t>
        </is>
      </c>
      <c r="D9633" t="n">
        <v>2015947</v>
      </c>
      <c r="E9633" t="inlineStr">
        <is>
          <t>SEC</t>
        </is>
      </c>
    </row>
    <row r="9634">
      <c r="A9634" s="5">
        <f>HYPERLINK("https://finance.yahoo.com/quote/CUBWU","CUBWU")</f>
        <v/>
      </c>
      <c r="B9634" t="inlineStr">
        <is>
          <t>Lionheart Holdings</t>
        </is>
      </c>
      <c r="C9634" t="inlineStr">
        <is>
          <t>Nasdaq</t>
        </is>
      </c>
      <c r="D9634" t="n">
        <v>2015955</v>
      </c>
      <c r="E9634" t="inlineStr">
        <is>
          <t>SEC</t>
        </is>
      </c>
    </row>
    <row r="9635">
      <c r="A9635" s="5">
        <f>HYPERLINK("https://finance.yahoo.com/quote/CUBWW","CUBWW")</f>
        <v/>
      </c>
      <c r="B9635" t="inlineStr">
        <is>
          <t>Lionheart Holdings</t>
        </is>
      </c>
      <c r="C9635" t="inlineStr">
        <is>
          <t>Nasdaq</t>
        </is>
      </c>
      <c r="D9635" t="n">
        <v>2015955</v>
      </c>
      <c r="E9635" t="inlineStr">
        <is>
          <t>SEC</t>
        </is>
      </c>
    </row>
    <row r="9636">
      <c r="A9636" s="5">
        <f>HYPERLINK("https://finance.yahoo.com/quote/VLOSU","VLOSU")</f>
        <v/>
      </c>
      <c r="B9636" t="inlineStr">
        <is>
          <t>Velos Acquisition I Corp.</t>
        </is>
      </c>
      <c r="C9636" t="inlineStr">
        <is>
          <t>Nasdaq</t>
        </is>
      </c>
      <c r="D9636" t="n">
        <v>2016072</v>
      </c>
      <c r="E9636" t="inlineStr">
        <is>
          <t>SEC</t>
        </is>
      </c>
    </row>
    <row r="9637">
      <c r="A9637" s="5">
        <f>HYPERLINK("https://finance.yahoo.com/quote/VLOSW","VLOSW")</f>
        <v/>
      </c>
      <c r="B9637" t="inlineStr">
        <is>
          <t>Velos Acquisition I Corp.</t>
        </is>
      </c>
      <c r="C9637" t="inlineStr">
        <is>
          <t>Nasdaq</t>
        </is>
      </c>
      <c r="D9637" t="n">
        <v>2016072</v>
      </c>
      <c r="E9637" t="inlineStr">
        <is>
          <t>SEC</t>
        </is>
      </c>
    </row>
    <row r="9638">
      <c r="A9638" s="5">
        <f>HYPERLINK("https://finance.yahoo.com/quote/TPTI","TPTI")</f>
        <v/>
      </c>
      <c r="B9638" t="inlineStr">
        <is>
          <t>Transit Pro Tech Inc.</t>
        </is>
      </c>
      <c r="C9638" t="inlineStr">
        <is>
          <t>OTC</t>
        </is>
      </c>
      <c r="D9638" t="n">
        <v>2016167</v>
      </c>
      <c r="E9638" t="inlineStr">
        <is>
          <t>SEC</t>
        </is>
      </c>
    </row>
    <row r="9639">
      <c r="A9639" s="5">
        <f>HYPERLINK("https://finance.yahoo.com/quote/MACIU","MACIU")</f>
        <v/>
      </c>
      <c r="B9639" t="inlineStr">
        <is>
          <t>Melar Acquisition Corp. I/Cayman</t>
        </is>
      </c>
      <c r="C9639" t="inlineStr">
        <is>
          <t>Nasdaq</t>
        </is>
      </c>
      <c r="D9639" t="n">
        <v>2016221</v>
      </c>
      <c r="E9639" t="inlineStr">
        <is>
          <t>SEC</t>
        </is>
      </c>
    </row>
    <row r="9640">
      <c r="A9640" s="5">
        <f>HYPERLINK("https://finance.yahoo.com/quote/MACIW","MACIW")</f>
        <v/>
      </c>
      <c r="B9640" t="inlineStr">
        <is>
          <t>Melar Acquisition Corp. I/Cayman</t>
        </is>
      </c>
      <c r="C9640" t="inlineStr">
        <is>
          <t>Nasdaq</t>
        </is>
      </c>
      <c r="D9640" t="n">
        <v>2016221</v>
      </c>
      <c r="E9640" t="inlineStr">
        <is>
          <t>SEC</t>
        </is>
      </c>
    </row>
    <row r="9641">
      <c r="A9641" s="5">
        <f>HYPERLINK("https://finance.yahoo.com/quote/DTSQR","DTSQR")</f>
        <v/>
      </c>
      <c r="B9641" t="inlineStr">
        <is>
          <t>DT Cloud Star Acquisition Corp</t>
        </is>
      </c>
      <c r="C9641" t="inlineStr">
        <is>
          <t>Nasdaq</t>
        </is>
      </c>
      <c r="D9641" t="n">
        <v>2017950</v>
      </c>
      <c r="E9641" t="inlineStr">
        <is>
          <t>SEC</t>
        </is>
      </c>
    </row>
    <row r="9642">
      <c r="A9642" s="5">
        <f>HYPERLINK("https://finance.yahoo.com/quote/DTSQU","DTSQU")</f>
        <v/>
      </c>
      <c r="B9642" t="inlineStr">
        <is>
          <t>DT Cloud Star Acquisition Corp</t>
        </is>
      </c>
      <c r="C9642" t="inlineStr">
        <is>
          <t>Nasdaq</t>
        </is>
      </c>
      <c r="D9642" t="n">
        <v>2017950</v>
      </c>
      <c r="E9642" t="inlineStr">
        <is>
          <t>SEC</t>
        </is>
      </c>
    </row>
    <row r="9643">
      <c r="A9643" s="5">
        <f>HYPERLINK("https://finance.yahoo.com/quote/TYHOF","TYHOF")</f>
        <v/>
      </c>
      <c r="B9643" t="inlineStr">
        <is>
          <t>Toyota Tsusho Corporation/ADR</t>
        </is>
      </c>
      <c r="C9643" t="inlineStr">
        <is>
          <t>OTC</t>
        </is>
      </c>
      <c r="D9643" t="n">
        <v>2018139</v>
      </c>
      <c r="E9643" t="inlineStr">
        <is>
          <t>SEC</t>
        </is>
      </c>
    </row>
    <row r="9644">
      <c r="A9644" s="5">
        <f>HYPERLINK("https://finance.yahoo.com/quote/RDACR","RDACR")</f>
        <v/>
      </c>
      <c r="B9644" t="inlineStr">
        <is>
          <t>Rising Dragon Acquisition Corp.</t>
        </is>
      </c>
      <c r="C9644" t="inlineStr">
        <is>
          <t>Nasdaq</t>
        </is>
      </c>
      <c r="D9644" t="n">
        <v>2018145</v>
      </c>
      <c r="E9644" t="inlineStr">
        <is>
          <t>SEC</t>
        </is>
      </c>
    </row>
    <row r="9645">
      <c r="A9645" s="5">
        <f>HYPERLINK("https://finance.yahoo.com/quote/RDACU","RDACU")</f>
        <v/>
      </c>
      <c r="B9645" t="inlineStr">
        <is>
          <t>Rising Dragon Acquisition Corp.</t>
        </is>
      </c>
      <c r="C9645" t="inlineStr">
        <is>
          <t>Nasdaq</t>
        </is>
      </c>
      <c r="D9645" t="n">
        <v>2018145</v>
      </c>
      <c r="E9645" t="inlineStr">
        <is>
          <t>SEC</t>
        </is>
      </c>
    </row>
    <row r="9646">
      <c r="A9646" s="5">
        <f>HYPERLINK("https://finance.yahoo.com/quote/STTPF","STTPF")</f>
        <v/>
      </c>
      <c r="B9646" t="inlineStr">
        <is>
          <t>SCHOTT Pharma AG &amp; Co. KGaA/ADR</t>
        </is>
      </c>
      <c r="C9646" t="inlineStr">
        <is>
          <t>OTC</t>
        </is>
      </c>
      <c r="D9646" t="n">
        <v>2018852</v>
      </c>
      <c r="E9646" t="inlineStr">
        <is>
          <t>SEC</t>
        </is>
      </c>
    </row>
    <row r="9647">
      <c r="A9647" s="5">
        <f>HYPERLINK("https://finance.yahoo.com/quote/BGLWW","BGLWW")</f>
        <v/>
      </c>
      <c r="B9647" t="inlineStr">
        <is>
          <t>Blue Gold Ltd</t>
        </is>
      </c>
      <c r="C9647" t="inlineStr">
        <is>
          <t>Nasdaq</t>
        </is>
      </c>
      <c r="D9647" t="n">
        <v>2019435</v>
      </c>
      <c r="E9647" t="inlineStr">
        <is>
          <t>SEC</t>
        </is>
      </c>
    </row>
    <row r="9648">
      <c r="A9648" s="5">
        <f>HYPERLINK("https://finance.yahoo.com/quote/IMSRW","IMSRW")</f>
        <v/>
      </c>
      <c r="B9648" t="inlineStr">
        <is>
          <t>Terrestrial Energy Inc. /DE/</t>
        </is>
      </c>
      <c r="C9648" t="inlineStr">
        <is>
          <t>Nasdaq</t>
        </is>
      </c>
      <c r="D9648" t="n">
        <v>2019804</v>
      </c>
      <c r="E9648" t="inlineStr">
        <is>
          <t>SEC</t>
        </is>
      </c>
    </row>
    <row r="9649">
      <c r="A9649" s="5">
        <f>HYPERLINK("https://finance.yahoo.com/quote/TAVIR","TAVIR")</f>
        <v/>
      </c>
      <c r="B9649" t="inlineStr">
        <is>
          <t>Tavia Acquisition Corp.</t>
        </is>
      </c>
      <c r="C9649" t="inlineStr">
        <is>
          <t>Nasdaq</t>
        </is>
      </c>
      <c r="D9649" t="n">
        <v>2020385</v>
      </c>
      <c r="E9649" t="inlineStr">
        <is>
          <t>SEC</t>
        </is>
      </c>
    </row>
    <row r="9650">
      <c r="A9650" s="5">
        <f>HYPERLINK("https://finance.yahoo.com/quote/TAVIU","TAVIU")</f>
        <v/>
      </c>
      <c r="B9650" t="inlineStr">
        <is>
          <t>Tavia Acquisition Corp.</t>
        </is>
      </c>
      <c r="C9650" t="inlineStr">
        <is>
          <t>Nasdaq</t>
        </is>
      </c>
      <c r="D9650" t="n">
        <v>2020385</v>
      </c>
      <c r="E9650" t="inlineStr">
        <is>
          <t>SEC</t>
        </is>
      </c>
    </row>
    <row r="9651">
      <c r="A9651" s="5">
        <f>HYPERLINK("https://finance.yahoo.com/quote/DSFT","DSFT")</f>
        <v/>
      </c>
      <c r="B9651" t="inlineStr">
        <is>
          <t>DeltaSoft Corp</t>
        </is>
      </c>
      <c r="C9651" t="inlineStr">
        <is>
          <t>OTC</t>
        </is>
      </c>
      <c r="D9651" t="n">
        <v>2020919</v>
      </c>
      <c r="E9651" t="inlineStr">
        <is>
          <t>SEC</t>
        </is>
      </c>
    </row>
    <row r="9652">
      <c r="A9652" s="5">
        <f>HYPERLINK("https://finance.yahoo.com/quote/YHNAR","YHNAR")</f>
        <v/>
      </c>
      <c r="B9652" t="inlineStr">
        <is>
          <t>YHN Acquisition I Ltd</t>
        </is>
      </c>
      <c r="C9652" t="inlineStr">
        <is>
          <t>Nasdaq</t>
        </is>
      </c>
      <c r="D9652" t="n">
        <v>2020987</v>
      </c>
      <c r="E9652" t="inlineStr">
        <is>
          <t>SEC</t>
        </is>
      </c>
    </row>
    <row r="9653">
      <c r="A9653" s="5">
        <f>HYPERLINK("https://finance.yahoo.com/quote/YHNAU","YHNAU")</f>
        <v/>
      </c>
      <c r="B9653" t="inlineStr">
        <is>
          <t>YHN Acquisition I Ltd</t>
        </is>
      </c>
      <c r="C9653" t="inlineStr">
        <is>
          <t>Nasdaq</t>
        </is>
      </c>
      <c r="D9653" t="n">
        <v>2020987</v>
      </c>
      <c r="E9653" t="inlineStr">
        <is>
          <t>SEC</t>
        </is>
      </c>
    </row>
    <row r="9654">
      <c r="A9654" s="5">
        <f>HYPERLINK("https://finance.yahoo.com/quote/GDERF","GDERF")</f>
        <v/>
      </c>
      <c r="B9654" t="inlineStr">
        <is>
          <t>Galderma Group AG/ADR</t>
        </is>
      </c>
      <c r="C9654" t="inlineStr">
        <is>
          <t>OTC</t>
        </is>
      </c>
      <c r="D9654" t="n">
        <v>2021390</v>
      </c>
      <c r="E9654" t="inlineStr">
        <is>
          <t>SEC</t>
        </is>
      </c>
    </row>
    <row r="9655">
      <c r="A9655" s="5">
        <f>HYPERLINK("https://finance.yahoo.com/quote/SNNRF","SNNRF")</f>
        <v/>
      </c>
      <c r="B9655" t="inlineStr">
        <is>
          <t>Sunrise Communications AG</t>
        </is>
      </c>
      <c r="C9655" t="inlineStr">
        <is>
          <t>OTC</t>
        </is>
      </c>
      <c r="D9655" t="n">
        <v>2021938</v>
      </c>
      <c r="E9655" t="inlineStr">
        <is>
          <t>SEC</t>
        </is>
      </c>
    </row>
    <row r="9656">
      <c r="A9656" s="5">
        <f>HYPERLINK("https://finance.yahoo.com/quote/AGMWF","AGMWF")</f>
        <v/>
      </c>
      <c r="B9656" t="inlineStr">
        <is>
          <t>Silver Mountain Resources, Inc.</t>
        </is>
      </c>
      <c r="C9656" t="inlineStr">
        <is>
          <t>OTC</t>
        </is>
      </c>
      <c r="D9656" t="n">
        <v>2022059</v>
      </c>
      <c r="E9656" t="inlineStr">
        <is>
          <t>SEC</t>
        </is>
      </c>
    </row>
    <row r="9657">
      <c r="A9657" s="5">
        <f>HYPERLINK("https://finance.yahoo.com/quote/KIDZW","KIDZW")</f>
        <v/>
      </c>
      <c r="B9657" t="inlineStr">
        <is>
          <t>KIDZ AI Inc.</t>
        </is>
      </c>
      <c r="C9657" t="inlineStr">
        <is>
          <t>Nasdaq</t>
        </is>
      </c>
      <c r="D9657" t="n">
        <v>2022308</v>
      </c>
      <c r="E9657" t="inlineStr">
        <is>
          <t>SEC</t>
        </is>
      </c>
    </row>
    <row r="9658">
      <c r="A9658" s="5">
        <f>HYPERLINK("https://finance.yahoo.com/quote/SLXNW","SLXNW")</f>
        <v/>
      </c>
      <c r="B9658" t="inlineStr">
        <is>
          <t>Silexion Therapeutics Corp</t>
        </is>
      </c>
      <c r="C9658" t="inlineStr">
        <is>
          <t>Nasdaq</t>
        </is>
      </c>
      <c r="D9658" t="n">
        <v>2022416</v>
      </c>
      <c r="E9658" t="inlineStr">
        <is>
          <t>SEC</t>
        </is>
      </c>
    </row>
    <row r="9659">
      <c r="A9659" s="5">
        <f>HYPERLINK("https://finance.yahoo.com/quote/LPBBU","LPBBU")</f>
        <v/>
      </c>
      <c r="B9659" t="inlineStr">
        <is>
          <t>Launch Two Acquisition Corp.</t>
        </is>
      </c>
      <c r="C9659" t="inlineStr">
        <is>
          <t>Nasdaq</t>
        </is>
      </c>
      <c r="D9659" t="n">
        <v>2023676</v>
      </c>
      <c r="E9659" t="inlineStr">
        <is>
          <t>SEC</t>
        </is>
      </c>
    </row>
    <row r="9660">
      <c r="A9660" s="5">
        <f>HYPERLINK("https://finance.yahoo.com/quote/LPBBW","LPBBW")</f>
        <v/>
      </c>
      <c r="B9660" t="inlineStr">
        <is>
          <t>Launch Two Acquisition Corp.</t>
        </is>
      </c>
      <c r="C9660" t="inlineStr">
        <is>
          <t>Nasdaq</t>
        </is>
      </c>
      <c r="D9660" t="n">
        <v>2023676</v>
      </c>
      <c r="E9660" t="inlineStr">
        <is>
          <t>SEC</t>
        </is>
      </c>
    </row>
    <row r="9661">
      <c r="A9661" s="5">
        <f>HYPERLINK("https://finance.yahoo.com/quote/HDRNW","HDRNW")</f>
        <v/>
      </c>
      <c r="B9661" t="inlineStr">
        <is>
          <t>Hadron Energy, Inc.</t>
        </is>
      </c>
      <c r="C9661" t="inlineStr">
        <is>
          <t>Nasdaq</t>
        </is>
      </c>
      <c r="D9661" t="n">
        <v>2023730</v>
      </c>
      <c r="E9661" t="inlineStr">
        <is>
          <t>SEC</t>
        </is>
      </c>
    </row>
    <row r="9662">
      <c r="A9662" s="5">
        <f>HYPERLINK("https://finance.yahoo.com/quote/CAPNR","CAPNR")</f>
        <v/>
      </c>
      <c r="B9662" t="inlineStr">
        <is>
          <t>Cayson Acquisition Corp</t>
        </is>
      </c>
      <c r="C9662" t="inlineStr">
        <is>
          <t>Nasdaq</t>
        </is>
      </c>
      <c r="D9662" t="n">
        <v>2024203</v>
      </c>
      <c r="E9662" t="inlineStr">
        <is>
          <t>SEC</t>
        </is>
      </c>
    </row>
    <row r="9663">
      <c r="A9663" s="5">
        <f>HYPERLINK("https://finance.yahoo.com/quote/CAPNU","CAPNU")</f>
        <v/>
      </c>
      <c r="B9663" t="inlineStr">
        <is>
          <t>Cayson Acquisition Corp</t>
        </is>
      </c>
      <c r="C9663" t="inlineStr">
        <is>
          <t>Nasdaq</t>
        </is>
      </c>
      <c r="D9663" t="n">
        <v>2024203</v>
      </c>
      <c r="E9663" t="inlineStr">
        <is>
          <t>SEC</t>
        </is>
      </c>
    </row>
    <row r="9664">
      <c r="A9664" s="5">
        <f>HYPERLINK("https://finance.yahoo.com/quote/CHARR","CHARR")</f>
        <v/>
      </c>
      <c r="B9664" t="inlineStr">
        <is>
          <t>Charlton Aria Acquisition Corp</t>
        </is>
      </c>
      <c r="C9664" t="inlineStr">
        <is>
          <t>Nasdaq</t>
        </is>
      </c>
      <c r="D9664" t="n">
        <v>2024459</v>
      </c>
      <c r="E9664" t="inlineStr">
        <is>
          <t>SEC</t>
        </is>
      </c>
    </row>
    <row r="9665">
      <c r="A9665" s="5">
        <f>HYPERLINK("https://finance.yahoo.com/quote/CHARU","CHARU")</f>
        <v/>
      </c>
      <c r="B9665" t="inlineStr">
        <is>
          <t>Charlton Aria Acquisition Corp</t>
        </is>
      </c>
      <c r="C9665" t="inlineStr">
        <is>
          <t>Nasdaq</t>
        </is>
      </c>
      <c r="D9665" t="n">
        <v>2024459</v>
      </c>
      <c r="E9665" t="inlineStr">
        <is>
          <t>SEC</t>
        </is>
      </c>
    </row>
    <row r="9666">
      <c r="A9666" s="5">
        <f>HYPERLINK("https://finance.yahoo.com/quote/CHPGR","CHPGR")</f>
        <v/>
      </c>
      <c r="B9666" t="inlineStr">
        <is>
          <t>ChampionsGate Acquisition Corp</t>
        </is>
      </c>
      <c r="C9666" t="inlineStr">
        <is>
          <t>Nasdaq</t>
        </is>
      </c>
      <c r="D9666" t="n">
        <v>2024460</v>
      </c>
      <c r="E9666" t="inlineStr">
        <is>
          <t>SEC</t>
        </is>
      </c>
    </row>
    <row r="9667">
      <c r="A9667" s="5">
        <f>HYPERLINK("https://finance.yahoo.com/quote/CHPGU","CHPGU")</f>
        <v/>
      </c>
      <c r="B9667" t="inlineStr">
        <is>
          <t>ChampionsGate Acquisition Corp</t>
        </is>
      </c>
      <c r="C9667" t="inlineStr">
        <is>
          <t>Nasdaq</t>
        </is>
      </c>
      <c r="D9667" t="n">
        <v>2024460</v>
      </c>
      <c r="E9667" t="inlineStr">
        <is>
          <t>SEC</t>
        </is>
      </c>
    </row>
    <row r="9668">
      <c r="A9668" s="5">
        <f>HYPERLINK("https://finance.yahoo.com/quote/POLEU","POLEU")</f>
        <v/>
      </c>
      <c r="B9668" t="inlineStr">
        <is>
          <t>Andretti Acquisition Corp. II</t>
        </is>
      </c>
      <c r="C9668" t="inlineStr">
        <is>
          <t>Nasdaq</t>
        </is>
      </c>
      <c r="D9668" t="n">
        <v>2025341</v>
      </c>
      <c r="E9668" t="inlineStr">
        <is>
          <t>SEC</t>
        </is>
      </c>
    </row>
    <row r="9669">
      <c r="A9669" s="5">
        <f>HYPERLINK("https://finance.yahoo.com/quote/POLEW","POLEW")</f>
        <v/>
      </c>
      <c r="B9669" t="inlineStr">
        <is>
          <t>Andretti Acquisition Corp. II</t>
        </is>
      </c>
      <c r="C9669" t="inlineStr">
        <is>
          <t>Nasdaq</t>
        </is>
      </c>
      <c r="D9669" t="n">
        <v>2025341</v>
      </c>
      <c r="E9669" t="inlineStr">
        <is>
          <t>SEC</t>
        </is>
      </c>
    </row>
    <row r="9670">
      <c r="A9670" s="5">
        <f>HYPERLINK("https://finance.yahoo.com/quote/FERAR","FERAR")</f>
        <v/>
      </c>
      <c r="B9670" t="inlineStr">
        <is>
          <t>Fifth Era Acquisition Corp I</t>
        </is>
      </c>
      <c r="C9670" t="inlineStr">
        <is>
          <t>Nasdaq</t>
        </is>
      </c>
      <c r="D9670" t="n">
        <v>2025401</v>
      </c>
      <c r="E9670" t="inlineStr">
        <is>
          <t>SEC</t>
        </is>
      </c>
    </row>
    <row r="9671">
      <c r="A9671" s="5">
        <f>HYPERLINK("https://finance.yahoo.com/quote/FERAU","FERAU")</f>
        <v/>
      </c>
      <c r="B9671" t="inlineStr">
        <is>
          <t>Fifth Era Acquisition Corp I</t>
        </is>
      </c>
      <c r="C9671" t="inlineStr">
        <is>
          <t>Nasdaq</t>
        </is>
      </c>
      <c r="D9671" t="n">
        <v>2025401</v>
      </c>
      <c r="E9671" t="inlineStr">
        <is>
          <t>SEC</t>
        </is>
      </c>
    </row>
    <row r="9672">
      <c r="A9672" s="5">
        <f>HYPERLINK("https://finance.yahoo.com/quote/SOUL-RI","SOUL-RI")</f>
        <v/>
      </c>
      <c r="B9672" t="inlineStr">
        <is>
          <t>Soulpower Acquisition Corp.</t>
        </is>
      </c>
      <c r="C9672" t="inlineStr">
        <is>
          <t>NYSE</t>
        </is>
      </c>
      <c r="D9672" t="n">
        <v>2025608</v>
      </c>
      <c r="E9672" t="inlineStr">
        <is>
          <t>SEC</t>
        </is>
      </c>
    </row>
    <row r="9673">
      <c r="A9673" s="5">
        <f>HYPERLINK("https://finance.yahoo.com/quote/SOUL-UN","SOUL-UN")</f>
        <v/>
      </c>
      <c r="B9673" t="inlineStr">
        <is>
          <t>Soulpower Acquisition Corp.</t>
        </is>
      </c>
      <c r="C9673" t="inlineStr">
        <is>
          <t>NYSE</t>
        </is>
      </c>
      <c r="D9673" t="n">
        <v>2025608</v>
      </c>
      <c r="E9673" t="inlineStr">
        <is>
          <t>SEC</t>
        </is>
      </c>
    </row>
    <row r="9674">
      <c r="A9674" s="5">
        <f>HYPERLINK("https://finance.yahoo.com/quote/ALPWF","ALPWF")</f>
        <v/>
      </c>
      <c r="B9674" t="inlineStr">
        <is>
          <t>Alps Group Inc</t>
        </is>
      </c>
      <c r="C9674" t="inlineStr">
        <is>
          <t>OTC</t>
        </is>
      </c>
      <c r="D9674" t="n">
        <v>2025774</v>
      </c>
      <c r="E9674" t="inlineStr">
        <is>
          <t>SEC</t>
        </is>
      </c>
    </row>
    <row r="9675">
      <c r="A9675" s="5">
        <f>HYPERLINK("https://finance.yahoo.com/quote/ITXP","ITXP")</f>
        <v/>
      </c>
      <c r="B9675" t="inlineStr">
        <is>
          <t>Independence Power Holdings, Inc.</t>
        </is>
      </c>
      <c r="C9675" t="inlineStr">
        <is>
          <t>OTC</t>
        </is>
      </c>
      <c r="D9675" t="n">
        <v>2025878</v>
      </c>
      <c r="E9675" t="inlineStr">
        <is>
          <t>SEC</t>
        </is>
      </c>
    </row>
    <row r="9676">
      <c r="A9676" s="5">
        <f>HYPERLINK("https://finance.yahoo.com/quote/NAMMW","NAMMW")</f>
        <v/>
      </c>
      <c r="B9676" t="inlineStr">
        <is>
          <t>Namib Minerals</t>
        </is>
      </c>
      <c r="C9676" t="inlineStr">
        <is>
          <t>Nasdaq</t>
        </is>
      </c>
      <c r="D9676" t="n">
        <v>2026514</v>
      </c>
      <c r="E9676" t="inlineStr">
        <is>
          <t>SEC</t>
        </is>
      </c>
    </row>
    <row r="9677">
      <c r="A9677" s="5">
        <f>HYPERLINK("https://finance.yahoo.com/quote/ALISR","ALISR")</f>
        <v/>
      </c>
      <c r="B9677" t="inlineStr">
        <is>
          <t>Calisa Acquisition Corp</t>
        </is>
      </c>
      <c r="C9677" t="inlineStr">
        <is>
          <t>Nasdaq</t>
        </is>
      </c>
      <c r="D9677" t="n">
        <v>2026767</v>
      </c>
      <c r="E9677" t="inlineStr">
        <is>
          <t>SEC</t>
        </is>
      </c>
    </row>
    <row r="9678">
      <c r="A9678" s="5">
        <f>HYPERLINK("https://finance.yahoo.com/quote/ALISU","ALISU")</f>
        <v/>
      </c>
      <c r="B9678" t="inlineStr">
        <is>
          <t>Calisa Acquisition Corp</t>
        </is>
      </c>
      <c r="C9678" t="inlineStr">
        <is>
          <t>Nasdaq</t>
        </is>
      </c>
      <c r="D9678" t="n">
        <v>2026767</v>
      </c>
      <c r="E9678" t="inlineStr">
        <is>
          <t>SEC</t>
        </is>
      </c>
    </row>
    <row r="9679">
      <c r="A9679" s="5">
        <f>HYPERLINK("https://finance.yahoo.com/quote/SGIPF","SGIPF")</f>
        <v/>
      </c>
      <c r="B9679" t="inlineStr">
        <is>
          <t>Sugi Holdings Co., Ltd./ADR</t>
        </is>
      </c>
      <c r="C9679" t="inlineStr">
        <is>
          <t>OTC</t>
        </is>
      </c>
      <c r="D9679" t="n">
        <v>2027330</v>
      </c>
      <c r="E9679" t="inlineStr">
        <is>
          <t>SEC</t>
        </is>
      </c>
    </row>
    <row r="9680">
      <c r="A9680" s="5">
        <f>HYPERLINK("https://finance.yahoo.com/quote/NTWOU","NTWOU")</f>
        <v/>
      </c>
      <c r="B9680" t="inlineStr">
        <is>
          <t>Newbury Street II Acquisition Corp</t>
        </is>
      </c>
      <c r="C9680" t="inlineStr">
        <is>
          <t>Nasdaq</t>
        </is>
      </c>
      <c r="D9680" t="n">
        <v>2028027</v>
      </c>
      <c r="E9680" t="inlineStr">
        <is>
          <t>SEC</t>
        </is>
      </c>
    </row>
    <row r="9681">
      <c r="A9681" s="5">
        <f>HYPERLINK("https://finance.yahoo.com/quote/NTWOW","NTWOW")</f>
        <v/>
      </c>
      <c r="B9681" t="inlineStr">
        <is>
          <t>Newbury Street II Acquisition Corp</t>
        </is>
      </c>
      <c r="C9681" t="inlineStr">
        <is>
          <t>Nasdaq</t>
        </is>
      </c>
      <c r="D9681" t="n">
        <v>2028027</v>
      </c>
      <c r="E9681" t="inlineStr">
        <is>
          <t>SEC</t>
        </is>
      </c>
    </row>
    <row r="9682">
      <c r="A9682" s="5">
        <f>HYPERLINK("https://finance.yahoo.com/quote/RAINW","RAINW")</f>
        <v/>
      </c>
      <c r="B9682" t="inlineStr">
        <is>
          <t>Rain Enhancement Technologies Holdco, Inc.</t>
        </is>
      </c>
      <c r="C9682" t="inlineStr">
        <is>
          <t>Nasdaq</t>
        </is>
      </c>
      <c r="D9682" t="n">
        <v>2028293</v>
      </c>
      <c r="E9682" t="inlineStr">
        <is>
          <t>SEC</t>
        </is>
      </c>
    </row>
    <row r="9683">
      <c r="A9683" s="5">
        <f>HYPERLINK("https://finance.yahoo.com/quote/NUAIW","NUAIW")</f>
        <v/>
      </c>
      <c r="B9683" t="inlineStr">
        <is>
          <t>New ERA Energy &amp; Digital, Inc.</t>
        </is>
      </c>
      <c r="C9683" t="inlineStr">
        <is>
          <t>Nasdaq</t>
        </is>
      </c>
      <c r="D9683" t="n">
        <v>2028336</v>
      </c>
      <c r="E9683" t="inlineStr">
        <is>
          <t>SEC</t>
        </is>
      </c>
    </row>
    <row r="9684">
      <c r="A9684" s="5">
        <f>HYPERLINK("https://finance.yahoo.com/quote/ATIIU","ATIIU")</f>
        <v/>
      </c>
      <c r="B9684" t="inlineStr">
        <is>
          <t>Archimedes Tech SPAC Partners II Co.</t>
        </is>
      </c>
      <c r="C9684" t="inlineStr">
        <is>
          <t>Nasdaq</t>
        </is>
      </c>
      <c r="D9684" t="n">
        <v>2028516</v>
      </c>
      <c r="E9684" t="inlineStr">
        <is>
          <t>SEC</t>
        </is>
      </c>
    </row>
    <row r="9685">
      <c r="A9685" s="5">
        <f>HYPERLINK("https://finance.yahoo.com/quote/ATIIW","ATIIW")</f>
        <v/>
      </c>
      <c r="B9685" t="inlineStr">
        <is>
          <t>Archimedes Tech SPAC Partners II Co.</t>
        </is>
      </c>
      <c r="C9685" t="inlineStr">
        <is>
          <t>Nasdaq</t>
        </is>
      </c>
      <c r="D9685" t="n">
        <v>2028516</v>
      </c>
      <c r="E9685" t="inlineStr">
        <is>
          <t>SEC</t>
        </is>
      </c>
    </row>
    <row r="9686">
      <c r="A9686" s="5">
        <f>HYPERLINK("https://finance.yahoo.com/quote/DMAAR","DMAAR")</f>
        <v/>
      </c>
      <c r="B9686" t="inlineStr">
        <is>
          <t>Drugs Made In America Acquisition Corp.</t>
        </is>
      </c>
      <c r="C9686" t="inlineStr">
        <is>
          <t>Nasdaq</t>
        </is>
      </c>
      <c r="D9686" t="n">
        <v>2028614</v>
      </c>
      <c r="E9686" t="inlineStr">
        <is>
          <t>SEC</t>
        </is>
      </c>
    </row>
    <row r="9687">
      <c r="A9687" s="5">
        <f>HYPERLINK("https://finance.yahoo.com/quote/DMAAU","DMAAU")</f>
        <v/>
      </c>
      <c r="B9687" t="inlineStr">
        <is>
          <t>Drugs Made In America Acquisition Corp.</t>
        </is>
      </c>
      <c r="C9687" t="inlineStr">
        <is>
          <t>Nasdaq</t>
        </is>
      </c>
      <c r="D9687" t="n">
        <v>2028614</v>
      </c>
      <c r="E9687" t="inlineStr">
        <is>
          <t>SEC</t>
        </is>
      </c>
    </row>
    <row r="9688">
      <c r="A9688" s="5">
        <f>HYPERLINK("https://finance.yahoo.com/quote/DYNCU","DYNCU")</f>
        <v/>
      </c>
      <c r="B9688" t="inlineStr">
        <is>
          <t>Dynamix Corp</t>
        </is>
      </c>
      <c r="C9688" t="inlineStr">
        <is>
          <t>Nasdaq</t>
        </is>
      </c>
      <c r="D9688" t="n">
        <v>2028699</v>
      </c>
      <c r="E9688" t="inlineStr">
        <is>
          <t>SEC</t>
        </is>
      </c>
    </row>
    <row r="9689">
      <c r="A9689" s="5">
        <f>HYPERLINK("https://finance.yahoo.com/quote/DYNCW","DYNCW")</f>
        <v/>
      </c>
      <c r="B9689" t="inlineStr">
        <is>
          <t>Dynamix Corp</t>
        </is>
      </c>
      <c r="C9689" t="inlineStr">
        <is>
          <t>Nasdaq</t>
        </is>
      </c>
      <c r="D9689" t="n">
        <v>2028699</v>
      </c>
      <c r="E9689" t="inlineStr">
        <is>
          <t>SEC</t>
        </is>
      </c>
    </row>
    <row r="9690">
      <c r="A9690" s="5">
        <f>HYPERLINK("https://finance.yahoo.com/quote/SPEGR","SPEGR")</f>
        <v/>
      </c>
      <c r="B9690" t="inlineStr">
        <is>
          <t>Silver Pegasus Acquisition Corp.</t>
        </is>
      </c>
      <c r="C9690" t="inlineStr">
        <is>
          <t>Nasdaq</t>
        </is>
      </c>
      <c r="D9690" t="n">
        <v>2028735</v>
      </c>
      <c r="E9690" t="inlineStr">
        <is>
          <t>SEC</t>
        </is>
      </c>
    </row>
    <row r="9691">
      <c r="A9691" s="5">
        <f>HYPERLINK("https://finance.yahoo.com/quote/SPEGU","SPEGU")</f>
        <v/>
      </c>
      <c r="B9691" t="inlineStr">
        <is>
          <t>Silver Pegasus Acquisition Corp.</t>
        </is>
      </c>
      <c r="C9691" t="inlineStr">
        <is>
          <t>Nasdaq</t>
        </is>
      </c>
      <c r="D9691" t="n">
        <v>2028735</v>
      </c>
      <c r="E9691" t="inlineStr">
        <is>
          <t>SEC</t>
        </is>
      </c>
    </row>
    <row r="9692">
      <c r="A9692" s="5">
        <f>HYPERLINK("https://finance.yahoo.com/quote/FACTU","FACTU")</f>
        <v/>
      </c>
      <c r="B9692" t="inlineStr">
        <is>
          <t>FACT II Acquisition Corp.</t>
        </is>
      </c>
      <c r="C9692" t="inlineStr">
        <is>
          <t>Nasdaq</t>
        </is>
      </c>
      <c r="D9692" t="n">
        <v>2028935</v>
      </c>
      <c r="E9692" t="inlineStr">
        <is>
          <t>SEC</t>
        </is>
      </c>
    </row>
    <row r="9693">
      <c r="A9693" s="5">
        <f>HYPERLINK("https://finance.yahoo.com/quote/FACTW","FACTW")</f>
        <v/>
      </c>
      <c r="B9693" t="inlineStr">
        <is>
          <t>FACT II Acquisition Corp.</t>
        </is>
      </c>
      <c r="C9693" t="inlineStr">
        <is>
          <t>Nasdaq</t>
        </is>
      </c>
      <c r="D9693" t="n">
        <v>2028935</v>
      </c>
      <c r="E9693" t="inlineStr">
        <is>
          <t>SEC</t>
        </is>
      </c>
    </row>
    <row r="9694">
      <c r="A9694" s="5">
        <f>HYPERLINK("https://finance.yahoo.com/quote/MRCL","MRCL")</f>
        <v/>
      </c>
      <c r="B9694" t="inlineStr">
        <is>
          <t>Mercalot Inc.</t>
        </is>
      </c>
      <c r="C9694" t="inlineStr">
        <is>
          <t>OTC</t>
        </is>
      </c>
      <c r="D9694" t="n">
        <v>2029014</v>
      </c>
      <c r="E9694" t="inlineStr">
        <is>
          <t>SEC</t>
        </is>
      </c>
    </row>
    <row r="9695">
      <c r="A9695" s="5">
        <f>HYPERLINK("https://finance.yahoo.com/quote/THTG","THTG")</f>
        <v/>
      </c>
      <c r="B9695" t="inlineStr">
        <is>
          <t>Tech Tonic Group Corp.</t>
        </is>
      </c>
      <c r="C9695" t="inlineStr">
        <is>
          <t>OTC</t>
        </is>
      </c>
      <c r="D9695" t="n">
        <v>2029303</v>
      </c>
      <c r="E9695" t="inlineStr">
        <is>
          <t>SEC</t>
        </is>
      </c>
    </row>
    <row r="9696">
      <c r="A9696" s="5">
        <f>HYPERLINK("https://finance.yahoo.com/quote/BLNH","BLNH")</f>
        <v/>
      </c>
      <c r="B9696" t="inlineStr">
        <is>
          <t>Blue Line Holdings, Inc.</t>
        </is>
      </c>
      <c r="C9696" t="inlineStr">
        <is>
          <t>OTC</t>
        </is>
      </c>
      <c r="D9696" t="n">
        <v>2029586</v>
      </c>
      <c r="E9696" t="inlineStr">
        <is>
          <t>SEC</t>
        </is>
      </c>
    </row>
    <row r="9697">
      <c r="A9697" s="5">
        <f>HYPERLINK("https://finance.yahoo.com/quote/OACCU","OACCU")</f>
        <v/>
      </c>
      <c r="B9697" t="inlineStr">
        <is>
          <t>Oaktree Acquisition Corp. III Life Sciences</t>
        </is>
      </c>
      <c r="C9697" t="inlineStr">
        <is>
          <t>Nasdaq</t>
        </is>
      </c>
      <c r="D9697" t="n">
        <v>2029769</v>
      </c>
      <c r="E9697" t="inlineStr">
        <is>
          <t>SEC</t>
        </is>
      </c>
    </row>
    <row r="9698">
      <c r="A9698" s="5">
        <f>HYPERLINK("https://finance.yahoo.com/quote/OACCW","OACCW")</f>
        <v/>
      </c>
      <c r="B9698" t="inlineStr">
        <is>
          <t>Oaktree Acquisition Corp. III Life Sciences</t>
        </is>
      </c>
      <c r="C9698" t="inlineStr">
        <is>
          <t>Nasdaq</t>
        </is>
      </c>
      <c r="D9698" t="n">
        <v>2029769</v>
      </c>
      <c r="E9698" t="inlineStr">
        <is>
          <t>SEC</t>
        </is>
      </c>
    </row>
    <row r="9699">
      <c r="A9699" s="5">
        <f>HYPERLINK("https://finance.yahoo.com/quote/KFIIR","KFIIR")</f>
        <v/>
      </c>
      <c r="B9699" t="inlineStr">
        <is>
          <t>K&amp;F GROWTH ACQUISITION CORP. II</t>
        </is>
      </c>
      <c r="C9699" t="inlineStr">
        <is>
          <t>Nasdaq</t>
        </is>
      </c>
      <c r="D9699" t="n">
        <v>2029976</v>
      </c>
      <c r="E9699" t="inlineStr">
        <is>
          <t>SEC</t>
        </is>
      </c>
    </row>
    <row r="9700">
      <c r="A9700" s="5">
        <f>HYPERLINK("https://finance.yahoo.com/quote/KFIIU","KFIIU")</f>
        <v/>
      </c>
      <c r="B9700" t="inlineStr">
        <is>
          <t>K&amp;F GROWTH ACQUISITION CORP. II</t>
        </is>
      </c>
      <c r="C9700" t="inlineStr">
        <is>
          <t>Nasdaq</t>
        </is>
      </c>
      <c r="D9700" t="n">
        <v>2029976</v>
      </c>
      <c r="E9700" t="inlineStr">
        <is>
          <t>SEC</t>
        </is>
      </c>
    </row>
    <row r="9701">
      <c r="A9701" s="5">
        <f>HYPERLINK("https://finance.yahoo.com/quote/PLMKU","PLMKU")</f>
        <v/>
      </c>
      <c r="B9701" t="inlineStr">
        <is>
          <t>Plum Acquisition Corp. IV</t>
        </is>
      </c>
      <c r="C9701" t="inlineStr">
        <is>
          <t>Nasdaq</t>
        </is>
      </c>
      <c r="D9701" t="n">
        <v>2030482</v>
      </c>
      <c r="E9701" t="inlineStr">
        <is>
          <t>SEC</t>
        </is>
      </c>
    </row>
    <row r="9702">
      <c r="A9702" s="5">
        <f>HYPERLINK("https://finance.yahoo.com/quote/PLMKW","PLMKW")</f>
        <v/>
      </c>
      <c r="B9702" t="inlineStr">
        <is>
          <t>Plum Acquisition Corp. IV</t>
        </is>
      </c>
      <c r="C9702" t="inlineStr">
        <is>
          <t>Nasdaq</t>
        </is>
      </c>
      <c r="D9702" t="n">
        <v>2030482</v>
      </c>
      <c r="E9702" t="inlineStr">
        <is>
          <t>SEC</t>
        </is>
      </c>
    </row>
    <row r="9703">
      <c r="A9703" s="5">
        <f>HYPERLINK("https://finance.yahoo.com/quote/SZZLR","SZZLR")</f>
        <v/>
      </c>
      <c r="B9703" t="inlineStr">
        <is>
          <t>Sizzle Acquisition Corp. II</t>
        </is>
      </c>
      <c r="C9703" t="inlineStr">
        <is>
          <t>Nasdaq</t>
        </is>
      </c>
      <c r="D9703" t="n">
        <v>2030663</v>
      </c>
      <c r="E9703" t="inlineStr">
        <is>
          <t>SEC</t>
        </is>
      </c>
    </row>
    <row r="9704">
      <c r="A9704" s="5">
        <f>HYPERLINK("https://finance.yahoo.com/quote/SZZLU","SZZLU")</f>
        <v/>
      </c>
      <c r="B9704" t="inlineStr">
        <is>
          <t>Sizzle Acquisition Corp. II</t>
        </is>
      </c>
      <c r="C9704" t="inlineStr">
        <is>
          <t>Nasdaq</t>
        </is>
      </c>
      <c r="D9704" t="n">
        <v>2030663</v>
      </c>
      <c r="E9704" t="inlineStr">
        <is>
          <t>SEC</t>
        </is>
      </c>
    </row>
    <row r="9705">
      <c r="A9705" s="5">
        <f>HYPERLINK("https://finance.yahoo.com/quote/PGACR","PGACR")</f>
        <v/>
      </c>
      <c r="B9705" t="inlineStr">
        <is>
          <t>PANTAGES CAPITAL ACQUISITION Corp</t>
        </is>
      </c>
      <c r="C9705" t="inlineStr">
        <is>
          <t>Nasdaq</t>
        </is>
      </c>
      <c r="D9705" t="n">
        <v>2030829</v>
      </c>
      <c r="E9705" t="inlineStr">
        <is>
          <t>SEC</t>
        </is>
      </c>
    </row>
    <row r="9706">
      <c r="A9706" s="5">
        <f>HYPERLINK("https://finance.yahoo.com/quote/PGACU","PGACU")</f>
        <v/>
      </c>
      <c r="B9706" t="inlineStr">
        <is>
          <t>PANTAGES CAPITAL ACQUISITION Corp</t>
        </is>
      </c>
      <c r="C9706" t="inlineStr">
        <is>
          <t>Nasdaq</t>
        </is>
      </c>
      <c r="D9706" t="n">
        <v>2030829</v>
      </c>
      <c r="E9706" t="inlineStr">
        <is>
          <t>SEC</t>
        </is>
      </c>
    </row>
    <row r="9707">
      <c r="A9707" s="5">
        <f>HYPERLINK("https://finance.yahoo.com/quote/ALDFU","ALDFU")</f>
        <v/>
      </c>
      <c r="B9707" t="inlineStr">
        <is>
          <t>Aldel Financial II Inc.</t>
        </is>
      </c>
      <c r="C9707" t="inlineStr">
        <is>
          <t>Nasdaq</t>
        </is>
      </c>
      <c r="D9707" t="n">
        <v>2031561</v>
      </c>
      <c r="E9707" t="inlineStr">
        <is>
          <t>SEC</t>
        </is>
      </c>
    </row>
    <row r="9708">
      <c r="A9708" s="5">
        <f>HYPERLINK("https://finance.yahoo.com/quote/ALDFW","ALDFW")</f>
        <v/>
      </c>
      <c r="B9708" t="inlineStr">
        <is>
          <t>Aldel Financial II Inc.</t>
        </is>
      </c>
      <c r="C9708" t="inlineStr">
        <is>
          <t>Nasdaq</t>
        </is>
      </c>
      <c r="D9708" t="n">
        <v>2031561</v>
      </c>
      <c r="E9708" t="inlineStr">
        <is>
          <t>SEC</t>
        </is>
      </c>
    </row>
    <row r="9709">
      <c r="A9709" s="5">
        <f>HYPERLINK("https://finance.yahoo.com/quote/DRDBU","DRDBU")</f>
        <v/>
      </c>
      <c r="B9709" t="inlineStr">
        <is>
          <t>Roman DBDR Acquisition Corp. II</t>
        </is>
      </c>
      <c r="C9709" t="inlineStr">
        <is>
          <t>Nasdaq</t>
        </is>
      </c>
      <c r="D9709" t="n">
        <v>2032528</v>
      </c>
      <c r="E9709" t="inlineStr">
        <is>
          <t>SEC</t>
        </is>
      </c>
    </row>
    <row r="9710">
      <c r="A9710" s="5">
        <f>HYPERLINK("https://finance.yahoo.com/quote/DRDBW","DRDBW")</f>
        <v/>
      </c>
      <c r="B9710" t="inlineStr">
        <is>
          <t>Roman DBDR Acquisition Corp. II</t>
        </is>
      </c>
      <c r="C9710" t="inlineStr">
        <is>
          <t>Nasdaq</t>
        </is>
      </c>
      <c r="D9710" t="n">
        <v>2032528</v>
      </c>
      <c r="E9710" t="inlineStr">
        <is>
          <t>SEC</t>
        </is>
      </c>
    </row>
    <row r="9711">
      <c r="A9711" s="5">
        <f>HYPERLINK("https://finance.yahoo.com/quote/SHFH","SHFH")</f>
        <v/>
      </c>
      <c r="B9711" t="inlineStr">
        <is>
          <t>Scientist Home Future Health Ltd</t>
        </is>
      </c>
      <c r="C9711" t="inlineStr">
        <is>
          <t>OTC</t>
        </is>
      </c>
      <c r="D9711" t="n">
        <v>2032609</v>
      </c>
      <c r="E9711" t="inlineStr">
        <is>
          <t>SEC</t>
        </is>
      </c>
    </row>
    <row r="9712">
      <c r="A9712" s="5">
        <f>HYPERLINK("https://finance.yahoo.com/quote/AEHGS","AEHGS")</f>
        <v/>
      </c>
      <c r="B9712" t="inlineStr">
        <is>
          <t>Arrived Homes 5, LLC</t>
        </is>
      </c>
      <c r="C9712" t="inlineStr">
        <is>
          <t>OTC</t>
        </is>
      </c>
      <c r="D9712" t="n">
        <v>2032732</v>
      </c>
      <c r="E9712" t="inlineStr">
        <is>
          <t>SEC</t>
        </is>
      </c>
    </row>
    <row r="9713">
      <c r="A9713" s="5">
        <f>HYPERLINK("https://finance.yahoo.com/quote/ALOIS","ALOIS")</f>
        <v/>
      </c>
      <c r="B9713" t="inlineStr">
        <is>
          <t>Arrived Homes 5, LLC</t>
        </is>
      </c>
      <c r="C9713" t="inlineStr">
        <is>
          <t>OTC</t>
        </is>
      </c>
      <c r="D9713" t="n">
        <v>2032732</v>
      </c>
      <c r="E9713" t="inlineStr">
        <is>
          <t>SEC</t>
        </is>
      </c>
    </row>
    <row r="9714">
      <c r="A9714" s="5">
        <f>HYPERLINK("https://finance.yahoo.com/quote/AVPKS","AVPKS")</f>
        <v/>
      </c>
      <c r="B9714" t="inlineStr">
        <is>
          <t>Arrived Homes 5, LLC</t>
        </is>
      </c>
      <c r="C9714" t="inlineStr">
        <is>
          <t>OTC</t>
        </is>
      </c>
      <c r="D9714" t="n">
        <v>2032732</v>
      </c>
      <c r="E9714" t="inlineStr">
        <is>
          <t>SEC</t>
        </is>
      </c>
    </row>
    <row r="9715">
      <c r="A9715" s="5">
        <f>HYPERLINK("https://finance.yahoo.com/quote/AVSBS","AVSBS")</f>
        <v/>
      </c>
      <c r="B9715" t="inlineStr">
        <is>
          <t>Arrived Homes 5, LLC</t>
        </is>
      </c>
      <c r="C9715" t="inlineStr">
        <is>
          <t>OTC</t>
        </is>
      </c>
      <c r="D9715" t="n">
        <v>2032732</v>
      </c>
      <c r="E9715" t="inlineStr">
        <is>
          <t>SEC</t>
        </is>
      </c>
    </row>
    <row r="9716">
      <c r="A9716" s="5">
        <f>HYPERLINK("https://finance.yahoo.com/quote/TICAW","TICAW")</f>
        <v/>
      </c>
      <c r="B9716" t="inlineStr">
        <is>
          <t>TIC Solutions, Inc.</t>
        </is>
      </c>
      <c r="C9716" t="inlineStr">
        <is>
          <t>OTC</t>
        </is>
      </c>
      <c r="D9716" t="n">
        <v>2032966</v>
      </c>
      <c r="E9716" t="inlineStr">
        <is>
          <t>SEC</t>
        </is>
      </c>
    </row>
    <row r="9717">
      <c r="A9717" s="5">
        <f>HYPERLINK("https://finance.yahoo.com/quote/TACOU","TACOU")</f>
        <v/>
      </c>
      <c r="B9717" t="inlineStr">
        <is>
          <t>Berto Acquisition Corp.</t>
        </is>
      </c>
      <c r="C9717" t="inlineStr">
        <is>
          <t>Nasdaq</t>
        </is>
      </c>
      <c r="D9717" t="n">
        <v>2033122</v>
      </c>
      <c r="E9717" t="inlineStr">
        <is>
          <t>SEC</t>
        </is>
      </c>
    </row>
    <row r="9718">
      <c r="A9718" s="5">
        <f>HYPERLINK("https://finance.yahoo.com/quote/TACOW","TACOW")</f>
        <v/>
      </c>
      <c r="B9718" t="inlineStr">
        <is>
          <t>Berto Acquisition Corp.</t>
        </is>
      </c>
      <c r="C9718" t="inlineStr">
        <is>
          <t>Nasdaq</t>
        </is>
      </c>
      <c r="D9718" t="n">
        <v>2033122</v>
      </c>
      <c r="E9718" t="inlineStr">
        <is>
          <t>SEC</t>
        </is>
      </c>
    </row>
    <row r="9719">
      <c r="A9719" s="5">
        <f>HYPERLINK("https://finance.yahoo.com/quote/VDTA","VDTA")</f>
        <v/>
      </c>
      <c r="B9719" t="inlineStr">
        <is>
          <t>Vertical Data Inc.</t>
        </is>
      </c>
      <c r="C9719" t="inlineStr">
        <is>
          <t>OTC</t>
        </is>
      </c>
      <c r="D9719" t="n">
        <v>2033264</v>
      </c>
      <c r="E9719" t="inlineStr">
        <is>
          <t>SEC</t>
        </is>
      </c>
    </row>
    <row r="9720">
      <c r="A9720" s="5">
        <f>HYPERLINK("https://finance.yahoo.com/quote/FUSEW","FUSEW")</f>
        <v/>
      </c>
      <c r="B9720" t="inlineStr">
        <is>
          <t>Fusemachines Inc.</t>
        </is>
      </c>
      <c r="C9720" t="inlineStr">
        <is>
          <t>Nasdaq</t>
        </is>
      </c>
      <c r="D9720" t="n">
        <v>2033383</v>
      </c>
      <c r="E9720" t="inlineStr">
        <is>
          <t>SEC</t>
        </is>
      </c>
    </row>
    <row r="9721">
      <c r="A9721" s="5">
        <f>HYPERLINK("https://finance.yahoo.com/quote/SVCCU","SVCCU")</f>
        <v/>
      </c>
      <c r="B9721" t="inlineStr">
        <is>
          <t>Stellar V Capital Corp. (Cayman Islands)</t>
        </is>
      </c>
      <c r="C9721" t="inlineStr">
        <is>
          <t>Nasdaq</t>
        </is>
      </c>
      <c r="D9721" t="n">
        <v>2033593</v>
      </c>
      <c r="E9721" t="inlineStr">
        <is>
          <t>SEC</t>
        </is>
      </c>
    </row>
    <row r="9722">
      <c r="A9722" s="5">
        <f>HYPERLINK("https://finance.yahoo.com/quote/SVCCW","SVCCW")</f>
        <v/>
      </c>
      <c r="B9722" t="inlineStr">
        <is>
          <t>Stellar V Capital Corp. (Cayman Islands)</t>
        </is>
      </c>
      <c r="C9722" t="inlineStr">
        <is>
          <t>Nasdaq</t>
        </is>
      </c>
      <c r="D9722" t="n">
        <v>2033593</v>
      </c>
      <c r="E9722" t="inlineStr">
        <is>
          <t>SEC</t>
        </is>
      </c>
    </row>
    <row r="9723">
      <c r="A9723" s="5">
        <f>HYPERLINK("https://finance.yahoo.com/quote/DAICW","DAICW")</f>
        <v/>
      </c>
      <c r="B9723" t="inlineStr">
        <is>
          <t>CID Holdco, Inc.</t>
        </is>
      </c>
      <c r="C9723" t="inlineStr">
        <is>
          <t>Nasdaq</t>
        </is>
      </c>
      <c r="D9723" t="n">
        <v>2033770</v>
      </c>
      <c r="E9723" t="inlineStr">
        <is>
          <t>SEC</t>
        </is>
      </c>
    </row>
    <row r="9724">
      <c r="A9724" s="5">
        <f>HYPERLINK("https://finance.yahoo.com/quote/TVACU","TVACU")</f>
        <v/>
      </c>
      <c r="B9724" t="inlineStr">
        <is>
          <t>Texas Ventures Acquisition III Corp</t>
        </is>
      </c>
      <c r="C9724" t="inlineStr">
        <is>
          <t>Nasdaq</t>
        </is>
      </c>
      <c r="D9724" t="n">
        <v>2033991</v>
      </c>
      <c r="E9724" t="inlineStr">
        <is>
          <t>SEC</t>
        </is>
      </c>
    </row>
    <row r="9725">
      <c r="A9725" s="5">
        <f>HYPERLINK("https://finance.yahoo.com/quote/TVACW","TVACW")</f>
        <v/>
      </c>
      <c r="B9725" t="inlineStr">
        <is>
          <t>Texas Ventures Acquisition III Corp</t>
        </is>
      </c>
      <c r="C9725" t="inlineStr">
        <is>
          <t>Nasdaq</t>
        </is>
      </c>
      <c r="D9725" t="n">
        <v>2033991</v>
      </c>
      <c r="E9725" t="inlineStr">
        <is>
          <t>SEC</t>
        </is>
      </c>
    </row>
    <row r="9726">
      <c r="A9726" s="5">
        <f>HYPERLINK("https://finance.yahoo.com/quote/SDHIR","SDHIR")</f>
        <v/>
      </c>
      <c r="B9726" t="inlineStr">
        <is>
          <t>Siddhi Acquisition Corp (Cayman Islands)</t>
        </is>
      </c>
      <c r="C9726" t="inlineStr">
        <is>
          <t>Nasdaq</t>
        </is>
      </c>
      <c r="D9726" t="n">
        <v>2034037</v>
      </c>
      <c r="E9726" t="inlineStr">
        <is>
          <t>SEC</t>
        </is>
      </c>
    </row>
    <row r="9727">
      <c r="A9727" s="5">
        <f>HYPERLINK("https://finance.yahoo.com/quote/SDHIU","SDHIU")</f>
        <v/>
      </c>
      <c r="B9727" t="inlineStr">
        <is>
          <t>Siddhi Acquisition Corp (Cayman Islands)</t>
        </is>
      </c>
      <c r="C9727" t="inlineStr">
        <is>
          <t>Nasdaq</t>
        </is>
      </c>
      <c r="D9727" t="n">
        <v>2034037</v>
      </c>
      <c r="E9727" t="inlineStr">
        <is>
          <t>SEC</t>
        </is>
      </c>
    </row>
    <row r="9728">
      <c r="A9728" s="5">
        <f>HYPERLINK("https://finance.yahoo.com/quote/RMGL","RMGL")</f>
        <v/>
      </c>
      <c r="B9728" t="inlineStr">
        <is>
          <t>Rocky Mountains Group Ltd</t>
        </is>
      </c>
      <c r="C9728" t="inlineStr">
        <is>
          <t>OTC</t>
        </is>
      </c>
      <c r="D9728" t="n">
        <v>2034288</v>
      </c>
      <c r="E9728" t="inlineStr">
        <is>
          <t>SEC</t>
        </is>
      </c>
    </row>
    <row r="9729">
      <c r="A9729" s="5">
        <f>HYPERLINK("https://finance.yahoo.com/quote/OBAWU","OBAWU")</f>
        <v/>
      </c>
      <c r="B9729" t="inlineStr">
        <is>
          <t>Oxley Bridge Acquisition Ltd</t>
        </is>
      </c>
      <c r="C9729" t="inlineStr">
        <is>
          <t>Nasdaq</t>
        </is>
      </c>
      <c r="D9729" t="n">
        <v>2034313</v>
      </c>
      <c r="E9729" t="inlineStr">
        <is>
          <t>SEC</t>
        </is>
      </c>
    </row>
    <row r="9730">
      <c r="A9730" s="5">
        <f>HYPERLINK("https://finance.yahoo.com/quote/OBAWW","OBAWW")</f>
        <v/>
      </c>
      <c r="B9730" t="inlineStr">
        <is>
          <t>Oxley Bridge Acquisition Ltd</t>
        </is>
      </c>
      <c r="C9730" t="inlineStr">
        <is>
          <t>Nasdaq</t>
        </is>
      </c>
      <c r="D9730" t="n">
        <v>2034313</v>
      </c>
      <c r="E9730" t="inlineStr">
        <is>
          <t>SEC</t>
        </is>
      </c>
    </row>
    <row r="9731">
      <c r="A9731" s="5">
        <f>HYPERLINK("https://finance.yahoo.com/quote/GIBOW","GIBOW")</f>
        <v/>
      </c>
      <c r="B9731" t="inlineStr">
        <is>
          <t>GIBO HOLDINGS Ltd</t>
        </is>
      </c>
      <c r="C9731" t="inlineStr">
        <is>
          <t>Nasdaq</t>
        </is>
      </c>
      <c r="D9731" t="n">
        <v>2034520</v>
      </c>
      <c r="E9731" t="inlineStr">
        <is>
          <t>SEC</t>
        </is>
      </c>
    </row>
    <row r="9732">
      <c r="A9732" s="5">
        <f>HYPERLINK("https://finance.yahoo.com/quote/RIBBR","RIBBR")</f>
        <v/>
      </c>
      <c r="B9732" t="inlineStr">
        <is>
          <t>Ribbon Acquisition Corp.</t>
        </is>
      </c>
      <c r="C9732" t="inlineStr">
        <is>
          <t>Nasdaq</t>
        </is>
      </c>
      <c r="D9732" t="n">
        <v>2035016</v>
      </c>
      <c r="E9732" t="inlineStr">
        <is>
          <t>SEC</t>
        </is>
      </c>
    </row>
    <row r="9733">
      <c r="A9733" s="5">
        <f>HYPERLINK("https://finance.yahoo.com/quote/RIBBU","RIBBU")</f>
        <v/>
      </c>
      <c r="B9733" t="inlineStr">
        <is>
          <t>Ribbon Acquisition Corp.</t>
        </is>
      </c>
      <c r="C9733" t="inlineStr">
        <is>
          <t>Nasdaq</t>
        </is>
      </c>
      <c r="D9733" t="n">
        <v>2035016</v>
      </c>
      <c r="E9733" t="inlineStr">
        <is>
          <t>SEC</t>
        </is>
      </c>
    </row>
    <row r="9734">
      <c r="A9734" s="5">
        <f>HYPERLINK("https://finance.yahoo.com/quote/RTACU","RTACU")</f>
        <v/>
      </c>
      <c r="B9734" t="inlineStr">
        <is>
          <t>Renatus Tactical Acquisition Corp I</t>
        </is>
      </c>
      <c r="C9734" t="inlineStr">
        <is>
          <t>Nasdaq</t>
        </is>
      </c>
      <c r="D9734" t="n">
        <v>2035173</v>
      </c>
      <c r="E9734" t="inlineStr">
        <is>
          <t>SEC</t>
        </is>
      </c>
    </row>
    <row r="9735">
      <c r="A9735" s="5">
        <f>HYPERLINK("https://finance.yahoo.com/quote/RTACW","RTACW")</f>
        <v/>
      </c>
      <c r="B9735" t="inlineStr">
        <is>
          <t>Renatus Tactical Acquisition Corp I</t>
        </is>
      </c>
      <c r="C9735" t="inlineStr">
        <is>
          <t>Nasdaq</t>
        </is>
      </c>
      <c r="D9735" t="n">
        <v>2035173</v>
      </c>
      <c r="E9735" t="inlineStr">
        <is>
          <t>SEC</t>
        </is>
      </c>
    </row>
    <row r="9736">
      <c r="A9736" s="5">
        <f>HYPERLINK("https://finance.yahoo.com/quote/RANGR","RANGR")</f>
        <v/>
      </c>
      <c r="B9736" t="inlineStr">
        <is>
          <t>Range Capital Acquisition Corp.</t>
        </is>
      </c>
      <c r="C9736" t="inlineStr">
        <is>
          <t>Nasdaq</t>
        </is>
      </c>
      <c r="D9736" t="n">
        <v>2035644</v>
      </c>
      <c r="E9736" t="inlineStr">
        <is>
          <t>SEC</t>
        </is>
      </c>
    </row>
    <row r="9737">
      <c r="A9737" s="5">
        <f>HYPERLINK("https://finance.yahoo.com/quote/RANGU","RANGU")</f>
        <v/>
      </c>
      <c r="B9737" t="inlineStr">
        <is>
          <t>Range Capital Acquisition Corp.</t>
        </is>
      </c>
      <c r="C9737" t="inlineStr">
        <is>
          <t>Nasdaq</t>
        </is>
      </c>
      <c r="D9737" t="n">
        <v>2035644</v>
      </c>
      <c r="E9737" t="inlineStr">
        <is>
          <t>SEC</t>
        </is>
      </c>
    </row>
    <row r="9738">
      <c r="A9738" s="5">
        <f>HYPERLINK("https://finance.yahoo.com/quote/UYSCR","UYSCR")</f>
        <v/>
      </c>
      <c r="B9738" t="inlineStr">
        <is>
          <t>UY Scuti Acquisition Corp.</t>
        </is>
      </c>
      <c r="C9738" t="inlineStr">
        <is>
          <t>Nasdaq</t>
        </is>
      </c>
      <c r="D9738" t="n">
        <v>2036973</v>
      </c>
      <c r="E9738" t="inlineStr">
        <is>
          <t>SEC</t>
        </is>
      </c>
    </row>
    <row r="9739">
      <c r="A9739" s="5">
        <f>HYPERLINK("https://finance.yahoo.com/quote/UYSCU","UYSCU")</f>
        <v/>
      </c>
      <c r="B9739" t="inlineStr">
        <is>
          <t>UY Scuti Acquisition Corp.</t>
        </is>
      </c>
      <c r="C9739" t="inlineStr">
        <is>
          <t>Nasdaq</t>
        </is>
      </c>
      <c r="D9739" t="n">
        <v>2036973</v>
      </c>
      <c r="E9739" t="inlineStr">
        <is>
          <t>SEC</t>
        </is>
      </c>
    </row>
    <row r="9740">
      <c r="A9740" s="5">
        <f>HYPERLINK("https://finance.yahoo.com/quote/VWAVW","VWAVW")</f>
        <v/>
      </c>
      <c r="B9740" t="inlineStr">
        <is>
          <t>VisionWave Holdings, Inc.</t>
        </is>
      </c>
      <c r="C9740" t="inlineStr">
        <is>
          <t>Nasdaq</t>
        </is>
      </c>
      <c r="D9740" t="n">
        <v>2038439</v>
      </c>
      <c r="E9740" t="inlineStr">
        <is>
          <t>SEC</t>
        </is>
      </c>
    </row>
    <row r="9741">
      <c r="A9741" s="5">
        <f>HYPERLINK("https://finance.yahoo.com/quote/JACS-RI","JACS-RI")</f>
        <v/>
      </c>
      <c r="B9741" t="inlineStr">
        <is>
          <t>Jackson Acquisition Co II</t>
        </is>
      </c>
      <c r="C9741" t="inlineStr">
        <is>
          <t>NYSE</t>
        </is>
      </c>
      <c r="D9741" t="n">
        <v>2039058</v>
      </c>
      <c r="E9741" t="inlineStr">
        <is>
          <t>SEC</t>
        </is>
      </c>
    </row>
    <row r="9742">
      <c r="A9742" s="5">
        <f>HYPERLINK("https://finance.yahoo.com/quote/JACS-UN","JACS-UN")</f>
        <v/>
      </c>
      <c r="B9742" t="inlineStr">
        <is>
          <t>Jackson Acquisition Co II</t>
        </is>
      </c>
      <c r="C9742" t="inlineStr">
        <is>
          <t>NYSE</t>
        </is>
      </c>
      <c r="D9742" t="n">
        <v>2039058</v>
      </c>
      <c r="E9742" t="inlineStr">
        <is>
          <t>SEC</t>
        </is>
      </c>
    </row>
    <row r="9743">
      <c r="A9743" s="5">
        <f>HYPERLINK("https://finance.yahoo.com/quote/HAMVF","HAMVF")</f>
        <v/>
      </c>
      <c r="B9743" t="inlineStr">
        <is>
          <t>Hamco Ventures Ltd</t>
        </is>
      </c>
      <c r="C9743" t="inlineStr">
        <is>
          <t>OTC</t>
        </is>
      </c>
      <c r="D9743" t="n">
        <v>2039079</v>
      </c>
      <c r="E9743" t="inlineStr">
        <is>
          <t>SEC</t>
        </is>
      </c>
    </row>
    <row r="9744">
      <c r="A9744" s="5">
        <f>HYPERLINK("https://finance.yahoo.com/quote/MGCOF","MGCOF")</f>
        <v/>
      </c>
      <c r="B9744" t="inlineStr">
        <is>
          <t>Midea Group Co., Ltd./ADR</t>
        </is>
      </c>
      <c r="C9744" t="inlineStr">
        <is>
          <t>OTC</t>
        </is>
      </c>
      <c r="D9744" t="n">
        <v>2039784</v>
      </c>
      <c r="E9744" t="inlineStr">
        <is>
          <t>SEC</t>
        </is>
      </c>
    </row>
    <row r="9745">
      <c r="A9745" s="5">
        <f>HYPERLINK("https://finance.yahoo.com/quote/PACHU","PACHU")</f>
        <v/>
      </c>
      <c r="B9745" t="inlineStr">
        <is>
          <t>Pioneer Acquisition I Corp</t>
        </is>
      </c>
      <c r="C9745" t="inlineStr">
        <is>
          <t>Nasdaq</t>
        </is>
      </c>
      <c r="D9745" t="n">
        <v>2040381</v>
      </c>
      <c r="E9745" t="inlineStr">
        <is>
          <t>SEC</t>
        </is>
      </c>
    </row>
    <row r="9746">
      <c r="A9746" s="5">
        <f>HYPERLINK("https://finance.yahoo.com/quote/PACHW","PACHW")</f>
        <v/>
      </c>
      <c r="B9746" t="inlineStr">
        <is>
          <t>Pioneer Acquisition I Corp</t>
        </is>
      </c>
      <c r="C9746" t="inlineStr">
        <is>
          <t>Nasdaq</t>
        </is>
      </c>
      <c r="D9746" t="n">
        <v>2040381</v>
      </c>
      <c r="E9746" t="inlineStr">
        <is>
          <t>SEC</t>
        </is>
      </c>
    </row>
    <row r="9747">
      <c r="A9747" s="5">
        <f>HYPERLINK("https://finance.yahoo.com/quote/DMIIR","DMIIR")</f>
        <v/>
      </c>
      <c r="B9747" t="inlineStr">
        <is>
          <t>Drugs Made In America Acquisition II Corp.</t>
        </is>
      </c>
      <c r="C9747" t="inlineStr">
        <is>
          <t>Nasdaq</t>
        </is>
      </c>
      <c r="D9747" t="n">
        <v>2040475</v>
      </c>
      <c r="E9747" t="inlineStr">
        <is>
          <t>SEC</t>
        </is>
      </c>
    </row>
    <row r="9748">
      <c r="A9748" s="5">
        <f>HYPERLINK("https://finance.yahoo.com/quote/DMIIU","DMIIU")</f>
        <v/>
      </c>
      <c r="B9748" t="inlineStr">
        <is>
          <t>Drugs Made In America Acquisition II Corp.</t>
        </is>
      </c>
      <c r="C9748" t="inlineStr">
        <is>
          <t>Nasdaq</t>
        </is>
      </c>
      <c r="D9748" t="n">
        <v>2040475</v>
      </c>
      <c r="E9748" t="inlineStr">
        <is>
          <t>SEC</t>
        </is>
      </c>
    </row>
    <row r="9749">
      <c r="A9749" s="5">
        <f>HYPERLINK("https://finance.yahoo.com/quote/CCAQU","CCAQU")</f>
        <v/>
      </c>
      <c r="B9749" t="inlineStr">
        <is>
          <t>COLLECTIVE ACQUISITION CORP.</t>
        </is>
      </c>
      <c r="C9749" t="inlineStr">
        <is>
          <t>Nasdaq</t>
        </is>
      </c>
      <c r="D9749" t="n">
        <v>2041047</v>
      </c>
      <c r="E9749" t="inlineStr">
        <is>
          <t>SEC</t>
        </is>
      </c>
    </row>
    <row r="9750">
      <c r="A9750" s="5">
        <f>HYPERLINK("https://finance.yahoo.com/quote/CCAQW","CCAQW")</f>
        <v/>
      </c>
      <c r="B9750" t="inlineStr">
        <is>
          <t>COLLECTIVE ACQUISITION CORP.</t>
        </is>
      </c>
      <c r="C9750" t="inlineStr">
        <is>
          <t>Nasdaq</t>
        </is>
      </c>
      <c r="D9750" t="n">
        <v>2041047</v>
      </c>
      <c r="E9750" t="inlineStr">
        <is>
          <t>SEC</t>
        </is>
      </c>
    </row>
    <row r="9751">
      <c r="A9751" s="5">
        <f>HYPERLINK("https://finance.yahoo.com/quote/ALUB-UN","ALUB-UN")</f>
        <v/>
      </c>
      <c r="B9751" t="inlineStr">
        <is>
          <t>Alussa Energy Acquisition Corp. II</t>
        </is>
      </c>
      <c r="C9751" t="inlineStr">
        <is>
          <t>NYSE</t>
        </is>
      </c>
      <c r="D9751" t="n">
        <v>2041493</v>
      </c>
      <c r="E9751" t="inlineStr">
        <is>
          <t>SEC</t>
        </is>
      </c>
    </row>
    <row r="9752">
      <c r="A9752" s="5">
        <f>HYPERLINK("https://finance.yahoo.com/quote/ALUB-WT","ALUB-WT")</f>
        <v/>
      </c>
      <c r="B9752" t="inlineStr">
        <is>
          <t>Alussa Energy Acquisition Corp. II</t>
        </is>
      </c>
      <c r="C9752" t="inlineStr">
        <is>
          <t>NYSE</t>
        </is>
      </c>
      <c r="D9752" t="n">
        <v>2041493</v>
      </c>
      <c r="E9752" t="inlineStr">
        <is>
          <t>SEC</t>
        </is>
      </c>
    </row>
    <row r="9753">
      <c r="A9753" s="5">
        <f>HYPERLINK("https://finance.yahoo.com/quote/BDTB","BDTB")</f>
        <v/>
      </c>
      <c r="B9753" t="inlineStr">
        <is>
          <t>Bodhi Tree Biotechnology Inc</t>
        </is>
      </c>
      <c r="C9753" t="inlineStr">
        <is>
          <t>OTC</t>
        </is>
      </c>
      <c r="D9753" t="n">
        <v>2041531</v>
      </c>
      <c r="E9753" t="inlineStr">
        <is>
          <t>SEC</t>
        </is>
      </c>
    </row>
    <row r="9754">
      <c r="A9754" s="5">
        <f>HYPERLINK("https://finance.yahoo.com/quote/SKYD-WT","SKYD-WT")</f>
        <v/>
      </c>
      <c r="B9754" t="inlineStr">
        <is>
          <t>Skydance Corp</t>
        </is>
      </c>
      <c r="C9754" t="inlineStr">
        <is>
          <t>NYSE</t>
        </is>
      </c>
      <c r="D9754" t="n">
        <v>2041610</v>
      </c>
      <c r="E9754" t="inlineStr">
        <is>
          <t>SEC</t>
        </is>
      </c>
    </row>
    <row r="9755">
      <c r="A9755" s="5">
        <f>HYPERLINK("https://finance.yahoo.com/quote/LTMGF","LTMGF")</f>
        <v/>
      </c>
      <c r="B9755" t="inlineStr">
        <is>
          <t>Lottomatica Group S.p.A./ADR</t>
        </is>
      </c>
      <c r="C9755" t="inlineStr">
        <is>
          <t>OTC</t>
        </is>
      </c>
      <c r="D9755" t="n">
        <v>2041918</v>
      </c>
      <c r="E9755" t="inlineStr">
        <is>
          <t>SEC</t>
        </is>
      </c>
    </row>
    <row r="9756">
      <c r="A9756" s="5">
        <f>HYPERLINK("https://finance.yahoo.com/quote/OYSER","OYSER")</f>
        <v/>
      </c>
      <c r="B9756" t="inlineStr">
        <is>
          <t>Oyster Enterprises II Acquisition Corp</t>
        </is>
      </c>
      <c r="C9756" t="inlineStr">
        <is>
          <t>Nasdaq</t>
        </is>
      </c>
      <c r="D9756" t="n">
        <v>2042182</v>
      </c>
      <c r="E9756" t="inlineStr">
        <is>
          <t>SEC</t>
        </is>
      </c>
    </row>
    <row r="9757">
      <c r="A9757" s="5">
        <f>HYPERLINK("https://finance.yahoo.com/quote/OYSEU","OYSEU")</f>
        <v/>
      </c>
      <c r="B9757" t="inlineStr">
        <is>
          <t>Oyster Enterprises II Acquisition Corp</t>
        </is>
      </c>
      <c r="C9757" t="inlineStr">
        <is>
          <t>Nasdaq</t>
        </is>
      </c>
      <c r="D9757" t="n">
        <v>2042182</v>
      </c>
      <c r="E9757" t="inlineStr">
        <is>
          <t>SEC</t>
        </is>
      </c>
    </row>
    <row r="9758">
      <c r="A9758" s="5">
        <f>HYPERLINK("https://finance.yahoo.com/quote/KYFGF","KYFGF")</f>
        <v/>
      </c>
      <c r="B9758" t="inlineStr">
        <is>
          <t>Kyoto Financial Group Inc/ADR</t>
        </is>
      </c>
      <c r="C9758" t="inlineStr">
        <is>
          <t>OTC</t>
        </is>
      </c>
      <c r="D9758" t="n">
        <v>2042187</v>
      </c>
      <c r="E9758" t="inlineStr">
        <is>
          <t>SEC</t>
        </is>
      </c>
    </row>
    <row r="9759">
      <c r="A9759" s="5">
        <f>HYPERLINK("https://finance.yahoo.com/quote/BDCIU","BDCIU")</f>
        <v/>
      </c>
      <c r="B9759" t="inlineStr">
        <is>
          <t>BTC Development Corp.</t>
        </is>
      </c>
      <c r="C9759" t="inlineStr">
        <is>
          <t>Nasdaq</t>
        </is>
      </c>
      <c r="D9759" t="n">
        <v>2042292</v>
      </c>
      <c r="E9759" t="inlineStr">
        <is>
          <t>SEC</t>
        </is>
      </c>
    </row>
    <row r="9760">
      <c r="A9760" s="5">
        <f>HYPERLINK("https://finance.yahoo.com/quote/BDCIW","BDCIW")</f>
        <v/>
      </c>
      <c r="B9760" t="inlineStr">
        <is>
          <t>BTC Development Corp.</t>
        </is>
      </c>
      <c r="C9760" t="inlineStr">
        <is>
          <t>Nasdaq</t>
        </is>
      </c>
      <c r="D9760" t="n">
        <v>2042292</v>
      </c>
      <c r="E9760" t="inlineStr">
        <is>
          <t>SEC</t>
        </is>
      </c>
    </row>
    <row r="9761">
      <c r="A9761" s="5">
        <f>HYPERLINK("https://finance.yahoo.com/quote/HAVAR","HAVAR")</f>
        <v/>
      </c>
      <c r="B9761" t="inlineStr">
        <is>
          <t>Harvard Ave Acquisition Corp</t>
        </is>
      </c>
      <c r="C9761" t="inlineStr">
        <is>
          <t>Nasdaq</t>
        </is>
      </c>
      <c r="D9761" t="n">
        <v>2042460</v>
      </c>
      <c r="E9761" t="inlineStr">
        <is>
          <t>SEC</t>
        </is>
      </c>
    </row>
    <row r="9762">
      <c r="A9762" s="5">
        <f>HYPERLINK("https://finance.yahoo.com/quote/HAVAU","HAVAU")</f>
        <v/>
      </c>
      <c r="B9762" t="inlineStr">
        <is>
          <t>Harvard Ave Acquisition Corp</t>
        </is>
      </c>
      <c r="C9762" t="inlineStr">
        <is>
          <t>Nasdaq</t>
        </is>
      </c>
      <c r="D9762" t="n">
        <v>2042460</v>
      </c>
      <c r="E9762" t="inlineStr">
        <is>
          <t>SEC</t>
        </is>
      </c>
    </row>
    <row r="9763">
      <c r="A9763" s="5">
        <f>HYPERLINK("https://finance.yahoo.com/quote/SPGDF","SPGDF")</f>
        <v/>
      </c>
      <c r="B9763" t="inlineStr">
        <is>
          <t>Springer Nature AG &amp; Co. KGaA/ADR</t>
        </is>
      </c>
      <c r="C9763" t="inlineStr">
        <is>
          <t>OTC</t>
        </is>
      </c>
      <c r="D9763" t="n">
        <v>2042556</v>
      </c>
      <c r="E9763" t="inlineStr">
        <is>
          <t>SEC</t>
        </is>
      </c>
    </row>
    <row r="9764">
      <c r="A9764" s="5">
        <f>HYPERLINK("https://finance.yahoo.com/quote/EVAC-UN","EVAC-UN")</f>
        <v/>
      </c>
      <c r="B9764" t="inlineStr">
        <is>
          <t>EQV Ventures Acquisition Corp. II</t>
        </is>
      </c>
      <c r="C9764" t="inlineStr">
        <is>
          <t>NYSE</t>
        </is>
      </c>
      <c r="D9764" t="n">
        <v>2042902</v>
      </c>
      <c r="E9764" t="inlineStr">
        <is>
          <t>SEC</t>
        </is>
      </c>
    </row>
    <row r="9765">
      <c r="A9765" s="5">
        <f>HYPERLINK("https://finance.yahoo.com/quote/EVAC-WT","EVAC-WT")</f>
        <v/>
      </c>
      <c r="B9765" t="inlineStr">
        <is>
          <t>EQV Ventures Acquisition Corp. II</t>
        </is>
      </c>
      <c r="C9765" t="inlineStr">
        <is>
          <t>NYSE</t>
        </is>
      </c>
      <c r="D9765" t="n">
        <v>2042902</v>
      </c>
      <c r="E9765" t="inlineStr">
        <is>
          <t>SEC</t>
        </is>
      </c>
    </row>
    <row r="9766">
      <c r="A9766" s="5">
        <f>HYPERLINK("https://finance.yahoo.com/quote/FKURF","FKURF")</f>
        <v/>
      </c>
      <c r="B9766" t="inlineStr">
        <is>
          <t>Fujikura Ltd/ADR</t>
        </is>
      </c>
      <c r="C9766" t="inlineStr">
        <is>
          <t>OTC</t>
        </is>
      </c>
      <c r="D9766" t="n">
        <v>2043424</v>
      </c>
      <c r="E9766" t="inlineStr">
        <is>
          <t>SEC</t>
        </is>
      </c>
    </row>
    <row r="9767">
      <c r="A9767" s="5">
        <f>HYPERLINK("https://finance.yahoo.com/quote/LKSPR","LKSPR")</f>
        <v/>
      </c>
      <c r="B9767" t="inlineStr">
        <is>
          <t>Lake Superior Acquisition Corp</t>
        </is>
      </c>
      <c r="C9767" t="inlineStr">
        <is>
          <t>Nasdaq</t>
        </is>
      </c>
      <c r="D9767" t="n">
        <v>2043508</v>
      </c>
      <c r="E9767" t="inlineStr">
        <is>
          <t>SEC</t>
        </is>
      </c>
    </row>
    <row r="9768">
      <c r="A9768" s="5">
        <f>HYPERLINK("https://finance.yahoo.com/quote/LKSPU","LKSPU")</f>
        <v/>
      </c>
      <c r="B9768" t="inlineStr">
        <is>
          <t>Lake Superior Acquisition Corp</t>
        </is>
      </c>
      <c r="C9768" t="inlineStr">
        <is>
          <t>Nasdaq</t>
        </is>
      </c>
      <c r="D9768" t="n">
        <v>2043508</v>
      </c>
      <c r="E9768" t="inlineStr">
        <is>
          <t>SEC</t>
        </is>
      </c>
    </row>
    <row r="9769">
      <c r="A9769" s="5">
        <f>HYPERLINK("https://finance.yahoo.com/quote/APACR","APACR")</f>
        <v/>
      </c>
      <c r="B9769" t="inlineStr">
        <is>
          <t>StoneBridge Acquisition II Corp</t>
        </is>
      </c>
      <c r="C9769" t="inlineStr">
        <is>
          <t>Nasdaq</t>
        </is>
      </c>
      <c r="D9769" t="n">
        <v>2043630</v>
      </c>
      <c r="E9769" t="inlineStr">
        <is>
          <t>SEC</t>
        </is>
      </c>
    </row>
    <row r="9770">
      <c r="A9770" s="5">
        <f>HYPERLINK("https://finance.yahoo.com/quote/APACU","APACU")</f>
        <v/>
      </c>
      <c r="B9770" t="inlineStr">
        <is>
          <t>StoneBridge Acquisition II Corp</t>
        </is>
      </c>
      <c r="C9770" t="inlineStr">
        <is>
          <t>Nasdaq</t>
        </is>
      </c>
      <c r="D9770" t="n">
        <v>2043630</v>
      </c>
      <c r="E9770" t="inlineStr">
        <is>
          <t>SEC</t>
        </is>
      </c>
    </row>
    <row r="9771">
      <c r="A9771" s="5">
        <f>HYPERLINK("https://finance.yahoo.com/quote/GTERR","GTERR")</f>
        <v/>
      </c>
      <c r="B9771" t="inlineStr">
        <is>
          <t>Globa Terra Acquisition Corp</t>
        </is>
      </c>
      <c r="C9771" t="inlineStr">
        <is>
          <t>Nasdaq</t>
        </is>
      </c>
      <c r="D9771" t="n">
        <v>2043766</v>
      </c>
      <c r="E9771" t="inlineStr">
        <is>
          <t>SEC</t>
        </is>
      </c>
    </row>
    <row r="9772">
      <c r="A9772" s="5">
        <f>HYPERLINK("https://finance.yahoo.com/quote/GTERU","GTERU")</f>
        <v/>
      </c>
      <c r="B9772" t="inlineStr">
        <is>
          <t>Globa Terra Acquisition Corp</t>
        </is>
      </c>
      <c r="C9772" t="inlineStr">
        <is>
          <t>Nasdaq</t>
        </is>
      </c>
      <c r="D9772" t="n">
        <v>2043766</v>
      </c>
      <c r="E9772" t="inlineStr">
        <is>
          <t>SEC</t>
        </is>
      </c>
    </row>
    <row r="9773">
      <c r="A9773" s="5">
        <f>HYPERLINK("https://finance.yahoo.com/quote/GTERW","GTERW")</f>
        <v/>
      </c>
      <c r="B9773" t="inlineStr">
        <is>
          <t>Globa Terra Acquisition Corp</t>
        </is>
      </c>
      <c r="C9773" t="inlineStr">
        <is>
          <t>Nasdaq</t>
        </is>
      </c>
      <c r="D9773" t="n">
        <v>2043766</v>
      </c>
      <c r="E9773" t="inlineStr">
        <is>
          <t>SEC</t>
        </is>
      </c>
    </row>
    <row r="9774">
      <c r="A9774" s="5">
        <f>HYPERLINK("https://finance.yahoo.com/quote/ORIQU","ORIQU")</f>
        <v/>
      </c>
      <c r="B9774" t="inlineStr">
        <is>
          <t>Origin Investment Corp I</t>
        </is>
      </c>
      <c r="C9774" t="inlineStr">
        <is>
          <t>Nasdaq</t>
        </is>
      </c>
      <c r="D9774" t="n">
        <v>2044523</v>
      </c>
      <c r="E9774" t="inlineStr">
        <is>
          <t>SEC</t>
        </is>
      </c>
    </row>
    <row r="9775">
      <c r="A9775" s="5">
        <f>HYPERLINK("https://finance.yahoo.com/quote/ORIQW","ORIQW")</f>
        <v/>
      </c>
      <c r="B9775" t="inlineStr">
        <is>
          <t>Origin Investment Corp I</t>
        </is>
      </c>
      <c r="C9775" t="inlineStr">
        <is>
          <t>Nasdaq</t>
        </is>
      </c>
      <c r="D9775" t="n">
        <v>2044523</v>
      </c>
      <c r="E9775" t="inlineStr">
        <is>
          <t>SEC</t>
        </is>
      </c>
    </row>
    <row r="9776">
      <c r="A9776" s="5">
        <f>HYPERLINK("https://finance.yahoo.com/quote/GSHRU","GSHRU")</f>
        <v/>
      </c>
      <c r="B9776" t="inlineStr">
        <is>
          <t>Gesher Acquisition Corp. II</t>
        </is>
      </c>
      <c r="C9776" t="inlineStr">
        <is>
          <t>Nasdaq</t>
        </is>
      </c>
      <c r="D9776" t="n">
        <v>2044635</v>
      </c>
      <c r="E9776" t="inlineStr">
        <is>
          <t>SEC</t>
        </is>
      </c>
    </row>
    <row r="9777">
      <c r="A9777" s="5">
        <f>HYPERLINK("https://finance.yahoo.com/quote/GSHRW","GSHRW")</f>
        <v/>
      </c>
      <c r="B9777" t="inlineStr">
        <is>
          <t>Gesher Acquisition Corp. II</t>
        </is>
      </c>
      <c r="C9777" t="inlineStr">
        <is>
          <t>Nasdaq</t>
        </is>
      </c>
      <c r="D9777" t="n">
        <v>2044635</v>
      </c>
      <c r="E9777" t="inlineStr">
        <is>
          <t>SEC</t>
        </is>
      </c>
    </row>
    <row r="9778">
      <c r="A9778" s="5">
        <f>HYPERLINK("https://finance.yahoo.com/quote/MTNE-UN","MTNE-UN")</f>
        <v/>
      </c>
      <c r="B9778" t="inlineStr">
        <is>
          <t>CH4 Natural Solutions Corp</t>
        </is>
      </c>
      <c r="C9778" t="inlineStr">
        <is>
          <t>NYSE</t>
        </is>
      </c>
      <c r="D9778" t="n">
        <v>2044817</v>
      </c>
      <c r="E9778" t="inlineStr">
        <is>
          <t>SEC</t>
        </is>
      </c>
    </row>
    <row r="9779">
      <c r="A9779" s="5">
        <f>HYPERLINK("https://finance.yahoo.com/quote/MTNE-WT","MTNE-WT")</f>
        <v/>
      </c>
      <c r="B9779" t="inlineStr">
        <is>
          <t>CH4 Natural Solutions Corp</t>
        </is>
      </c>
      <c r="C9779" t="inlineStr">
        <is>
          <t>NYSE</t>
        </is>
      </c>
      <c r="D9779" t="n">
        <v>2044817</v>
      </c>
      <c r="E9779" t="inlineStr">
        <is>
          <t>SEC</t>
        </is>
      </c>
    </row>
    <row r="9780">
      <c r="A9780" s="5">
        <f>HYPERLINK("https://finance.yahoo.com/quote/TKMEF","TKMEF")</f>
        <v/>
      </c>
      <c r="B9780" t="inlineStr">
        <is>
          <t>Tokyo Metro Co., Ltd./ADR</t>
        </is>
      </c>
      <c r="C9780" t="inlineStr">
        <is>
          <t>OTC</t>
        </is>
      </c>
      <c r="D9780" t="n">
        <v>2044863</v>
      </c>
      <c r="E9780" t="inlineStr">
        <is>
          <t>SEC</t>
        </is>
      </c>
    </row>
    <row r="9781">
      <c r="A9781" s="5">
        <f>HYPERLINK("https://finance.yahoo.com/quote/COPL-UN","COPL-UN")</f>
        <v/>
      </c>
      <c r="B9781" t="inlineStr">
        <is>
          <t>Copley Acquisition Corp</t>
        </is>
      </c>
      <c r="C9781" t="inlineStr">
        <is>
          <t>NYSE</t>
        </is>
      </c>
      <c r="D9781" t="n">
        <v>2045473</v>
      </c>
      <c r="E9781" t="inlineStr">
        <is>
          <t>SEC</t>
        </is>
      </c>
    </row>
    <row r="9782">
      <c r="A9782" s="5">
        <f>HYPERLINK("https://finance.yahoo.com/quote/COPL-WT","COPL-WT")</f>
        <v/>
      </c>
      <c r="B9782" t="inlineStr">
        <is>
          <t>Copley Acquisition Corp</t>
        </is>
      </c>
      <c r="C9782" t="inlineStr">
        <is>
          <t>NYSE</t>
        </is>
      </c>
      <c r="D9782" t="n">
        <v>2045473</v>
      </c>
      <c r="E9782" t="inlineStr">
        <is>
          <t>SEC</t>
        </is>
      </c>
    </row>
    <row r="9783">
      <c r="A9783" s="5">
        <f>HYPERLINK("https://finance.yahoo.com/quote/ALEGF","ALEGF")</f>
        <v/>
      </c>
      <c r="B9783" t="inlineStr">
        <is>
          <t>ALLEGRO.EU SA/ADR</t>
        </is>
      </c>
      <c r="C9783" t="inlineStr">
        <is>
          <t>OTC</t>
        </is>
      </c>
      <c r="D9783" t="n">
        <v>2046098</v>
      </c>
      <c r="E9783" t="inlineStr">
        <is>
          <t>SEC</t>
        </is>
      </c>
    </row>
    <row r="9784">
      <c r="A9784" s="5">
        <f>HYPERLINK("https://finance.yahoo.com/quote/CHECU","CHECU")</f>
        <v/>
      </c>
      <c r="B9784" t="inlineStr">
        <is>
          <t>Chenghe Acquisition III Co.</t>
        </is>
      </c>
      <c r="C9784" t="inlineStr">
        <is>
          <t>Nasdaq</t>
        </is>
      </c>
      <c r="D9784" t="n">
        <v>2047177</v>
      </c>
      <c r="E9784" t="inlineStr">
        <is>
          <t>SEC</t>
        </is>
      </c>
    </row>
    <row r="9785">
      <c r="A9785" s="5">
        <f>HYPERLINK("https://finance.yahoo.com/quote/CHECW","CHECW")</f>
        <v/>
      </c>
      <c r="B9785" t="inlineStr">
        <is>
          <t>Chenghe Acquisition III Co.</t>
        </is>
      </c>
      <c r="C9785" t="inlineStr">
        <is>
          <t>Nasdaq</t>
        </is>
      </c>
      <c r="D9785" t="n">
        <v>2047177</v>
      </c>
      <c r="E9785" t="inlineStr">
        <is>
          <t>SEC</t>
        </is>
      </c>
    </row>
    <row r="9786">
      <c r="A9786" s="5">
        <f>HYPERLINK("https://finance.yahoo.com/quote/QSEAR","QSEAR")</f>
        <v/>
      </c>
      <c r="B9786" t="inlineStr">
        <is>
          <t>Quartzsea Acquisition Corp</t>
        </is>
      </c>
      <c r="C9786" t="inlineStr">
        <is>
          <t>Nasdaq</t>
        </is>
      </c>
      <c r="D9786" t="n">
        <v>2047455</v>
      </c>
      <c r="E9786" t="inlineStr">
        <is>
          <t>SEC</t>
        </is>
      </c>
    </row>
    <row r="9787">
      <c r="A9787" s="5">
        <f>HYPERLINK("https://finance.yahoo.com/quote/QSEAU","QSEAU")</f>
        <v/>
      </c>
      <c r="B9787" t="inlineStr">
        <is>
          <t>Quartzsea Acquisition Corp</t>
        </is>
      </c>
      <c r="C9787" t="inlineStr">
        <is>
          <t>Nasdaq</t>
        </is>
      </c>
      <c r="D9787" t="n">
        <v>2047455</v>
      </c>
      <c r="E9787" t="inlineStr">
        <is>
          <t>SEC</t>
        </is>
      </c>
    </row>
    <row r="9788">
      <c r="A9788" s="5">
        <f>HYPERLINK("https://finance.yahoo.com/quote/RAC-UN","RAC-UN")</f>
        <v/>
      </c>
      <c r="B9788" t="inlineStr">
        <is>
          <t>Rithm Acquisition Corp.</t>
        </is>
      </c>
      <c r="C9788" t="inlineStr">
        <is>
          <t>NYSE</t>
        </is>
      </c>
      <c r="D9788" t="n">
        <v>2047497</v>
      </c>
      <c r="E9788" t="inlineStr">
        <is>
          <t>SEC</t>
        </is>
      </c>
    </row>
    <row r="9789">
      <c r="A9789" s="5">
        <f>HYPERLINK("https://finance.yahoo.com/quote/RAC-WT","RAC-WT")</f>
        <v/>
      </c>
      <c r="B9789" t="inlineStr">
        <is>
          <t>Rithm Acquisition Corp.</t>
        </is>
      </c>
      <c r="C9789" t="inlineStr">
        <is>
          <t>NYSE</t>
        </is>
      </c>
      <c r="D9789" t="n">
        <v>2047497</v>
      </c>
      <c r="E9789" t="inlineStr">
        <is>
          <t>SEC</t>
        </is>
      </c>
    </row>
    <row r="9790">
      <c r="A9790" s="5">
        <f>HYPERLINK("https://finance.yahoo.com/quote/SMFRF","SMFRF")</f>
        <v/>
      </c>
      <c r="B9790" t="inlineStr">
        <is>
          <t>Sumitomo Forestry Co., Ltd./ADR</t>
        </is>
      </c>
      <c r="C9790" t="inlineStr">
        <is>
          <t>OTC</t>
        </is>
      </c>
      <c r="D9790" t="n">
        <v>2048270</v>
      </c>
      <c r="E9790" t="inlineStr">
        <is>
          <t>SEC</t>
        </is>
      </c>
    </row>
    <row r="9791">
      <c r="A9791" s="5">
        <f>HYPERLINK("https://finance.yahoo.com/quote/NPACU","NPACU")</f>
        <v/>
      </c>
      <c r="B9791" t="inlineStr">
        <is>
          <t>New Providence Acquisition Corp. III/Cayman</t>
        </is>
      </c>
      <c r="C9791" t="inlineStr">
        <is>
          <t>Nasdaq</t>
        </is>
      </c>
      <c r="D9791" t="n">
        <v>2048948</v>
      </c>
      <c r="E9791" t="inlineStr">
        <is>
          <t>SEC</t>
        </is>
      </c>
    </row>
    <row r="9792">
      <c r="A9792" s="5">
        <f>HYPERLINK("https://finance.yahoo.com/quote/NPACW","NPACW")</f>
        <v/>
      </c>
      <c r="B9792" t="inlineStr">
        <is>
          <t>New Providence Acquisition Corp. III/Cayman</t>
        </is>
      </c>
      <c r="C9792" t="inlineStr">
        <is>
          <t>Nasdaq</t>
        </is>
      </c>
      <c r="D9792" t="n">
        <v>2048948</v>
      </c>
      <c r="E9792" t="inlineStr">
        <is>
          <t>SEC</t>
        </is>
      </c>
    </row>
    <row r="9793">
      <c r="A9793" s="5">
        <f>HYPERLINK("https://finance.yahoo.com/quote/TMSWW","TMSWW")</f>
        <v/>
      </c>
      <c r="B9793" t="inlineStr">
        <is>
          <t>Teamshares Inc</t>
        </is>
      </c>
      <c r="C9793" t="inlineStr">
        <is>
          <t>Nasdaq</t>
        </is>
      </c>
      <c r="D9793" t="n">
        <v>2048951</v>
      </c>
      <c r="E9793" t="inlineStr">
        <is>
          <t>SEC</t>
        </is>
      </c>
    </row>
    <row r="9794">
      <c r="A9794" s="5">
        <f>HYPERLINK("https://finance.yahoo.com/quote/SUNXF","SUNXF")</f>
        <v/>
      </c>
      <c r="B9794" t="inlineStr">
        <is>
          <t>Stardust Solar Energy Inc.</t>
        </is>
      </c>
      <c r="C9794" t="inlineStr">
        <is>
          <t>OTC</t>
        </is>
      </c>
      <c r="D9794" t="n">
        <v>2048958</v>
      </c>
      <c r="E9794" t="inlineStr">
        <is>
          <t>SEC</t>
        </is>
      </c>
    </row>
    <row r="9795">
      <c r="A9795" s="5">
        <f>HYPERLINK("https://finance.yahoo.com/quote/LCCCR","LCCCR")</f>
        <v/>
      </c>
      <c r="B9795" t="inlineStr">
        <is>
          <t>Lakeshore Acquisition III Corp.</t>
        </is>
      </c>
      <c r="C9795" t="inlineStr">
        <is>
          <t>Nasdaq</t>
        </is>
      </c>
      <c r="D9795" t="n">
        <v>2049248</v>
      </c>
      <c r="E9795" t="inlineStr">
        <is>
          <t>SEC</t>
        </is>
      </c>
    </row>
    <row r="9796">
      <c r="A9796" s="5">
        <f>HYPERLINK("https://finance.yahoo.com/quote/LCCCU","LCCCU")</f>
        <v/>
      </c>
      <c r="B9796" t="inlineStr">
        <is>
          <t>Lakeshore Acquisition III Corp.</t>
        </is>
      </c>
      <c r="C9796" t="inlineStr">
        <is>
          <t>Nasdaq</t>
        </is>
      </c>
      <c r="D9796" t="n">
        <v>2049248</v>
      </c>
      <c r="E9796" t="inlineStr">
        <is>
          <t>SEC</t>
        </is>
      </c>
    </row>
    <row r="9797">
      <c r="A9797" s="5">
        <f>HYPERLINK("https://finance.yahoo.com/quote/FACWW","FACWW")</f>
        <v/>
      </c>
      <c r="B9797" t="inlineStr">
        <is>
          <t>Factorial Energy Inc.</t>
        </is>
      </c>
      <c r="C9797" t="inlineStr">
        <is>
          <t>Nasdaq</t>
        </is>
      </c>
      <c r="D9797" t="n">
        <v>2049662</v>
      </c>
      <c r="E9797" t="inlineStr">
        <is>
          <t>SEC</t>
        </is>
      </c>
    </row>
    <row r="9798">
      <c r="A9798" s="5">
        <f>HYPERLINK("https://finance.yahoo.com/quote/BLUWU","BLUWU")</f>
        <v/>
      </c>
      <c r="B9798" t="inlineStr">
        <is>
          <t>Blue Water Acquisition Corp. III</t>
        </is>
      </c>
      <c r="C9798" t="inlineStr">
        <is>
          <t>Nasdaq</t>
        </is>
      </c>
      <c r="D9798" t="n">
        <v>2050501</v>
      </c>
      <c r="E9798" t="inlineStr">
        <is>
          <t>SEC</t>
        </is>
      </c>
    </row>
    <row r="9799">
      <c r="A9799" s="5">
        <f>HYPERLINK("https://finance.yahoo.com/quote/BLUWW","BLUWW")</f>
        <v/>
      </c>
      <c r="B9799" t="inlineStr">
        <is>
          <t>Blue Water Acquisition Corp. III</t>
        </is>
      </c>
      <c r="C9799" t="inlineStr">
        <is>
          <t>Nasdaq</t>
        </is>
      </c>
      <c r="D9799" t="n">
        <v>2050501</v>
      </c>
      <c r="E9799" t="inlineStr">
        <is>
          <t>SEC</t>
        </is>
      </c>
    </row>
    <row r="9800">
      <c r="A9800" s="5">
        <f>HYPERLINK("https://finance.yahoo.com/quote/PEW-WT","PEW-WT")</f>
        <v/>
      </c>
      <c r="B9800" t="inlineStr">
        <is>
          <t>GrabAGun Digital Holdings Inc.</t>
        </is>
      </c>
      <c r="C9800" t="inlineStr">
        <is>
          <t>NYSE</t>
        </is>
      </c>
      <c r="D9800" t="n">
        <v>2051380</v>
      </c>
      <c r="E9800" t="inlineStr">
        <is>
          <t>SEC</t>
        </is>
      </c>
    </row>
    <row r="9801">
      <c r="A9801" s="5">
        <f>HYPERLINK("https://finance.yahoo.com/quote/BSAAR","BSAAR")</f>
        <v/>
      </c>
      <c r="B9801" t="inlineStr">
        <is>
          <t>BEST SPAC I Acquisition Corp.</t>
        </is>
      </c>
      <c r="C9801" t="inlineStr">
        <is>
          <t>Nasdaq</t>
        </is>
      </c>
      <c r="D9801" t="n">
        <v>2051587</v>
      </c>
      <c r="E9801" t="inlineStr">
        <is>
          <t>SEC</t>
        </is>
      </c>
    </row>
    <row r="9802">
      <c r="A9802" s="5">
        <f>HYPERLINK("https://finance.yahoo.com/quote/BSAAU","BSAAU")</f>
        <v/>
      </c>
      <c r="B9802" t="inlineStr">
        <is>
          <t>BEST SPAC I Acquisition Corp.</t>
        </is>
      </c>
      <c r="C9802" t="inlineStr">
        <is>
          <t>Nasdaq</t>
        </is>
      </c>
      <c r="D9802" t="n">
        <v>2051587</v>
      </c>
      <c r="E9802" t="inlineStr">
        <is>
          <t>SEC</t>
        </is>
      </c>
    </row>
    <row r="9803">
      <c r="A9803" s="5">
        <f>HYPERLINK("https://finance.yahoo.com/quote/MLCIL","MLCIL")</f>
        <v/>
      </c>
      <c r="B9803" t="inlineStr">
        <is>
          <t>Mount Logan Capital Inc.</t>
        </is>
      </c>
      <c r="C9803" t="inlineStr">
        <is>
          <t>Nasdaq</t>
        </is>
      </c>
      <c r="D9803" t="n">
        <v>2051820</v>
      </c>
      <c r="E9803" t="inlineStr">
        <is>
          <t>SEC</t>
        </is>
      </c>
    </row>
    <row r="9804">
      <c r="A9804" s="5">
        <f>HYPERLINK("https://finance.yahoo.com/quote/IRHOR","IRHOR")</f>
        <v/>
      </c>
      <c r="B9804" t="inlineStr">
        <is>
          <t>Iron Horse Acquisition II Corp.</t>
        </is>
      </c>
      <c r="C9804" t="inlineStr">
        <is>
          <t>Nasdaq</t>
        </is>
      </c>
      <c r="D9804" t="n">
        <v>2051985</v>
      </c>
      <c r="E9804" t="inlineStr">
        <is>
          <t>SEC</t>
        </is>
      </c>
    </row>
    <row r="9805">
      <c r="A9805" s="5">
        <f>HYPERLINK("https://finance.yahoo.com/quote/IRHOU","IRHOU")</f>
        <v/>
      </c>
      <c r="B9805" t="inlineStr">
        <is>
          <t>Iron Horse Acquisition II Corp.</t>
        </is>
      </c>
      <c r="C9805" t="inlineStr">
        <is>
          <t>Nasdaq</t>
        </is>
      </c>
      <c r="D9805" t="n">
        <v>2051985</v>
      </c>
      <c r="E9805" t="inlineStr">
        <is>
          <t>SEC</t>
        </is>
      </c>
    </row>
    <row r="9806">
      <c r="A9806" s="5">
        <f>HYPERLINK("https://finance.yahoo.com/quote/DAAQU","DAAQU")</f>
        <v/>
      </c>
      <c r="B9806" t="inlineStr">
        <is>
          <t>Digital Asset Acquisition Corp.</t>
        </is>
      </c>
      <c r="C9806" t="inlineStr">
        <is>
          <t>Nasdaq</t>
        </is>
      </c>
      <c r="D9806" t="n">
        <v>2052162</v>
      </c>
      <c r="E9806" t="inlineStr">
        <is>
          <t>SEC</t>
        </is>
      </c>
    </row>
    <row r="9807">
      <c r="A9807" s="5">
        <f>HYPERLINK("https://finance.yahoo.com/quote/DAAQW","DAAQW")</f>
        <v/>
      </c>
      <c r="B9807" t="inlineStr">
        <is>
          <t>Digital Asset Acquisition Corp.</t>
        </is>
      </c>
      <c r="C9807" t="inlineStr">
        <is>
          <t>Nasdaq</t>
        </is>
      </c>
      <c r="D9807" t="n">
        <v>2052162</v>
      </c>
      <c r="E9807" t="inlineStr">
        <is>
          <t>SEC</t>
        </is>
      </c>
    </row>
    <row r="9808">
      <c r="A9808" s="5">
        <f>HYPERLINK("https://finance.yahoo.com/quote/TWLVR","TWLVR")</f>
        <v/>
      </c>
      <c r="B9808" t="inlineStr">
        <is>
          <t>Twelve Seas Investment Co III/Cayman</t>
        </is>
      </c>
      <c r="C9808" t="inlineStr">
        <is>
          <t>Nasdaq</t>
        </is>
      </c>
      <c r="D9808" t="n">
        <v>2052243</v>
      </c>
      <c r="E9808" t="inlineStr">
        <is>
          <t>SEC</t>
        </is>
      </c>
    </row>
    <row r="9809">
      <c r="A9809" s="5">
        <f>HYPERLINK("https://finance.yahoo.com/quote/TWLVU","TWLVU")</f>
        <v/>
      </c>
      <c r="B9809" t="inlineStr">
        <is>
          <t>Twelve Seas Investment Co III/Cayman</t>
        </is>
      </c>
      <c r="C9809" t="inlineStr">
        <is>
          <t>Nasdaq</t>
        </is>
      </c>
      <c r="D9809" t="n">
        <v>2052243</v>
      </c>
      <c r="E9809" t="inlineStr">
        <is>
          <t>SEC</t>
        </is>
      </c>
    </row>
    <row r="9810">
      <c r="A9810" s="5">
        <f>HYPERLINK("https://finance.yahoo.com/quote/EGHAR","EGHAR")</f>
        <v/>
      </c>
      <c r="B9810" t="inlineStr">
        <is>
          <t>EGH Acquisition Corp.</t>
        </is>
      </c>
      <c r="C9810" t="inlineStr">
        <is>
          <t>Nasdaq</t>
        </is>
      </c>
      <c r="D9810" t="n">
        <v>2052547</v>
      </c>
      <c r="E9810" t="inlineStr">
        <is>
          <t>SEC</t>
        </is>
      </c>
    </row>
    <row r="9811">
      <c r="A9811" s="5">
        <f>HYPERLINK("https://finance.yahoo.com/quote/EGHAU","EGHAU")</f>
        <v/>
      </c>
      <c r="B9811" t="inlineStr">
        <is>
          <t>EGH Acquisition Corp.</t>
        </is>
      </c>
      <c r="C9811" t="inlineStr">
        <is>
          <t>Nasdaq</t>
        </is>
      </c>
      <c r="D9811" t="n">
        <v>2052547</v>
      </c>
      <c r="E9811" t="inlineStr">
        <is>
          <t>SEC</t>
        </is>
      </c>
    </row>
    <row r="9812">
      <c r="A9812" s="5">
        <f>HYPERLINK("https://finance.yahoo.com/quote/KXHCF","KXHCF")</f>
        <v/>
      </c>
      <c r="B9812" t="inlineStr">
        <is>
          <t>Kioxia Holdings Corporation/ADR</t>
        </is>
      </c>
      <c r="C9812" t="inlineStr">
        <is>
          <t>OTC</t>
        </is>
      </c>
      <c r="D9812" t="n">
        <v>2053383</v>
      </c>
      <c r="E9812" t="inlineStr">
        <is>
          <t>SEC</t>
        </is>
      </c>
    </row>
    <row r="9813">
      <c r="A9813" s="5">
        <f>HYPERLINK("https://finance.yahoo.com/quote/PCPPF","PCPPF")</f>
        <v/>
      </c>
      <c r="B9813" t="inlineStr">
        <is>
          <t>PC Partner Group Ltd/ADR</t>
        </is>
      </c>
      <c r="C9813" t="inlineStr">
        <is>
          <t>OTC</t>
        </is>
      </c>
      <c r="D9813" t="n">
        <v>2053411</v>
      </c>
      <c r="E9813" t="inlineStr">
        <is>
          <t>SEC</t>
        </is>
      </c>
    </row>
    <row r="9814">
      <c r="A9814" s="5">
        <f>HYPERLINK("https://finance.yahoo.com/quote/TGE-WT","TGE-WT")</f>
        <v/>
      </c>
      <c r="B9814" t="inlineStr">
        <is>
          <t>Generation Essentials Group</t>
        </is>
      </c>
      <c r="C9814" t="inlineStr">
        <is>
          <t>NYSE</t>
        </is>
      </c>
      <c r="D9814" t="n">
        <v>2053456</v>
      </c>
      <c r="E9814" t="inlineStr">
        <is>
          <t>SEC</t>
        </is>
      </c>
    </row>
    <row r="9815">
      <c r="A9815" s="5">
        <f>HYPERLINK("https://finance.yahoo.com/quote/KCHVR","KCHVR")</f>
        <v/>
      </c>
      <c r="B9815" t="inlineStr">
        <is>
          <t>Kochav Defense Acquisition Corp.</t>
        </is>
      </c>
      <c r="C9815" t="inlineStr">
        <is>
          <t>Nasdaq</t>
        </is>
      </c>
      <c r="D9815" t="n">
        <v>2053799</v>
      </c>
      <c r="E9815" t="inlineStr">
        <is>
          <t>SEC</t>
        </is>
      </c>
    </row>
    <row r="9816">
      <c r="A9816" s="5">
        <f>HYPERLINK("https://finance.yahoo.com/quote/KCHVU","KCHVU")</f>
        <v/>
      </c>
      <c r="B9816" t="inlineStr">
        <is>
          <t>Kochav Defense Acquisition Corp.</t>
        </is>
      </c>
      <c r="C9816" t="inlineStr">
        <is>
          <t>Nasdaq</t>
        </is>
      </c>
      <c r="D9816" t="n">
        <v>2053799</v>
      </c>
      <c r="E9816" t="inlineStr">
        <is>
          <t>SEC</t>
        </is>
      </c>
    </row>
    <row r="9817">
      <c r="A9817" s="5">
        <f>HYPERLINK("https://finance.yahoo.com/quote/YSHLF","YSHLF")</f>
        <v/>
      </c>
      <c r="B9817" t="inlineStr">
        <is>
          <t>Yangzijiang Shipbuilding Holdings Ltd/ADR</t>
        </is>
      </c>
      <c r="C9817" t="inlineStr">
        <is>
          <t>OTC</t>
        </is>
      </c>
      <c r="D9817" t="n">
        <v>2053843</v>
      </c>
      <c r="E9817" t="inlineStr">
        <is>
          <t>SEC</t>
        </is>
      </c>
    </row>
    <row r="9818">
      <c r="A9818" s="5">
        <f>HYPERLINK("https://finance.yahoo.com/quote/WTGUR","WTGUR")</f>
        <v/>
      </c>
      <c r="B9818" t="inlineStr">
        <is>
          <t>Wintergreen Acquisition Corp.</t>
        </is>
      </c>
      <c r="C9818" t="inlineStr">
        <is>
          <t>Nasdaq</t>
        </is>
      </c>
      <c r="D9818" t="n">
        <v>2053927</v>
      </c>
      <c r="E9818" t="inlineStr">
        <is>
          <t>SEC</t>
        </is>
      </c>
    </row>
    <row r="9819">
      <c r="A9819" s="5">
        <f>HYPERLINK("https://finance.yahoo.com/quote/WTGUU","WTGUU")</f>
        <v/>
      </c>
      <c r="B9819" t="inlineStr">
        <is>
          <t>Wintergreen Acquisition Corp.</t>
        </is>
      </c>
      <c r="C9819" t="inlineStr">
        <is>
          <t>Nasdaq</t>
        </is>
      </c>
      <c r="D9819" t="n">
        <v>2053927</v>
      </c>
      <c r="E9819" t="inlineStr">
        <is>
          <t>SEC</t>
        </is>
      </c>
    </row>
    <row r="9820">
      <c r="A9820" s="5">
        <f>HYPERLINK("https://finance.yahoo.com/quote/ONCHU","ONCHU")</f>
        <v/>
      </c>
      <c r="B9820" t="inlineStr">
        <is>
          <t>1RT Acquisition Corp.</t>
        </is>
      </c>
      <c r="C9820" t="inlineStr">
        <is>
          <t>Nasdaq</t>
        </is>
      </c>
      <c r="D9820" t="n">
        <v>2054272</v>
      </c>
      <c r="E9820" t="inlineStr">
        <is>
          <t>SEC</t>
        </is>
      </c>
    </row>
    <row r="9821">
      <c r="A9821" s="5">
        <f>HYPERLINK("https://finance.yahoo.com/quote/ONCHW","ONCHW")</f>
        <v/>
      </c>
      <c r="B9821" t="inlineStr">
        <is>
          <t>1RT Acquisition Corp.</t>
        </is>
      </c>
      <c r="C9821" t="inlineStr">
        <is>
          <t>Nasdaq</t>
        </is>
      </c>
      <c r="D9821" t="n">
        <v>2054272</v>
      </c>
      <c r="E9821" t="inlineStr">
        <is>
          <t>SEC</t>
        </is>
      </c>
    </row>
    <row r="9822">
      <c r="A9822" s="5">
        <f>HYPERLINK("https://finance.yahoo.com/quote/NMPAR","NMPAR")</f>
        <v/>
      </c>
      <c r="B9822" t="inlineStr">
        <is>
          <t>NMP Acquisition Corp.</t>
        </is>
      </c>
      <c r="C9822" t="inlineStr">
        <is>
          <t>Nasdaq</t>
        </is>
      </c>
      <c r="D9822" t="n">
        <v>2054876</v>
      </c>
      <c r="E9822" t="inlineStr">
        <is>
          <t>SEC</t>
        </is>
      </c>
    </row>
    <row r="9823">
      <c r="A9823" s="5">
        <f>HYPERLINK("https://finance.yahoo.com/quote/NMPAU","NMPAU")</f>
        <v/>
      </c>
      <c r="B9823" t="inlineStr">
        <is>
          <t>NMP Acquisition Corp.</t>
        </is>
      </c>
      <c r="C9823" t="inlineStr">
        <is>
          <t>Nasdaq</t>
        </is>
      </c>
      <c r="D9823" t="n">
        <v>2054876</v>
      </c>
      <c r="E9823" t="inlineStr">
        <is>
          <t>SEC</t>
        </is>
      </c>
    </row>
    <row r="9824">
      <c r="A9824" s="5">
        <f>HYPERLINK("https://finance.yahoo.com/quote/RDAGU","RDAGU")</f>
        <v/>
      </c>
      <c r="B9824" t="inlineStr">
        <is>
          <t>Republic Digital Acquisition Co</t>
        </is>
      </c>
      <c r="C9824" t="inlineStr">
        <is>
          <t>Nasdaq</t>
        </is>
      </c>
      <c r="D9824" t="n">
        <v>2055459</v>
      </c>
      <c r="E9824" t="inlineStr">
        <is>
          <t>SEC</t>
        </is>
      </c>
    </row>
    <row r="9825">
      <c r="A9825" s="5">
        <f>HYPERLINK("https://finance.yahoo.com/quote/RDAGW","RDAGW")</f>
        <v/>
      </c>
      <c r="B9825" t="inlineStr">
        <is>
          <t>Republic Digital Acquisition Co</t>
        </is>
      </c>
      <c r="C9825" t="inlineStr">
        <is>
          <t>Nasdaq</t>
        </is>
      </c>
      <c r="D9825" t="n">
        <v>2055459</v>
      </c>
      <c r="E9825" t="inlineStr">
        <is>
          <t>SEC</t>
        </is>
      </c>
    </row>
    <row r="9826">
      <c r="A9826" s="5">
        <f>HYPERLINK("https://finance.yahoo.com/quote/VNMEU","VNMEU")</f>
        <v/>
      </c>
      <c r="B9826" t="inlineStr">
        <is>
          <t>Vendome Acquisition Corp I</t>
        </is>
      </c>
      <c r="C9826" t="inlineStr">
        <is>
          <t>Nasdaq</t>
        </is>
      </c>
      <c r="D9826" t="n">
        <v>2055879</v>
      </c>
      <c r="E9826" t="inlineStr">
        <is>
          <t>SEC</t>
        </is>
      </c>
    </row>
    <row r="9827">
      <c r="A9827" s="5">
        <f>HYPERLINK("https://finance.yahoo.com/quote/VNMEW","VNMEW")</f>
        <v/>
      </c>
      <c r="B9827" t="inlineStr">
        <is>
          <t>Vendome Acquisition Corp I</t>
        </is>
      </c>
      <c r="C9827" t="inlineStr">
        <is>
          <t>Nasdaq</t>
        </is>
      </c>
      <c r="D9827" t="n">
        <v>2055879</v>
      </c>
      <c r="E9827" t="inlineStr">
        <is>
          <t>SEC</t>
        </is>
      </c>
    </row>
    <row r="9828">
      <c r="A9828" s="5">
        <f>HYPERLINK("https://finance.yahoo.com/quote/RDSC","RDSC")</f>
        <v/>
      </c>
      <c r="B9828" t="inlineStr">
        <is>
          <t>Radiant Strategies Corp</t>
        </is>
      </c>
      <c r="C9828" t="inlineStr">
        <is>
          <t>OTC</t>
        </is>
      </c>
      <c r="D9828" t="n">
        <v>2056016</v>
      </c>
      <c r="E9828" t="inlineStr">
        <is>
          <t>SEC</t>
        </is>
      </c>
    </row>
    <row r="9829">
      <c r="A9829" s="5">
        <f>HYPERLINK("https://finance.yahoo.com/quote/PCAPU","PCAPU")</f>
        <v/>
      </c>
      <c r="B9829" t="inlineStr">
        <is>
          <t>ProCap Acquisition Corp</t>
        </is>
      </c>
      <c r="C9829" t="inlineStr">
        <is>
          <t>Nasdaq</t>
        </is>
      </c>
      <c r="D9829" t="n">
        <v>2056634</v>
      </c>
      <c r="E9829" t="inlineStr">
        <is>
          <t>SEC</t>
        </is>
      </c>
    </row>
    <row r="9830">
      <c r="A9830" s="5">
        <f>HYPERLINK("https://finance.yahoo.com/quote/PCAPW","PCAPW")</f>
        <v/>
      </c>
      <c r="B9830" t="inlineStr">
        <is>
          <t>ProCap Acquisition Corp</t>
        </is>
      </c>
      <c r="C9830" t="inlineStr">
        <is>
          <t>Nasdaq</t>
        </is>
      </c>
      <c r="D9830" t="n">
        <v>2056634</v>
      </c>
      <c r="E9830" t="inlineStr">
        <is>
          <t>SEC</t>
        </is>
      </c>
    </row>
    <row r="9831">
      <c r="A9831" s="5">
        <f>HYPERLINK("https://finance.yahoo.com/quote/AXINR","AXINR")</f>
        <v/>
      </c>
      <c r="B9831" t="inlineStr">
        <is>
          <t>Axiom Intelligence Acquisition Corp 1</t>
        </is>
      </c>
      <c r="C9831" t="inlineStr">
        <is>
          <t>Nasdaq</t>
        </is>
      </c>
      <c r="D9831" t="n">
        <v>2057030</v>
      </c>
      <c r="E9831" t="inlineStr">
        <is>
          <t>SEC</t>
        </is>
      </c>
    </row>
    <row r="9832">
      <c r="A9832" s="5">
        <f>HYPERLINK("https://finance.yahoo.com/quote/AXINU","AXINU")</f>
        <v/>
      </c>
      <c r="B9832" t="inlineStr">
        <is>
          <t>Axiom Intelligence Acquisition Corp 1</t>
        </is>
      </c>
      <c r="C9832" t="inlineStr">
        <is>
          <t>Nasdaq</t>
        </is>
      </c>
      <c r="D9832" t="n">
        <v>2057030</v>
      </c>
      <c r="E9832" t="inlineStr">
        <is>
          <t>SEC</t>
        </is>
      </c>
    </row>
    <row r="9833">
      <c r="A9833" s="5">
        <f>HYPERLINK("https://finance.yahoo.com/quote/WENNU","WENNU")</f>
        <v/>
      </c>
      <c r="B9833" t="inlineStr">
        <is>
          <t>WEN Acquisition Corp</t>
        </is>
      </c>
      <c r="C9833" t="inlineStr">
        <is>
          <t>Nasdaq</t>
        </is>
      </c>
      <c r="D9833" t="n">
        <v>2057043</v>
      </c>
      <c r="E9833" t="inlineStr">
        <is>
          <t>SEC</t>
        </is>
      </c>
    </row>
    <row r="9834">
      <c r="A9834" s="5">
        <f>HYPERLINK("https://finance.yahoo.com/quote/WENNW","WENNW")</f>
        <v/>
      </c>
      <c r="B9834" t="inlineStr">
        <is>
          <t>WEN Acquisition Corp</t>
        </is>
      </c>
      <c r="C9834" t="inlineStr">
        <is>
          <t>Nasdaq</t>
        </is>
      </c>
      <c r="D9834" t="n">
        <v>2057043</v>
      </c>
      <c r="E9834" t="inlineStr">
        <is>
          <t>SEC</t>
        </is>
      </c>
    </row>
    <row r="9835">
      <c r="A9835" s="5">
        <f>HYPERLINK("https://finance.yahoo.com/quote/RADC","RADC")</f>
        <v/>
      </c>
      <c r="B9835" t="inlineStr">
        <is>
          <t>Readvantage Corp.</t>
        </is>
      </c>
      <c r="C9835" t="inlineStr">
        <is>
          <t>OTC</t>
        </is>
      </c>
      <c r="D9835" t="n">
        <v>2057381</v>
      </c>
      <c r="E9835" t="inlineStr">
        <is>
          <t>SEC</t>
        </is>
      </c>
    </row>
    <row r="9836">
      <c r="A9836" s="5">
        <f>HYPERLINK("https://finance.yahoo.com/quote/GLIBK","GLIBK")</f>
        <v/>
      </c>
      <c r="B9836" t="inlineStr">
        <is>
          <t>Liberty Capital Corp/NV</t>
        </is>
      </c>
      <c r="C9836" t="inlineStr">
        <is>
          <t>Nasdaq</t>
        </is>
      </c>
      <c r="D9836" t="n">
        <v>2057463</v>
      </c>
      <c r="E9836" t="inlineStr">
        <is>
          <t>SEC</t>
        </is>
      </c>
    </row>
    <row r="9837">
      <c r="A9837" s="5">
        <f>HYPERLINK("https://finance.yahoo.com/quote/CRAQR","CRAQR")</f>
        <v/>
      </c>
      <c r="B9837" t="inlineStr">
        <is>
          <t>Cal Redwood Acquisition Corp.</t>
        </is>
      </c>
      <c r="C9837" t="inlineStr">
        <is>
          <t>Nasdaq</t>
        </is>
      </c>
      <c r="D9837" t="n">
        <v>2058359</v>
      </c>
      <c r="E9837" t="inlineStr">
        <is>
          <t>SEC</t>
        </is>
      </c>
    </row>
    <row r="9838">
      <c r="A9838" s="5">
        <f>HYPERLINK("https://finance.yahoo.com/quote/CRAQU","CRAQU")</f>
        <v/>
      </c>
      <c r="B9838" t="inlineStr">
        <is>
          <t>Cal Redwood Acquisition Corp.</t>
        </is>
      </c>
      <c r="C9838" t="inlineStr">
        <is>
          <t>Nasdaq</t>
        </is>
      </c>
      <c r="D9838" t="n">
        <v>2058359</v>
      </c>
      <c r="E9838" t="inlineStr">
        <is>
          <t>SEC</t>
        </is>
      </c>
    </row>
    <row r="9839">
      <c r="A9839" s="5">
        <f>HYPERLINK("https://finance.yahoo.com/quote/FIGXU","FIGXU")</f>
        <v/>
      </c>
      <c r="B9839" t="inlineStr">
        <is>
          <t>FIGX Capital Acquisition Corp.</t>
        </is>
      </c>
      <c r="C9839" t="inlineStr">
        <is>
          <t>Nasdaq</t>
        </is>
      </c>
      <c r="D9839" t="n">
        <v>2059033</v>
      </c>
      <c r="E9839" t="inlineStr">
        <is>
          <t>SEC</t>
        </is>
      </c>
    </row>
    <row r="9840">
      <c r="A9840" s="5">
        <f>HYPERLINK("https://finance.yahoo.com/quote/FIGXW","FIGXW")</f>
        <v/>
      </c>
      <c r="B9840" t="inlineStr">
        <is>
          <t>FIGX Capital Acquisition Corp.</t>
        </is>
      </c>
      <c r="C9840" t="inlineStr">
        <is>
          <t>Nasdaq</t>
        </is>
      </c>
      <c r="D9840" t="n">
        <v>2059033</v>
      </c>
      <c r="E9840" t="inlineStr">
        <is>
          <t>SEC</t>
        </is>
      </c>
    </row>
    <row r="9841">
      <c r="A9841" s="5">
        <f>HYPERLINK("https://finance.yahoo.com/quote/SSEAR","SSEAR")</f>
        <v/>
      </c>
      <c r="B9841" t="inlineStr">
        <is>
          <t>STARRY SEA ACQUISITION CORP</t>
        </is>
      </c>
      <c r="C9841" t="inlineStr">
        <is>
          <t>Nasdaq</t>
        </is>
      </c>
      <c r="D9841" t="n">
        <v>2059165</v>
      </c>
      <c r="E9841" t="inlineStr">
        <is>
          <t>SEC</t>
        </is>
      </c>
    </row>
    <row r="9842">
      <c r="A9842" s="5">
        <f>HYPERLINK("https://finance.yahoo.com/quote/SSEAU","SSEAU")</f>
        <v/>
      </c>
      <c r="B9842" t="inlineStr">
        <is>
          <t>STARRY SEA ACQUISITION CORP</t>
        </is>
      </c>
      <c r="C9842" t="inlineStr">
        <is>
          <t>Nasdaq</t>
        </is>
      </c>
      <c r="D9842" t="n">
        <v>2059165</v>
      </c>
      <c r="E9842" t="inlineStr">
        <is>
          <t>SEC</t>
        </is>
      </c>
    </row>
    <row r="9843">
      <c r="A9843" s="5">
        <f>HYPERLINK("https://finance.yahoo.com/quote/BACCR","BACCR")</f>
        <v/>
      </c>
      <c r="B9843" t="inlineStr">
        <is>
          <t>Blue Acquisition Corp/Cayman</t>
        </is>
      </c>
      <c r="C9843" t="inlineStr">
        <is>
          <t>Nasdaq</t>
        </is>
      </c>
      <c r="D9843" t="n">
        <v>2059654</v>
      </c>
      <c r="E9843" t="inlineStr">
        <is>
          <t>SEC</t>
        </is>
      </c>
    </row>
    <row r="9844">
      <c r="A9844" s="5">
        <f>HYPERLINK("https://finance.yahoo.com/quote/BACCU","BACCU")</f>
        <v/>
      </c>
      <c r="B9844" t="inlineStr">
        <is>
          <t>Blue Acquisition Corp/Cayman</t>
        </is>
      </c>
      <c r="C9844" t="inlineStr">
        <is>
          <t>Nasdaq</t>
        </is>
      </c>
      <c r="D9844" t="n">
        <v>2059654</v>
      </c>
      <c r="E9844" t="inlineStr">
        <is>
          <t>SEC</t>
        </is>
      </c>
    </row>
    <row r="9845">
      <c r="A9845" s="5">
        <f>HYPERLINK("https://finance.yahoo.com/quote/ONWRF","ONWRF")</f>
        <v/>
      </c>
      <c r="B9845" t="inlineStr">
        <is>
          <t>Onward Medical N.V./ADR</t>
        </is>
      </c>
      <c r="C9845" t="inlineStr">
        <is>
          <t>OTC</t>
        </is>
      </c>
      <c r="D9845" t="n">
        <v>2059986</v>
      </c>
      <c r="E9845" t="inlineStr">
        <is>
          <t>SEC</t>
        </is>
      </c>
    </row>
    <row r="9846">
      <c r="A9846" s="5">
        <f>HYPERLINK("https://finance.yahoo.com/quote/HRZRF","HRZRF")</f>
        <v/>
      </c>
      <c r="B9846" t="inlineStr">
        <is>
          <t>Horizon Robotics, Inc./ADR</t>
        </is>
      </c>
      <c r="C9846" t="inlineStr">
        <is>
          <t>OTC</t>
        </is>
      </c>
      <c r="D9846" t="n">
        <v>2060217</v>
      </c>
      <c r="E9846" t="inlineStr">
        <is>
          <t>SEC</t>
        </is>
      </c>
    </row>
    <row r="9847">
      <c r="A9847" s="5">
        <f>HYPERLINK("https://finance.yahoo.com/quote/JENA-RI","JENA-RI")</f>
        <v/>
      </c>
      <c r="B9847" t="inlineStr">
        <is>
          <t>JENA ACQUISITION Corp II</t>
        </is>
      </c>
      <c r="C9847" t="inlineStr">
        <is>
          <t>NYSE</t>
        </is>
      </c>
      <c r="D9847" t="n">
        <v>2060337</v>
      </c>
      <c r="E9847" t="inlineStr">
        <is>
          <t>SEC</t>
        </is>
      </c>
    </row>
    <row r="9848">
      <c r="A9848" s="5">
        <f>HYPERLINK("https://finance.yahoo.com/quote/JENA-UN","JENA-UN")</f>
        <v/>
      </c>
      <c r="B9848" t="inlineStr">
        <is>
          <t>JENA ACQUISITION Corp II</t>
        </is>
      </c>
      <c r="C9848" t="inlineStr">
        <is>
          <t>NYSE</t>
        </is>
      </c>
      <c r="D9848" t="n">
        <v>2060337</v>
      </c>
      <c r="E9848" t="inlineStr">
        <is>
          <t>SEC</t>
        </is>
      </c>
    </row>
    <row r="9849">
      <c r="A9849" s="5">
        <f>HYPERLINK("https://finance.yahoo.com/quote/NGHLF","NGHLF")</f>
        <v/>
      </c>
      <c r="B9849" t="inlineStr">
        <is>
          <t>Nightingale Health Plc</t>
        </is>
      </c>
      <c r="C9849" t="inlineStr">
        <is>
          <t>OTC</t>
        </is>
      </c>
      <c r="D9849" t="n">
        <v>2060863</v>
      </c>
      <c r="E9849" t="inlineStr">
        <is>
          <t>SEC</t>
        </is>
      </c>
    </row>
    <row r="9850">
      <c r="A9850" s="5">
        <f>HYPERLINK("https://finance.yahoo.com/quote/LWACU","LWACU")</f>
        <v/>
      </c>
      <c r="B9850" t="inlineStr">
        <is>
          <t>LightWave Acquisition Corp.</t>
        </is>
      </c>
      <c r="C9850" t="inlineStr">
        <is>
          <t>Nasdaq</t>
        </is>
      </c>
      <c r="D9850" t="n">
        <v>2061379</v>
      </c>
      <c r="E9850" t="inlineStr">
        <is>
          <t>SEC</t>
        </is>
      </c>
    </row>
    <row r="9851">
      <c r="A9851" s="5">
        <f>HYPERLINK("https://finance.yahoo.com/quote/LWACW","LWACW")</f>
        <v/>
      </c>
      <c r="B9851" t="inlineStr">
        <is>
          <t>LightWave Acquisition Corp.</t>
        </is>
      </c>
      <c r="C9851" t="inlineStr">
        <is>
          <t>Nasdaq</t>
        </is>
      </c>
      <c r="D9851" t="n">
        <v>2061379</v>
      </c>
      <c r="E9851" t="inlineStr">
        <is>
          <t>SEC</t>
        </is>
      </c>
    </row>
    <row r="9852">
      <c r="A9852" s="5">
        <f>HYPERLINK("https://finance.yahoo.com/quote/PMTRU","PMTRU")</f>
        <v/>
      </c>
      <c r="B9852" t="inlineStr">
        <is>
          <t>Perimeter Acquisition Corp. I</t>
        </is>
      </c>
      <c r="C9852" t="inlineStr">
        <is>
          <t>Nasdaq</t>
        </is>
      </c>
      <c r="D9852" t="n">
        <v>2061473</v>
      </c>
      <c r="E9852" t="inlineStr">
        <is>
          <t>SEC</t>
        </is>
      </c>
    </row>
    <row r="9853">
      <c r="A9853" s="5">
        <f>HYPERLINK("https://finance.yahoo.com/quote/PMTRW","PMTRW")</f>
        <v/>
      </c>
      <c r="B9853" t="inlineStr">
        <is>
          <t>Perimeter Acquisition Corp. I</t>
        </is>
      </c>
      <c r="C9853" t="inlineStr">
        <is>
          <t>Nasdaq</t>
        </is>
      </c>
      <c r="D9853" t="n">
        <v>2061473</v>
      </c>
      <c r="E9853" t="inlineStr">
        <is>
          <t>SEC</t>
        </is>
      </c>
    </row>
    <row r="9854">
      <c r="A9854" s="5">
        <f>HYPERLINK("https://finance.yahoo.com/quote/MXUGF","MXUGF")</f>
        <v/>
      </c>
      <c r="B9854" t="inlineStr">
        <is>
          <t>Mixue Bingcheng Co Ltd/ADR</t>
        </is>
      </c>
      <c r="C9854" t="inlineStr">
        <is>
          <t>OTC</t>
        </is>
      </c>
      <c r="D9854" t="n">
        <v>2061911</v>
      </c>
      <c r="E9854" t="inlineStr">
        <is>
          <t>SEC</t>
        </is>
      </c>
    </row>
    <row r="9855">
      <c r="A9855" s="5">
        <f>HYPERLINK("https://finance.yahoo.com/quote/KYIVW","KYIVW")</f>
        <v/>
      </c>
      <c r="B9855" t="inlineStr">
        <is>
          <t>Kyivstar Group Ltd.</t>
        </is>
      </c>
      <c r="C9855" t="inlineStr">
        <is>
          <t>Nasdaq</t>
        </is>
      </c>
      <c r="D9855" t="n">
        <v>2062440</v>
      </c>
      <c r="E9855" t="inlineStr">
        <is>
          <t>SEC</t>
        </is>
      </c>
    </row>
    <row r="9856">
      <c r="A9856" s="5">
        <f>HYPERLINK("https://finance.yahoo.com/quote/GMWKF","GMWKF")</f>
        <v/>
      </c>
      <c r="B9856" t="inlineStr">
        <is>
          <t>GAMES WORKSHOP GROUP PLC/ADR</t>
        </is>
      </c>
      <c r="C9856" t="inlineStr">
        <is>
          <t>OTC</t>
        </is>
      </c>
      <c r="D9856" t="n">
        <v>2062522</v>
      </c>
      <c r="E9856" t="inlineStr">
        <is>
          <t>SEC</t>
        </is>
      </c>
    </row>
    <row r="9857">
      <c r="A9857" s="5">
        <f>HYPERLINK("https://finance.yahoo.com/quote/MMEDV","MMEDV")</f>
        <v/>
      </c>
      <c r="B9857" t="inlineStr">
        <is>
          <t>MiniMed Group, Inc.</t>
        </is>
      </c>
      <c r="C9857" t="inlineStr">
        <is>
          <t>Nasdaq</t>
        </is>
      </c>
      <c r="D9857" t="n">
        <v>2062583</v>
      </c>
      <c r="E9857" t="inlineStr">
        <is>
          <t>SEC</t>
        </is>
      </c>
    </row>
    <row r="9858">
      <c r="A9858" s="5">
        <f>HYPERLINK("https://finance.yahoo.com/quote/IDPUF","IDPUF")</f>
        <v/>
      </c>
      <c r="B9858" t="inlineStr">
        <is>
          <t>IDP Education Ltd./ADR</t>
        </is>
      </c>
      <c r="C9858" t="inlineStr">
        <is>
          <t>OTC</t>
        </is>
      </c>
      <c r="D9858" t="n">
        <v>2062803</v>
      </c>
      <c r="E9858" t="inlineStr">
        <is>
          <t>SEC</t>
        </is>
      </c>
    </row>
    <row r="9859">
      <c r="A9859" s="5">
        <f>HYPERLINK("https://finance.yahoo.com/quote/MGHTF","MGHTF")</f>
        <v/>
      </c>
      <c r="B9859" t="inlineStr">
        <is>
          <t>Mercury NZ Ltd./ADR</t>
        </is>
      </c>
      <c r="C9859" t="inlineStr">
        <is>
          <t>OTC</t>
        </is>
      </c>
      <c r="D9859" t="n">
        <v>2062807</v>
      </c>
      <c r="E9859" t="inlineStr">
        <is>
          <t>SEC</t>
        </is>
      </c>
    </row>
    <row r="9860">
      <c r="A9860" s="5">
        <f>HYPERLINK("https://finance.yahoo.com/quote/SPHXF","SPHXF")</f>
        <v/>
      </c>
      <c r="B9860" t="inlineStr">
        <is>
          <t>SM Prime Holdings Inc./ADR</t>
        </is>
      </c>
      <c r="C9860" t="inlineStr">
        <is>
          <t>OTC</t>
        </is>
      </c>
      <c r="D9860" t="n">
        <v>2063413</v>
      </c>
      <c r="E9860" t="inlineStr">
        <is>
          <t>SEC</t>
        </is>
      </c>
    </row>
    <row r="9861">
      <c r="A9861" s="5">
        <f>HYPERLINK("https://finance.yahoo.com/quote/MDDNF","MDDNF")</f>
        <v/>
      </c>
      <c r="B9861" t="inlineStr">
        <is>
          <t>Meridian Energy Ltd/ADR</t>
        </is>
      </c>
      <c r="C9861" t="inlineStr">
        <is>
          <t>OTC</t>
        </is>
      </c>
      <c r="D9861" t="n">
        <v>2063417</v>
      </c>
      <c r="E9861" t="inlineStr">
        <is>
          <t>SEC</t>
        </is>
      </c>
    </row>
    <row r="9862">
      <c r="A9862" s="5">
        <f>HYPERLINK("https://finance.yahoo.com/quote/LSHGF","LSHGF")</f>
        <v/>
      </c>
      <c r="B9862" t="inlineStr">
        <is>
          <t>Louis Hachette Group/ADR</t>
        </is>
      </c>
      <c r="C9862" t="inlineStr">
        <is>
          <t>OTC</t>
        </is>
      </c>
      <c r="D9862" t="n">
        <v>2063675</v>
      </c>
      <c r="E9862" t="inlineStr">
        <is>
          <t>SEC</t>
        </is>
      </c>
    </row>
    <row r="9863">
      <c r="A9863" s="5">
        <f>HYPERLINK("https://finance.yahoo.com/quote/PSBAF","PSBAF")</f>
        <v/>
      </c>
      <c r="B9863" t="inlineStr">
        <is>
          <t>PT Sumber Alfaria Trijaya Tbk/ADR</t>
        </is>
      </c>
      <c r="C9863" t="inlineStr">
        <is>
          <t>OTC</t>
        </is>
      </c>
      <c r="D9863" t="n">
        <v>2063685</v>
      </c>
      <c r="E9863" t="inlineStr">
        <is>
          <t>SEC</t>
        </is>
      </c>
    </row>
    <row r="9864">
      <c r="A9864" s="5">
        <f>HYPERLINK("https://finance.yahoo.com/quote/INACR","INACR")</f>
        <v/>
      </c>
      <c r="B9864" t="inlineStr">
        <is>
          <t>Indigo Acquisition Corp.</t>
        </is>
      </c>
      <c r="C9864" t="inlineStr">
        <is>
          <t>Nasdaq</t>
        </is>
      </c>
      <c r="D9864" t="n">
        <v>2063816</v>
      </c>
      <c r="E9864" t="inlineStr">
        <is>
          <t>SEC</t>
        </is>
      </c>
    </row>
    <row r="9865">
      <c r="A9865" s="5">
        <f>HYPERLINK("https://finance.yahoo.com/quote/INACU","INACU")</f>
        <v/>
      </c>
      <c r="B9865" t="inlineStr">
        <is>
          <t>Indigo Acquisition Corp.</t>
        </is>
      </c>
      <c r="C9865" t="inlineStr">
        <is>
          <t>Nasdaq</t>
        </is>
      </c>
      <c r="D9865" t="n">
        <v>2063816</v>
      </c>
      <c r="E9865" t="inlineStr">
        <is>
          <t>SEC</t>
        </is>
      </c>
    </row>
    <row r="9866">
      <c r="A9866" s="5">
        <f>HYPERLINK("https://finance.yahoo.com/quote/FGRS","FGRS")</f>
        <v/>
      </c>
      <c r="B9866" t="inlineStr">
        <is>
          <t>Figure Technology Solutions, Inc.</t>
        </is>
      </c>
      <c r="C9866" t="inlineStr">
        <is>
          <t>OTC</t>
        </is>
      </c>
      <c r="D9866" t="n">
        <v>2064124</v>
      </c>
      <c r="E9866" t="inlineStr">
        <is>
          <t>SEC</t>
        </is>
      </c>
    </row>
    <row r="9867">
      <c r="A9867" s="5">
        <f>HYPERLINK("https://finance.yahoo.com/quote/BPACR","BPACR")</f>
        <v/>
      </c>
      <c r="B9867" t="inlineStr">
        <is>
          <t>Blueport Acquisition Ltd</t>
        </is>
      </c>
      <c r="C9867" t="inlineStr">
        <is>
          <t>Nasdaq</t>
        </is>
      </c>
      <c r="D9867" t="n">
        <v>2064177</v>
      </c>
      <c r="E9867" t="inlineStr">
        <is>
          <t>SEC</t>
        </is>
      </c>
    </row>
    <row r="9868">
      <c r="A9868" s="5">
        <f>HYPERLINK("https://finance.yahoo.com/quote/BPACU","BPACU")</f>
        <v/>
      </c>
      <c r="B9868" t="inlineStr">
        <is>
          <t>Blueport Acquisition Ltd</t>
        </is>
      </c>
      <c r="C9868" t="inlineStr">
        <is>
          <t>Nasdaq</t>
        </is>
      </c>
      <c r="D9868" t="n">
        <v>2064177</v>
      </c>
      <c r="E9868" t="inlineStr">
        <is>
          <t>SEC</t>
        </is>
      </c>
    </row>
    <row r="9869">
      <c r="A9869" s="5">
        <f>HYPERLINK("https://finance.yahoo.com/quote/BCSS-UN","BCSS-UN")</f>
        <v/>
      </c>
      <c r="B9869" t="inlineStr">
        <is>
          <t>Bain Capital GSS Investment Corp.</t>
        </is>
      </c>
      <c r="C9869" t="inlineStr">
        <is>
          <t>NYSE</t>
        </is>
      </c>
      <c r="D9869" t="n">
        <v>2064355</v>
      </c>
      <c r="E9869" t="inlineStr">
        <is>
          <t>SEC</t>
        </is>
      </c>
    </row>
    <row r="9870">
      <c r="A9870" s="5">
        <f>HYPERLINK("https://finance.yahoo.com/quote/BCSS-WT","BCSS-WT")</f>
        <v/>
      </c>
      <c r="B9870" t="inlineStr">
        <is>
          <t>Bain Capital GSS Investment Corp.</t>
        </is>
      </c>
      <c r="C9870" t="inlineStr">
        <is>
          <t>NYSE</t>
        </is>
      </c>
      <c r="D9870" t="n">
        <v>2064355</v>
      </c>
      <c r="E9870" t="inlineStr">
        <is>
          <t>SEC</t>
        </is>
      </c>
    </row>
    <row r="9871">
      <c r="A9871" s="5">
        <f>HYPERLINK("https://finance.yahoo.com/quote/MCGAU","MCGAU")</f>
        <v/>
      </c>
      <c r="B9871" t="inlineStr">
        <is>
          <t>Yorkville Acquisition Corp.</t>
        </is>
      </c>
      <c r="C9871" t="inlineStr">
        <is>
          <t>Nasdaq</t>
        </is>
      </c>
      <c r="D9871" t="n">
        <v>2064658</v>
      </c>
      <c r="E9871" t="inlineStr">
        <is>
          <t>SEC</t>
        </is>
      </c>
    </row>
    <row r="9872">
      <c r="A9872" s="5">
        <f>HYPERLINK("https://finance.yahoo.com/quote/MCGAW","MCGAW")</f>
        <v/>
      </c>
      <c r="B9872" t="inlineStr">
        <is>
          <t>Yorkville Acquisition Corp.</t>
        </is>
      </c>
      <c r="C9872" t="inlineStr">
        <is>
          <t>Nasdaq</t>
        </is>
      </c>
      <c r="D9872" t="n">
        <v>2064658</v>
      </c>
      <c r="E9872" t="inlineStr">
        <is>
          <t>SEC</t>
        </is>
      </c>
    </row>
    <row r="9873">
      <c r="A9873" s="5">
        <f>HYPERLINK("https://finance.yahoo.com/quote/CCIIU","CCIIU")</f>
        <v/>
      </c>
      <c r="B9873" t="inlineStr">
        <is>
          <t>Cohen Circle Acquisition Corp. II</t>
        </is>
      </c>
      <c r="C9873" t="inlineStr">
        <is>
          <t>Nasdaq</t>
        </is>
      </c>
      <c r="D9873" t="n">
        <v>2064683</v>
      </c>
      <c r="E9873" t="inlineStr">
        <is>
          <t>SEC</t>
        </is>
      </c>
    </row>
    <row r="9874">
      <c r="A9874" s="5">
        <f>HYPERLINK("https://finance.yahoo.com/quote/CCIIW","CCIIW")</f>
        <v/>
      </c>
      <c r="B9874" t="inlineStr">
        <is>
          <t>Cohen Circle Acquisition Corp. II</t>
        </is>
      </c>
      <c r="C9874" t="inlineStr">
        <is>
          <t>Nasdaq</t>
        </is>
      </c>
      <c r="D9874" t="n">
        <v>2064683</v>
      </c>
      <c r="E9874" t="inlineStr">
        <is>
          <t>SEC</t>
        </is>
      </c>
    </row>
    <row r="9875">
      <c r="A9875" s="5">
        <f>HYPERLINK("https://finance.yahoo.com/quote/DNKC","DNKC")</f>
        <v/>
      </c>
      <c r="B9875" t="inlineStr">
        <is>
          <t>Dankon Corp</t>
        </is>
      </c>
      <c r="C9875" t="inlineStr">
        <is>
          <t>OTC</t>
        </is>
      </c>
      <c r="D9875" t="n">
        <v>2065287</v>
      </c>
      <c r="E9875" t="inlineStr">
        <is>
          <t>SEC</t>
        </is>
      </c>
    </row>
    <row r="9876">
      <c r="A9876" s="5">
        <f>HYPERLINK("https://finance.yahoo.com/quote/JXADF","JXADF")</f>
        <v/>
      </c>
      <c r="B9876" t="inlineStr">
        <is>
          <t>JX Advanced Metals Corporation/ADR</t>
        </is>
      </c>
      <c r="C9876" t="inlineStr">
        <is>
          <t>OTC</t>
        </is>
      </c>
      <c r="D9876" t="n">
        <v>2065485</v>
      </c>
      <c r="E9876" t="inlineStr">
        <is>
          <t>SEC</t>
        </is>
      </c>
    </row>
    <row r="9877">
      <c r="A9877" s="5">
        <f>HYPERLINK("https://finance.yahoo.com/quote/DNACF","DNACF")</f>
        <v/>
      </c>
      <c r="B9877" t="inlineStr">
        <is>
          <t>DeNA Co., Ltd./ADR</t>
        </is>
      </c>
      <c r="C9877" t="inlineStr">
        <is>
          <t>OTC</t>
        </is>
      </c>
      <c r="D9877" t="n">
        <v>2065660</v>
      </c>
      <c r="E9877" t="inlineStr">
        <is>
          <t>SEC</t>
        </is>
      </c>
    </row>
    <row r="9878">
      <c r="A9878" s="5">
        <f>HYPERLINK("https://finance.yahoo.com/quote/PLUN-RI","PLUN-RI")</f>
        <v/>
      </c>
      <c r="B9878" t="inlineStr">
        <is>
          <t>Plutonian Acquisition Corp. II</t>
        </is>
      </c>
      <c r="C9878" t="inlineStr">
        <is>
          <t>NYSE</t>
        </is>
      </c>
      <c r="D9878" t="n">
        <v>2065661</v>
      </c>
      <c r="E9878" t="inlineStr">
        <is>
          <t>SEC</t>
        </is>
      </c>
    </row>
    <row r="9879">
      <c r="A9879" s="5">
        <f>HYPERLINK("https://finance.yahoo.com/quote/PLUN-UN","PLUN-UN")</f>
        <v/>
      </c>
      <c r="B9879" t="inlineStr">
        <is>
          <t>Plutonian Acquisition Corp. II</t>
        </is>
      </c>
      <c r="C9879" t="inlineStr">
        <is>
          <t>NYSE</t>
        </is>
      </c>
      <c r="D9879" t="n">
        <v>2065661</v>
      </c>
      <c r="E9879" t="inlineStr">
        <is>
          <t>SEC</t>
        </is>
      </c>
    </row>
    <row r="9880">
      <c r="A9880" s="5">
        <f>HYPERLINK("https://finance.yahoo.com/quote/FLNCF","FLNCF")</f>
        <v/>
      </c>
      <c r="B9880" t="inlineStr">
        <is>
          <t>Freelancer Ltd</t>
        </is>
      </c>
      <c r="C9880" t="inlineStr">
        <is>
          <t>OTC</t>
        </is>
      </c>
      <c r="D9880" t="n">
        <v>2065932</v>
      </c>
      <c r="E9880" t="inlineStr">
        <is>
          <t>SEC</t>
        </is>
      </c>
    </row>
    <row r="9881">
      <c r="A9881" s="5">
        <f>HYPERLINK("https://finance.yahoo.com/quote/SOCAU","SOCAU")</f>
        <v/>
      </c>
      <c r="B9881" t="inlineStr">
        <is>
          <t>Solarius Capital Acquisition Corp.</t>
        </is>
      </c>
      <c r="C9881" t="inlineStr">
        <is>
          <t>Nasdaq</t>
        </is>
      </c>
      <c r="D9881" t="n">
        <v>2065948</v>
      </c>
      <c r="E9881" t="inlineStr">
        <is>
          <t>SEC</t>
        </is>
      </c>
    </row>
    <row r="9882">
      <c r="A9882" s="5">
        <f>HYPERLINK("https://finance.yahoo.com/quote/SOCAW","SOCAW")</f>
        <v/>
      </c>
      <c r="B9882" t="inlineStr">
        <is>
          <t>Solarius Capital Acquisition Corp.</t>
        </is>
      </c>
      <c r="C9882" t="inlineStr">
        <is>
          <t>Nasdaq</t>
        </is>
      </c>
      <c r="D9882" t="n">
        <v>2065948</v>
      </c>
      <c r="E9882" t="inlineStr">
        <is>
          <t>SEC</t>
        </is>
      </c>
    </row>
    <row r="9883">
      <c r="A9883" s="5">
        <f>HYPERLINK("https://finance.yahoo.com/quote/SCXBF","SCXBF")</f>
        <v/>
      </c>
      <c r="B9883" t="inlineStr">
        <is>
          <t>SCB X Public Co Ltd</t>
        </is>
      </c>
      <c r="C9883" t="inlineStr">
        <is>
          <t>OTC</t>
        </is>
      </c>
      <c r="D9883" t="n">
        <v>2066600</v>
      </c>
      <c r="E9883" t="inlineStr">
        <is>
          <t>SEC</t>
        </is>
      </c>
    </row>
    <row r="9884">
      <c r="A9884" s="5">
        <f>HYPERLINK("https://finance.yahoo.com/quote/TOKCF","TOKCF")</f>
        <v/>
      </c>
      <c r="B9884" t="inlineStr">
        <is>
          <t>Tokyo Ohka Kogyo Co., Ltd./ADR</t>
        </is>
      </c>
      <c r="C9884" t="inlineStr">
        <is>
          <t>OTC</t>
        </is>
      </c>
      <c r="D9884" t="n">
        <v>2066601</v>
      </c>
      <c r="E9884" t="inlineStr">
        <is>
          <t>SEC</t>
        </is>
      </c>
    </row>
    <row r="9885">
      <c r="A9885" s="5">
        <f>HYPERLINK("https://finance.yahoo.com/quote/MKLYR","MKLYR")</f>
        <v/>
      </c>
      <c r="B9885" t="inlineStr">
        <is>
          <t>McKinley Acquisition Corp</t>
        </is>
      </c>
      <c r="C9885" t="inlineStr">
        <is>
          <t>Nasdaq</t>
        </is>
      </c>
      <c r="D9885" t="n">
        <v>2067592</v>
      </c>
      <c r="E9885" t="inlineStr">
        <is>
          <t>SEC</t>
        </is>
      </c>
    </row>
    <row r="9886">
      <c r="A9886" s="5">
        <f>HYPERLINK("https://finance.yahoo.com/quote/MKLYU","MKLYU")</f>
        <v/>
      </c>
      <c r="B9886" t="inlineStr">
        <is>
          <t>McKinley Acquisition Corp</t>
        </is>
      </c>
      <c r="C9886" t="inlineStr">
        <is>
          <t>Nasdaq</t>
        </is>
      </c>
      <c r="D9886" t="n">
        <v>2067592</v>
      </c>
      <c r="E9886" t="inlineStr">
        <is>
          <t>SEC</t>
        </is>
      </c>
    </row>
    <row r="9887">
      <c r="A9887" s="5">
        <f>HYPERLINK("https://finance.yahoo.com/quote/SHAZW","SHAZW")</f>
        <v/>
      </c>
      <c r="B9887" t="inlineStr">
        <is>
          <t>SharonAI Holdings Inc.</t>
        </is>
      </c>
      <c r="C9887" t="inlineStr">
        <is>
          <t>OTC</t>
        </is>
      </c>
      <c r="D9887" t="n">
        <v>2068385</v>
      </c>
      <c r="E9887" t="inlineStr">
        <is>
          <t>SEC</t>
        </is>
      </c>
    </row>
    <row r="9888">
      <c r="A9888" s="5">
        <f>HYPERLINK("https://finance.yahoo.com/quote/LPUGF","LPUGF")</f>
        <v/>
      </c>
      <c r="B9888" t="inlineStr">
        <is>
          <t>Laopu Gold Co. Ltd./ADR</t>
        </is>
      </c>
      <c r="C9888" t="inlineStr">
        <is>
          <t>OTC</t>
        </is>
      </c>
      <c r="D9888" t="n">
        <v>2068440</v>
      </c>
      <c r="E9888" t="inlineStr">
        <is>
          <t>SEC</t>
        </is>
      </c>
    </row>
    <row r="9889">
      <c r="A9889" s="5">
        <f>HYPERLINK("https://finance.yahoo.com/quote/STHRF","STHRF")</f>
        <v/>
      </c>
      <c r="B9889" t="inlineStr">
        <is>
          <t>Strathcona Resources Ltd.</t>
        </is>
      </c>
      <c r="C9889" t="inlineStr">
        <is>
          <t>OTC</t>
        </is>
      </c>
      <c r="D9889" t="n">
        <v>2068441</v>
      </c>
      <c r="E9889" t="inlineStr">
        <is>
          <t>SEC</t>
        </is>
      </c>
    </row>
    <row r="9890">
      <c r="A9890" s="5">
        <f>HYPERLINK("https://finance.yahoo.com/quote/KOYNU","KOYNU")</f>
        <v/>
      </c>
      <c r="B9890" t="inlineStr">
        <is>
          <t>CSLM Digital Asset Acquisition Corp III, Ltd</t>
        </is>
      </c>
      <c r="C9890" t="inlineStr">
        <is>
          <t>Nasdaq</t>
        </is>
      </c>
      <c r="D9890" t="n">
        <v>2068454</v>
      </c>
      <c r="E9890" t="inlineStr">
        <is>
          <t>SEC</t>
        </is>
      </c>
    </row>
    <row r="9891">
      <c r="A9891" s="5">
        <f>HYPERLINK("https://finance.yahoo.com/quote/KOYNW","KOYNW")</f>
        <v/>
      </c>
      <c r="B9891" t="inlineStr">
        <is>
          <t>CSLM Digital Asset Acquisition Corp III, Ltd</t>
        </is>
      </c>
      <c r="C9891" t="inlineStr">
        <is>
          <t>Nasdaq</t>
        </is>
      </c>
      <c r="D9891" t="n">
        <v>2068454</v>
      </c>
      <c r="E9891" t="inlineStr">
        <is>
          <t>SEC</t>
        </is>
      </c>
    </row>
    <row r="9892">
      <c r="A9892" s="5">
        <f>HYPERLINK("https://finance.yahoo.com/quote/PAII-UN","PAII-UN")</f>
        <v/>
      </c>
      <c r="B9892" t="inlineStr">
        <is>
          <t>Pyrophyte Acquisition Corp. II</t>
        </is>
      </c>
      <c r="C9892" t="inlineStr">
        <is>
          <t>NYSE</t>
        </is>
      </c>
      <c r="D9892" t="n">
        <v>2069238</v>
      </c>
      <c r="E9892" t="inlineStr">
        <is>
          <t>SEC</t>
        </is>
      </c>
    </row>
    <row r="9893">
      <c r="A9893" s="5">
        <f>HYPERLINK("https://finance.yahoo.com/quote/PAII-WT","PAII-WT")</f>
        <v/>
      </c>
      <c r="B9893" t="inlineStr">
        <is>
          <t>Pyrophyte Acquisition Corp. II</t>
        </is>
      </c>
      <c r="C9893" t="inlineStr">
        <is>
          <t>NYSE</t>
        </is>
      </c>
      <c r="D9893" t="n">
        <v>2069238</v>
      </c>
      <c r="E9893" t="inlineStr">
        <is>
          <t>SEC</t>
        </is>
      </c>
    </row>
    <row r="9894">
      <c r="A9894" s="5">
        <f>HYPERLINK("https://finance.yahoo.com/quote/HCMAU","HCMAU")</f>
        <v/>
      </c>
      <c r="B9894" t="inlineStr">
        <is>
          <t>HCM III ACQUISITION CORP.</t>
        </is>
      </c>
      <c r="C9894" t="inlineStr">
        <is>
          <t>Nasdaq</t>
        </is>
      </c>
      <c r="D9894" t="n">
        <v>2069856</v>
      </c>
      <c r="E9894" t="inlineStr">
        <is>
          <t>SEC</t>
        </is>
      </c>
    </row>
    <row r="9895">
      <c r="A9895" s="5">
        <f>HYPERLINK("https://finance.yahoo.com/quote/HCMAW","HCMAW")</f>
        <v/>
      </c>
      <c r="B9895" t="inlineStr">
        <is>
          <t>HCM III ACQUISITION CORP.</t>
        </is>
      </c>
      <c r="C9895" t="inlineStr">
        <is>
          <t>Nasdaq</t>
        </is>
      </c>
      <c r="D9895" t="n">
        <v>2069856</v>
      </c>
      <c r="E9895" t="inlineStr">
        <is>
          <t>SEC</t>
        </is>
      </c>
    </row>
    <row r="9896">
      <c r="A9896" s="5">
        <f>HYPERLINK("https://finance.yahoo.com/quote/REECF","REECF")</f>
        <v/>
      </c>
      <c r="B9896" t="inlineStr">
        <is>
          <t>Reece Limited/ADR</t>
        </is>
      </c>
      <c r="C9896" t="inlineStr">
        <is>
          <t>OTC</t>
        </is>
      </c>
      <c r="D9896" t="n">
        <v>2070570</v>
      </c>
      <c r="E9896" t="inlineStr">
        <is>
          <t>SEC</t>
        </is>
      </c>
    </row>
    <row r="9897">
      <c r="A9897" s="5">
        <f>HYPERLINK("https://finance.yahoo.com/quote/HVMCU","HVMCU")</f>
        <v/>
      </c>
      <c r="B9897" t="inlineStr">
        <is>
          <t>Highview Merger Corp.</t>
        </is>
      </c>
      <c r="C9897" t="inlineStr">
        <is>
          <t>Nasdaq</t>
        </is>
      </c>
      <c r="D9897" t="n">
        <v>2070602</v>
      </c>
      <c r="E9897" t="inlineStr">
        <is>
          <t>SEC</t>
        </is>
      </c>
    </row>
    <row r="9898">
      <c r="A9898" s="5">
        <f>HYPERLINK("https://finance.yahoo.com/quote/HVMCW","HVMCW")</f>
        <v/>
      </c>
      <c r="B9898" t="inlineStr">
        <is>
          <t>Highview Merger Corp.</t>
        </is>
      </c>
      <c r="C9898" t="inlineStr">
        <is>
          <t>Nasdaq</t>
        </is>
      </c>
      <c r="D9898" t="n">
        <v>2070602</v>
      </c>
      <c r="E9898" t="inlineStr">
        <is>
          <t>SEC</t>
        </is>
      </c>
    </row>
    <row r="9899">
      <c r="A9899" s="5">
        <f>HYPERLINK("https://finance.yahoo.com/quote/SUNI","SUNI")</f>
        <v/>
      </c>
      <c r="B9899" t="inlineStr">
        <is>
          <t>SUN</t>
        </is>
      </c>
      <c r="C9899" t="inlineStr">
        <is>
          <t>OTC</t>
        </is>
      </c>
      <c r="D9899" t="n">
        <v>2070845</v>
      </c>
      <c r="E9899" t="inlineStr">
        <is>
          <t>SEC</t>
        </is>
      </c>
    </row>
    <row r="9900">
      <c r="A9900" s="5">
        <f>HYPERLINK("https://finance.yahoo.com/quote/CRACR","CRACR")</f>
        <v/>
      </c>
      <c r="B9900" t="inlineStr">
        <is>
          <t>Crown Reserve Acquisition Corp. I</t>
        </is>
      </c>
      <c r="C9900" t="inlineStr">
        <is>
          <t>Nasdaq</t>
        </is>
      </c>
      <c r="D9900" t="n">
        <v>2070887</v>
      </c>
      <c r="E9900" t="inlineStr">
        <is>
          <t>SEC</t>
        </is>
      </c>
    </row>
    <row r="9901">
      <c r="A9901" s="5">
        <f>HYPERLINK("https://finance.yahoo.com/quote/CRACU","CRACU")</f>
        <v/>
      </c>
      <c r="B9901" t="inlineStr">
        <is>
          <t>Crown Reserve Acquisition Corp. I</t>
        </is>
      </c>
      <c r="C9901" t="inlineStr">
        <is>
          <t>Nasdaq</t>
        </is>
      </c>
      <c r="D9901" t="n">
        <v>2070887</v>
      </c>
      <c r="E9901" t="inlineStr">
        <is>
          <t>SEC</t>
        </is>
      </c>
    </row>
    <row r="9902">
      <c r="A9902" s="5">
        <f>HYPERLINK("https://finance.yahoo.com/quote/CRACW","CRACW")</f>
        <v/>
      </c>
      <c r="B9902" t="inlineStr">
        <is>
          <t>Crown Reserve Acquisition Corp. I</t>
        </is>
      </c>
      <c r="C9902" t="inlineStr">
        <is>
          <t>Nasdaq</t>
        </is>
      </c>
      <c r="D9902" t="n">
        <v>2070887</v>
      </c>
      <c r="E9902" t="inlineStr">
        <is>
          <t>SEC</t>
        </is>
      </c>
    </row>
    <row r="9903">
      <c r="A9903" s="5">
        <f>HYPERLINK("https://finance.yahoo.com/quote/QUMSR","QUMSR")</f>
        <v/>
      </c>
      <c r="B9903" t="inlineStr">
        <is>
          <t>Quantumsphere Acquisition Corp</t>
        </is>
      </c>
      <c r="C9903" t="inlineStr">
        <is>
          <t>Nasdaq</t>
        </is>
      </c>
      <c r="D9903" t="n">
        <v>2070900</v>
      </c>
      <c r="E9903" t="inlineStr">
        <is>
          <t>SEC</t>
        </is>
      </c>
    </row>
    <row r="9904">
      <c r="A9904" s="5">
        <f>HYPERLINK("https://finance.yahoo.com/quote/QUMSU","QUMSU")</f>
        <v/>
      </c>
      <c r="B9904" t="inlineStr">
        <is>
          <t>Quantumsphere Acquisition Corp</t>
        </is>
      </c>
      <c r="C9904" t="inlineStr">
        <is>
          <t>Nasdaq</t>
        </is>
      </c>
      <c r="D9904" t="n">
        <v>2070900</v>
      </c>
      <c r="E9904" t="inlineStr">
        <is>
          <t>SEC</t>
        </is>
      </c>
    </row>
    <row r="9905">
      <c r="A9905" s="5">
        <f>HYPERLINK("https://finance.yahoo.com/quote/YSGL","YSGL")</f>
        <v/>
      </c>
      <c r="B9905" t="inlineStr">
        <is>
          <t>Yellowstone Group Ltd.</t>
        </is>
      </c>
      <c r="C9905" t="inlineStr">
        <is>
          <t>OTC</t>
        </is>
      </c>
      <c r="D9905" t="n">
        <v>2071489</v>
      </c>
      <c r="E9905" t="inlineStr">
        <is>
          <t>SEC</t>
        </is>
      </c>
    </row>
    <row r="9906">
      <c r="A9906" s="5">
        <f>HYPERLINK("https://finance.yahoo.com/quote/JNGHF","JNGHF")</f>
        <v/>
      </c>
      <c r="B9906" t="inlineStr">
        <is>
          <t>Jiangsu Hengrui Pharmaceuticals Co., Ltd./ADR</t>
        </is>
      </c>
      <c r="C9906" t="inlineStr">
        <is>
          <t>OTC</t>
        </is>
      </c>
      <c r="D9906" t="n">
        <v>2071868</v>
      </c>
      <c r="E9906" t="inlineStr">
        <is>
          <t>SEC</t>
        </is>
      </c>
    </row>
    <row r="9907">
      <c r="A9907" s="5">
        <f>HYPERLINK("https://finance.yahoo.com/quote/TRMLF","TRMLF")</f>
        <v/>
      </c>
      <c r="B9907" t="inlineStr">
        <is>
          <t>Tourmaline Oil Corp/ADR</t>
        </is>
      </c>
      <c r="C9907" t="inlineStr">
        <is>
          <t>OTC</t>
        </is>
      </c>
      <c r="D9907" t="n">
        <v>2071881</v>
      </c>
      <c r="E9907" t="inlineStr">
        <is>
          <t>SEC</t>
        </is>
      </c>
    </row>
    <row r="9908">
      <c r="A9908" s="5">
        <f>HYPERLINK("https://finance.yahoo.com/quote/CPRHF","CPRHF")</f>
        <v/>
      </c>
      <c r="B9908" t="inlineStr">
        <is>
          <t>Capital Power Corp/ADR</t>
        </is>
      </c>
      <c r="C9908" t="inlineStr">
        <is>
          <t>OTC</t>
        </is>
      </c>
      <c r="D9908" t="n">
        <v>2071911</v>
      </c>
      <c r="E9908" t="inlineStr">
        <is>
          <t>SEC</t>
        </is>
      </c>
    </row>
    <row r="9909">
      <c r="A9909" s="5">
        <f>HYPERLINK("https://finance.yahoo.com/quote/CPWPF","CPWPF")</f>
        <v/>
      </c>
      <c r="B9909" t="inlineStr">
        <is>
          <t>Capital Power Corp/ADR</t>
        </is>
      </c>
      <c r="C9909" t="inlineStr">
        <is>
          <t>OTC</t>
        </is>
      </c>
      <c r="D9909" t="n">
        <v>2071911</v>
      </c>
      <c r="E9909" t="inlineStr">
        <is>
          <t>SEC</t>
        </is>
      </c>
    </row>
    <row r="9910">
      <c r="A9910" s="5">
        <f>HYPERLINK("https://finance.yahoo.com/quote/CPXWF","CPXWF")</f>
        <v/>
      </c>
      <c r="B9910" t="inlineStr">
        <is>
          <t>Capital Power Corp/ADR</t>
        </is>
      </c>
      <c r="C9910" t="inlineStr">
        <is>
          <t>OTC</t>
        </is>
      </c>
      <c r="D9910" t="n">
        <v>2071911</v>
      </c>
      <c r="E9910" t="inlineStr">
        <is>
          <t>SEC</t>
        </is>
      </c>
    </row>
    <row r="9911">
      <c r="A9911" s="5">
        <f>HYPERLINK("https://finance.yahoo.com/quote/PREKF","PREKF")</f>
        <v/>
      </c>
      <c r="B9911" t="inlineStr">
        <is>
          <t>PrairieSky Royalty Ltd/ADR</t>
        </is>
      </c>
      <c r="C9911" t="inlineStr">
        <is>
          <t>OTC</t>
        </is>
      </c>
      <c r="D9911" t="n">
        <v>2071912</v>
      </c>
      <c r="E9911" t="inlineStr">
        <is>
          <t>SEC</t>
        </is>
      </c>
    </row>
    <row r="9912">
      <c r="A9912" s="5">
        <f>HYPERLINK("https://finance.yahoo.com/quote/GBNXF","GBNXF")</f>
        <v/>
      </c>
      <c r="B9912" t="inlineStr">
        <is>
          <t>Gibson Energy Inc/ADR</t>
        </is>
      </c>
      <c r="C9912" t="inlineStr">
        <is>
          <t>OTC</t>
        </is>
      </c>
      <c r="D9912" t="n">
        <v>2071913</v>
      </c>
      <c r="E9912" t="inlineStr">
        <is>
          <t>SEC</t>
        </is>
      </c>
    </row>
    <row r="9913">
      <c r="A9913" s="5">
        <f>HYPERLINK("https://finance.yahoo.com/quote/TMTNF","TMTNF")</f>
        <v/>
      </c>
      <c r="B9913" t="inlineStr">
        <is>
          <t>Toromont Industries Ltd./ADR</t>
        </is>
      </c>
      <c r="C9913" t="inlineStr">
        <is>
          <t>OTC</t>
        </is>
      </c>
      <c r="D9913" t="n">
        <v>2072098</v>
      </c>
      <c r="E9913" t="inlineStr">
        <is>
          <t>SEC</t>
        </is>
      </c>
    </row>
    <row r="9914">
      <c r="A9914" s="5">
        <f>HYPERLINK("https://finance.yahoo.com/quote/BIOTW","BIOTW")</f>
        <v/>
      </c>
      <c r="B9914" t="inlineStr">
        <is>
          <t>INSTINCT BIO TECHNICAL CO HOLDINGS INC.</t>
        </is>
      </c>
      <c r="C9914" t="inlineStr">
        <is>
          <t>Nasdaq</t>
        </is>
      </c>
      <c r="D9914" t="n">
        <v>2072188</v>
      </c>
      <c r="E9914" t="inlineStr">
        <is>
          <t>SEC</t>
        </is>
      </c>
    </row>
    <row r="9915">
      <c r="A9915" s="5">
        <f>HYPERLINK("https://finance.yahoo.com/quote/NPICF","NPICF")</f>
        <v/>
      </c>
      <c r="B9915" t="inlineStr">
        <is>
          <t>Northland Power Inc./ADR</t>
        </is>
      </c>
      <c r="C9915" t="inlineStr">
        <is>
          <t>OTC</t>
        </is>
      </c>
      <c r="D9915" t="n">
        <v>2072389</v>
      </c>
      <c r="E9915" t="inlineStr">
        <is>
          <t>SEC</t>
        </is>
      </c>
    </row>
    <row r="9916">
      <c r="A9916" s="5">
        <f>HYPERLINK("https://finance.yahoo.com/quote/NPIFF","NPIFF")</f>
        <v/>
      </c>
      <c r="B9916" t="inlineStr">
        <is>
          <t>Northland Power Inc./ADR</t>
        </is>
      </c>
      <c r="C9916" t="inlineStr">
        <is>
          <t>OTC</t>
        </is>
      </c>
      <c r="D9916" t="n">
        <v>2072389</v>
      </c>
      <c r="E9916" t="inlineStr">
        <is>
          <t>SEC</t>
        </is>
      </c>
    </row>
    <row r="9917">
      <c r="A9917" s="5">
        <f>HYPERLINK("https://finance.yahoo.com/quote/GSRFR","GSRFR")</f>
        <v/>
      </c>
      <c r="B9917" t="inlineStr">
        <is>
          <t>GSR IV Acquisition Corp.</t>
        </is>
      </c>
      <c r="C9917" t="inlineStr">
        <is>
          <t>Nasdaq</t>
        </is>
      </c>
      <c r="D9917" t="n">
        <v>2072404</v>
      </c>
      <c r="E9917" t="inlineStr">
        <is>
          <t>SEC</t>
        </is>
      </c>
    </row>
    <row r="9918">
      <c r="A9918" s="5">
        <f>HYPERLINK("https://finance.yahoo.com/quote/GSRFU","GSRFU")</f>
        <v/>
      </c>
      <c r="B9918" t="inlineStr">
        <is>
          <t>GSR IV Acquisition Corp.</t>
        </is>
      </c>
      <c r="C9918" t="inlineStr">
        <is>
          <t>Nasdaq</t>
        </is>
      </c>
      <c r="D9918" t="n">
        <v>2072404</v>
      </c>
      <c r="E9918" t="inlineStr">
        <is>
          <t>SEC</t>
        </is>
      </c>
    </row>
    <row r="9919">
      <c r="A9919" s="5">
        <f>HYPERLINK("https://finance.yahoo.com/quote/BIREF","BIREF")</f>
        <v/>
      </c>
      <c r="B9919" t="inlineStr">
        <is>
          <t>Birchcliff Energy Ltd./ADR</t>
        </is>
      </c>
      <c r="C9919" t="inlineStr">
        <is>
          <t>OTC</t>
        </is>
      </c>
      <c r="D9919" t="n">
        <v>2073268</v>
      </c>
      <c r="E9919" t="inlineStr">
        <is>
          <t>SEC</t>
        </is>
      </c>
    </row>
    <row r="9920">
      <c r="A9920" s="5">
        <f>HYPERLINK("https://finance.yahoo.com/quote/TLNCU","TLNCU")</f>
        <v/>
      </c>
      <c r="B9920" t="inlineStr">
        <is>
          <t>Talon Capital Corp.</t>
        </is>
      </c>
      <c r="C9920" t="inlineStr">
        <is>
          <t>Nasdaq</t>
        </is>
      </c>
      <c r="D9920" t="n">
        <v>2073340</v>
      </c>
      <c r="E9920" t="inlineStr">
        <is>
          <t>SEC</t>
        </is>
      </c>
    </row>
    <row r="9921">
      <c r="A9921" s="5">
        <f>HYPERLINK("https://finance.yahoo.com/quote/TLNCW","TLNCW")</f>
        <v/>
      </c>
      <c r="B9921" t="inlineStr">
        <is>
          <t>Talon Capital Corp.</t>
        </is>
      </c>
      <c r="C9921" t="inlineStr">
        <is>
          <t>Nasdaq</t>
        </is>
      </c>
      <c r="D9921" t="n">
        <v>2073340</v>
      </c>
      <c r="E9921" t="inlineStr">
        <is>
          <t>SEC</t>
        </is>
      </c>
    </row>
    <row r="9922">
      <c r="A9922" s="5">
        <f>HYPERLINK("https://finance.yahoo.com/quote/ARCLR","ARCLR")</f>
        <v/>
      </c>
      <c r="B9922" t="inlineStr">
        <is>
          <t>ARC Group Acquisition I Corp.</t>
        </is>
      </c>
      <c r="C9922" t="inlineStr">
        <is>
          <t>Nasdaq</t>
        </is>
      </c>
      <c r="D9922" t="n">
        <v>2073515</v>
      </c>
      <c r="E9922" t="inlineStr">
        <is>
          <t>SEC</t>
        </is>
      </c>
    </row>
    <row r="9923">
      <c r="A9923" s="5">
        <f>HYPERLINK("https://finance.yahoo.com/quote/ARCLU","ARCLU")</f>
        <v/>
      </c>
      <c r="B9923" t="inlineStr">
        <is>
          <t>ARC Group Acquisition I Corp.</t>
        </is>
      </c>
      <c r="C9923" t="inlineStr">
        <is>
          <t>Nasdaq</t>
        </is>
      </c>
      <c r="D9923" t="n">
        <v>2073515</v>
      </c>
      <c r="E9923" t="inlineStr">
        <is>
          <t>SEC</t>
        </is>
      </c>
    </row>
    <row r="9924">
      <c r="A9924" s="5">
        <f>HYPERLINK("https://finance.yahoo.com/quote/ARCLW","ARCLW")</f>
        <v/>
      </c>
      <c r="B9924" t="inlineStr">
        <is>
          <t>ARC Group Acquisition I Corp.</t>
        </is>
      </c>
      <c r="C9924" t="inlineStr">
        <is>
          <t>Nasdaq</t>
        </is>
      </c>
      <c r="D9924" t="n">
        <v>2073515</v>
      </c>
      <c r="E9924" t="inlineStr">
        <is>
          <t>SEC</t>
        </is>
      </c>
    </row>
    <row r="9925">
      <c r="A9925" s="5">
        <f>HYPERLINK("https://finance.yahoo.com/quote/AIIA-RI","AIIA-RI")</f>
        <v/>
      </c>
      <c r="B9925" t="inlineStr">
        <is>
          <t>AI Infrastructure Acquisition Corp.</t>
        </is>
      </c>
      <c r="C9925" t="inlineStr">
        <is>
          <t>NYSE</t>
        </is>
      </c>
      <c r="D9925" t="n">
        <v>2073553</v>
      </c>
      <c r="E9925" t="inlineStr">
        <is>
          <t>SEC</t>
        </is>
      </c>
    </row>
    <row r="9926">
      <c r="A9926" s="5">
        <f>HYPERLINK("https://finance.yahoo.com/quote/AIIA-UN","AIIA-UN")</f>
        <v/>
      </c>
      <c r="B9926" t="inlineStr">
        <is>
          <t>AI Infrastructure Acquisition Corp.</t>
        </is>
      </c>
      <c r="C9926" t="inlineStr">
        <is>
          <t>NYSE</t>
        </is>
      </c>
      <c r="D9926" t="n">
        <v>2073553</v>
      </c>
      <c r="E9926" t="inlineStr">
        <is>
          <t>SEC</t>
        </is>
      </c>
    </row>
    <row r="9927">
      <c r="A9927" s="5">
        <f>HYPERLINK("https://finance.yahoo.com/quote/ELEEF","ELEEF")</f>
        <v/>
      </c>
      <c r="B9927" t="inlineStr">
        <is>
          <t>Element Fleet Management Corp./ADR</t>
        </is>
      </c>
      <c r="C9927" t="inlineStr">
        <is>
          <t>OTC</t>
        </is>
      </c>
      <c r="D9927" t="n">
        <v>2073615</v>
      </c>
      <c r="E9927" t="inlineStr">
        <is>
          <t>SEC</t>
        </is>
      </c>
    </row>
    <row r="9928">
      <c r="A9928" s="5">
        <f>HYPERLINK("https://finance.yahoo.com/quote/PARXF","PARXF")</f>
        <v/>
      </c>
      <c r="B9928" t="inlineStr">
        <is>
          <t>Parex Resources Inc./ADR</t>
        </is>
      </c>
      <c r="C9928" t="inlineStr">
        <is>
          <t>OTC</t>
        </is>
      </c>
      <c r="D9928" t="n">
        <v>2073620</v>
      </c>
      <c r="E9928" t="inlineStr">
        <is>
          <t>SEC</t>
        </is>
      </c>
    </row>
    <row r="9929">
      <c r="A9929" s="5">
        <f>HYPERLINK("https://finance.yahoo.com/quote/FINGF","FINGF")</f>
        <v/>
      </c>
      <c r="B9929" t="inlineStr">
        <is>
          <t>Finning International Inc./ADR</t>
        </is>
      </c>
      <c r="C9929" t="inlineStr">
        <is>
          <t>OTC</t>
        </is>
      </c>
      <c r="D9929" t="n">
        <v>2073638</v>
      </c>
      <c r="E9929" t="inlineStr">
        <is>
          <t>SEC</t>
        </is>
      </c>
    </row>
    <row r="9930">
      <c r="A9930" s="5">
        <f>HYPERLINK("https://finance.yahoo.com/quote/TPZEF","TPZEF")</f>
        <v/>
      </c>
      <c r="B9930" t="inlineStr">
        <is>
          <t>Topaz Energy Corp./ADR</t>
        </is>
      </c>
      <c r="C9930" t="inlineStr">
        <is>
          <t>OTC</t>
        </is>
      </c>
      <c r="D9930" t="n">
        <v>2073655</v>
      </c>
      <c r="E9930" t="inlineStr">
        <is>
          <t>SEC</t>
        </is>
      </c>
    </row>
    <row r="9931">
      <c r="A9931" s="5">
        <f>HYPERLINK("https://finance.yahoo.com/quote/HNSPF","HNSPF")</f>
        <v/>
      </c>
      <c r="B9931" t="inlineStr">
        <is>
          <t>Hansoh Pharmaceutical Group Co Limited/ADR</t>
        </is>
      </c>
      <c r="C9931" t="inlineStr">
        <is>
          <t>OTC</t>
        </is>
      </c>
      <c r="D9931" t="n">
        <v>2073669</v>
      </c>
      <c r="E9931" t="inlineStr">
        <is>
          <t>SEC</t>
        </is>
      </c>
    </row>
    <row r="9932">
      <c r="A9932" s="5">
        <f>HYPERLINK("https://finance.yahoo.com/quote/TCLHF","TCLHF")</f>
        <v/>
      </c>
      <c r="B9932" t="inlineStr">
        <is>
          <t>TCL Electronics Holdings Limited/ADR</t>
        </is>
      </c>
      <c r="C9932" t="inlineStr">
        <is>
          <t>OTC</t>
        </is>
      </c>
      <c r="D9932" t="n">
        <v>2073804</v>
      </c>
      <c r="E9932" t="inlineStr">
        <is>
          <t>SEC</t>
        </is>
      </c>
    </row>
    <row r="9933">
      <c r="A9933" s="5">
        <f>HYPERLINK("https://finance.yahoo.com/quote/DLMAF","DLMAF")</f>
        <v/>
      </c>
      <c r="B9933" t="inlineStr">
        <is>
          <t>Dollarama Inc./ADR</t>
        </is>
      </c>
      <c r="C9933" t="inlineStr">
        <is>
          <t>OTC</t>
        </is>
      </c>
      <c r="D9933" t="n">
        <v>2073893</v>
      </c>
      <c r="E9933" t="inlineStr">
        <is>
          <t>SEC</t>
        </is>
      </c>
    </row>
    <row r="9934">
      <c r="A9934" s="5">
        <f>HYPERLINK("https://finance.yahoo.com/quote/TNEYF","TNEYF")</f>
        <v/>
      </c>
      <c r="B9934" t="inlineStr">
        <is>
          <t>Tamarack Valley Energy Ltd./ADR</t>
        </is>
      </c>
      <c r="C9934" t="inlineStr">
        <is>
          <t>OTC</t>
        </is>
      </c>
      <c r="D9934" t="n">
        <v>2073901</v>
      </c>
      <c r="E9934" t="inlineStr">
        <is>
          <t>SEC</t>
        </is>
      </c>
    </row>
    <row r="9935">
      <c r="A9935" s="5">
        <f>HYPERLINK("https://finance.yahoo.com/quote/NNWWF","NNWWF")</f>
        <v/>
      </c>
      <c r="B9935" t="inlineStr">
        <is>
          <t>North West Co Inc./ADR</t>
        </is>
      </c>
      <c r="C9935" t="inlineStr">
        <is>
          <t>OTC</t>
        </is>
      </c>
      <c r="D9935" t="n">
        <v>2073913</v>
      </c>
      <c r="E9935" t="inlineStr">
        <is>
          <t>SEC</t>
        </is>
      </c>
    </row>
    <row r="9936">
      <c r="A9936" s="5">
        <f>HYPERLINK("https://finance.yahoo.com/quote/MBVIU","MBVIU")</f>
        <v/>
      </c>
      <c r="B9936" t="inlineStr">
        <is>
          <t>M3-Brigade Acquisition VI Corp.</t>
        </is>
      </c>
      <c r="C9936" t="inlineStr">
        <is>
          <t>Nasdaq</t>
        </is>
      </c>
      <c r="D9936" t="n">
        <v>2073928</v>
      </c>
      <c r="E9936" t="inlineStr">
        <is>
          <t>SEC</t>
        </is>
      </c>
    </row>
    <row r="9937">
      <c r="A9937" s="5">
        <f>HYPERLINK("https://finance.yahoo.com/quote/MBVIW","MBVIW")</f>
        <v/>
      </c>
      <c r="B9937" t="inlineStr">
        <is>
          <t>M3-Brigade Acquisition VI Corp.</t>
        </is>
      </c>
      <c r="C9937" t="inlineStr">
        <is>
          <t>Nasdaq</t>
        </is>
      </c>
      <c r="D9937" t="n">
        <v>2073928</v>
      </c>
      <c r="E9937" t="inlineStr">
        <is>
          <t>SEC</t>
        </is>
      </c>
    </row>
    <row r="9938">
      <c r="A9938" s="5">
        <f>HYPERLINK("https://finance.yahoo.com/quote/LWSCF","LWSCF")</f>
        <v/>
      </c>
      <c r="B9938" t="inlineStr">
        <is>
          <t>Sienna Senior Living Inc./ADR</t>
        </is>
      </c>
      <c r="C9938" t="inlineStr">
        <is>
          <t>OTC</t>
        </is>
      </c>
      <c r="D9938" t="n">
        <v>2073972</v>
      </c>
      <c r="E9938" t="inlineStr">
        <is>
          <t>SEC</t>
        </is>
      </c>
    </row>
    <row r="9939">
      <c r="A9939" s="5">
        <f>HYPERLINK("https://finance.yahoo.com/quote/WIPKF","WIPKF")</f>
        <v/>
      </c>
      <c r="B9939" t="inlineStr">
        <is>
          <t>Winpak Ltd./ADR</t>
        </is>
      </c>
      <c r="C9939" t="inlineStr">
        <is>
          <t>OTC</t>
        </is>
      </c>
      <c r="D9939" t="n">
        <v>2074059</v>
      </c>
      <c r="E9939" t="inlineStr">
        <is>
          <t>SEC</t>
        </is>
      </c>
    </row>
    <row r="9940">
      <c r="A9940" s="5">
        <f>HYPERLINK("https://finance.yahoo.com/quote/SVAUF","SVAUF")</f>
        <v/>
      </c>
      <c r="B9940" t="inlineStr">
        <is>
          <t>StorageVault Canada Inc./ADR</t>
        </is>
      </c>
      <c r="C9940" t="inlineStr">
        <is>
          <t>OTC</t>
        </is>
      </c>
      <c r="D9940" t="n">
        <v>2074157</v>
      </c>
      <c r="E9940" t="inlineStr">
        <is>
          <t>SEC</t>
        </is>
      </c>
    </row>
    <row r="9941">
      <c r="A9941" s="5">
        <f>HYPERLINK("https://finance.yahoo.com/quote/SMIO","SMIO")</f>
        <v/>
      </c>
      <c r="B9941" t="inlineStr">
        <is>
          <t>Somitos Corp.</t>
        </is>
      </c>
      <c r="C9941" t="inlineStr">
        <is>
          <t>OTC</t>
        </is>
      </c>
      <c r="D9941" t="n">
        <v>2074643</v>
      </c>
      <c r="E9941" t="inlineStr">
        <is>
          <t>SEC</t>
        </is>
      </c>
    </row>
    <row r="9942">
      <c r="A9942" s="5">
        <f>HYPERLINK("https://finance.yahoo.com/quote/VNYR","VNYR")</f>
        <v/>
      </c>
      <c r="B9942" t="inlineStr">
        <is>
          <t>Venyra Corp</t>
        </is>
      </c>
      <c r="C9942" t="inlineStr">
        <is>
          <t>OTC</t>
        </is>
      </c>
      <c r="D9942" t="n">
        <v>2074652</v>
      </c>
      <c r="E9942" t="inlineStr">
        <is>
          <t>SEC</t>
        </is>
      </c>
    </row>
    <row r="9943">
      <c r="A9943" s="5">
        <f>HYPERLINK("https://finance.yahoo.com/quote/FCRS-UN","FCRS-UN")</f>
        <v/>
      </c>
      <c r="B9943" t="inlineStr">
        <is>
          <t>FutureCrest Acquisition Corp.</t>
        </is>
      </c>
      <c r="C9943" t="inlineStr">
        <is>
          <t>NYSE</t>
        </is>
      </c>
      <c r="D9943" t="n">
        <v>2074697</v>
      </c>
      <c r="E9943" t="inlineStr">
        <is>
          <t>SEC</t>
        </is>
      </c>
    </row>
    <row r="9944">
      <c r="A9944" s="5">
        <f>HYPERLINK("https://finance.yahoo.com/quote/FCRS-WT","FCRS-WT")</f>
        <v/>
      </c>
      <c r="B9944" t="inlineStr">
        <is>
          <t>FutureCrest Acquisition Corp.</t>
        </is>
      </c>
      <c r="C9944" t="inlineStr">
        <is>
          <t>NYSE</t>
        </is>
      </c>
      <c r="D9944" t="n">
        <v>2074697</v>
      </c>
      <c r="E9944" t="inlineStr">
        <is>
          <t>SEC</t>
        </is>
      </c>
    </row>
    <row r="9945">
      <c r="A9945" s="5">
        <f>HYPERLINK("https://finance.yahoo.com/quote/GFUZW","GFUZW")</f>
        <v/>
      </c>
      <c r="B9945" t="inlineStr">
        <is>
          <t>General Fusion Group Ltd.</t>
        </is>
      </c>
      <c r="C9945" t="inlineStr">
        <is>
          <t>Nasdaq</t>
        </is>
      </c>
      <c r="D9945" t="n">
        <v>2074850</v>
      </c>
      <c r="E9945" t="inlineStr">
        <is>
          <t>SEC</t>
        </is>
      </c>
    </row>
    <row r="9946">
      <c r="A9946" s="5">
        <f>HYPERLINK("https://finance.yahoo.com/quote/KRSP-UN","KRSP-UN")</f>
        <v/>
      </c>
      <c r="B9946" t="inlineStr">
        <is>
          <t>Rice Acquisition Corp 3</t>
        </is>
      </c>
      <c r="C9946" t="inlineStr">
        <is>
          <t>NYSE</t>
        </is>
      </c>
      <c r="D9946" t="n">
        <v>2074872</v>
      </c>
      <c r="E9946" t="inlineStr">
        <is>
          <t>SEC</t>
        </is>
      </c>
    </row>
    <row r="9947">
      <c r="A9947" s="5">
        <f>HYPERLINK("https://finance.yahoo.com/quote/KRSP-WT","KRSP-WT")</f>
        <v/>
      </c>
      <c r="B9947" t="inlineStr">
        <is>
          <t>Rice Acquisition Corp 3</t>
        </is>
      </c>
      <c r="C9947" t="inlineStr">
        <is>
          <t>NYSE</t>
        </is>
      </c>
      <c r="D9947" t="n">
        <v>2074872</v>
      </c>
      <c r="E9947" t="inlineStr">
        <is>
          <t>SEC</t>
        </is>
      </c>
    </row>
    <row r="9948">
      <c r="A9948" s="5">
        <f>HYPERLINK("https://finance.yahoo.com/quote/NWAX-UN","NWAX-UN")</f>
        <v/>
      </c>
      <c r="B9948" t="inlineStr">
        <is>
          <t>New America Acquisition I Corp.</t>
        </is>
      </c>
      <c r="C9948" t="inlineStr">
        <is>
          <t>NYSE</t>
        </is>
      </c>
      <c r="D9948" t="n">
        <v>2074878</v>
      </c>
      <c r="E9948" t="inlineStr">
        <is>
          <t>SEC</t>
        </is>
      </c>
    </row>
    <row r="9949">
      <c r="A9949" s="5">
        <f>HYPERLINK("https://finance.yahoo.com/quote/NWAX-WT","NWAX-WT")</f>
        <v/>
      </c>
      <c r="B9949" t="inlineStr">
        <is>
          <t>New America Acquisition I Corp.</t>
        </is>
      </c>
      <c r="C9949" t="inlineStr">
        <is>
          <t>NYSE</t>
        </is>
      </c>
      <c r="D9949" t="n">
        <v>2074878</v>
      </c>
      <c r="E9949" t="inlineStr">
        <is>
          <t>SEC</t>
        </is>
      </c>
    </row>
    <row r="9950">
      <c r="A9950" s="5">
        <f>HYPERLINK("https://finance.yahoo.com/quote/CCXIU","CCXIU")</f>
        <v/>
      </c>
      <c r="B9950" t="inlineStr">
        <is>
          <t>Churchill Capital Corp XI</t>
        </is>
      </c>
      <c r="C9950" t="inlineStr">
        <is>
          <t>Nasdaq</t>
        </is>
      </c>
      <c r="D9950" t="n">
        <v>2074973</v>
      </c>
      <c r="E9950" t="inlineStr">
        <is>
          <t>SEC</t>
        </is>
      </c>
    </row>
    <row r="9951">
      <c r="A9951" s="5">
        <f>HYPERLINK("https://finance.yahoo.com/quote/CCXIW","CCXIW")</f>
        <v/>
      </c>
      <c r="B9951" t="inlineStr">
        <is>
          <t>Churchill Capital Corp XI</t>
        </is>
      </c>
      <c r="C9951" t="inlineStr">
        <is>
          <t>Nasdaq</t>
        </is>
      </c>
      <c r="D9951" t="n">
        <v>2074973</v>
      </c>
      <c r="E9951" t="inlineStr">
        <is>
          <t>SEC</t>
        </is>
      </c>
    </row>
    <row r="9952">
      <c r="A9952" s="5">
        <f>HYPERLINK("https://finance.yahoo.com/quote/IGACR","IGACR")</f>
        <v/>
      </c>
      <c r="B9952" t="inlineStr">
        <is>
          <t>Invest Green Acquisition Corp</t>
        </is>
      </c>
      <c r="C9952" t="inlineStr">
        <is>
          <t>Nasdaq</t>
        </is>
      </c>
      <c r="D9952" t="n">
        <v>2075068</v>
      </c>
      <c r="E9952" t="inlineStr">
        <is>
          <t>SEC</t>
        </is>
      </c>
    </row>
    <row r="9953">
      <c r="A9953" s="5">
        <f>HYPERLINK("https://finance.yahoo.com/quote/IGACU","IGACU")</f>
        <v/>
      </c>
      <c r="B9953" t="inlineStr">
        <is>
          <t>Invest Green Acquisition Corp</t>
        </is>
      </c>
      <c r="C9953" t="inlineStr">
        <is>
          <t>Nasdaq</t>
        </is>
      </c>
      <c r="D9953" t="n">
        <v>2075068</v>
      </c>
      <c r="E9953" t="inlineStr">
        <is>
          <t>SEC</t>
        </is>
      </c>
    </row>
    <row r="9954">
      <c r="A9954" s="5">
        <f>HYPERLINK("https://finance.yahoo.com/quote/MTTN","MTTN")</f>
        <v/>
      </c>
      <c r="B9954" t="inlineStr">
        <is>
          <t>Matternet, Inc.</t>
        </is>
      </c>
      <c r="C9954" t="inlineStr">
        <is>
          <t>OTC</t>
        </is>
      </c>
      <c r="D9954" t="n">
        <v>2075109</v>
      </c>
      <c r="E9954" t="inlineStr">
        <is>
          <t>SEC</t>
        </is>
      </c>
    </row>
    <row r="9955">
      <c r="A9955" s="5">
        <f>HYPERLINK("https://finance.yahoo.com/quote/SRBEF","SRBEF")</f>
        <v/>
      </c>
      <c r="B9955" t="inlineStr">
        <is>
          <t>VusionGroup</t>
        </is>
      </c>
      <c r="C9955" t="inlineStr">
        <is>
          <t>OTC</t>
        </is>
      </c>
      <c r="D9955" t="n">
        <v>2075141</v>
      </c>
      <c r="E9955" t="inlineStr">
        <is>
          <t>SEC</t>
        </is>
      </c>
    </row>
    <row r="9956">
      <c r="A9956" s="5">
        <f>HYPERLINK("https://finance.yahoo.com/quote/BLZRU","BLZRU")</f>
        <v/>
      </c>
      <c r="B9956" t="inlineStr">
        <is>
          <t>Trailblazer Acquisition Corp.</t>
        </is>
      </c>
      <c r="C9956" t="inlineStr">
        <is>
          <t>Nasdaq</t>
        </is>
      </c>
      <c r="D9956" t="n">
        <v>2075310</v>
      </c>
      <c r="E9956" t="inlineStr">
        <is>
          <t>SEC</t>
        </is>
      </c>
    </row>
    <row r="9957">
      <c r="A9957" s="5">
        <f>HYPERLINK("https://finance.yahoo.com/quote/BLZRW","BLZRW")</f>
        <v/>
      </c>
      <c r="B9957" t="inlineStr">
        <is>
          <t>Trailblazer Acquisition Corp.</t>
        </is>
      </c>
      <c r="C9957" t="inlineStr">
        <is>
          <t>Nasdaq</t>
        </is>
      </c>
      <c r="D9957" t="n">
        <v>2075310</v>
      </c>
      <c r="E9957" t="inlineStr">
        <is>
          <t>SEC</t>
        </is>
      </c>
    </row>
    <row r="9958">
      <c r="A9958" s="5">
        <f>HYPERLINK("https://finance.yahoo.com/quote/YCY-UN","YCY-UN")</f>
        <v/>
      </c>
      <c r="B9958" t="inlineStr">
        <is>
          <t>AA Mission Acquisition Corp. II</t>
        </is>
      </c>
      <c r="C9958" t="inlineStr">
        <is>
          <t>NYSE</t>
        </is>
      </c>
      <c r="D9958" t="n">
        <v>2075336</v>
      </c>
      <c r="E9958" t="inlineStr">
        <is>
          <t>SEC</t>
        </is>
      </c>
    </row>
    <row r="9959">
      <c r="A9959" s="5">
        <f>HYPERLINK("https://finance.yahoo.com/quote/YCY-WT","YCY-WT")</f>
        <v/>
      </c>
      <c r="B9959" t="inlineStr">
        <is>
          <t>AA Mission Acquisition Corp. II</t>
        </is>
      </c>
      <c r="C9959" t="inlineStr">
        <is>
          <t>NYSE</t>
        </is>
      </c>
      <c r="D9959" t="n">
        <v>2075336</v>
      </c>
      <c r="E9959" t="inlineStr">
        <is>
          <t>SEC</t>
        </is>
      </c>
    </row>
    <row r="9960">
      <c r="A9960" s="5">
        <f>HYPERLINK("https://finance.yahoo.com/quote/TNDEF","TNDEF")</f>
        <v/>
      </c>
      <c r="B9960" t="inlineStr">
        <is>
          <t>Top End Energy Ltd/ADR</t>
        </is>
      </c>
      <c r="C9960" t="inlineStr">
        <is>
          <t>OTC</t>
        </is>
      </c>
      <c r="D9960" t="n">
        <v>2075349</v>
      </c>
      <c r="E9960" t="inlineStr">
        <is>
          <t>SEC</t>
        </is>
      </c>
    </row>
    <row r="9961">
      <c r="A9961" s="5">
        <f>HYPERLINK("https://finance.yahoo.com/quote/GPTGF","GPTGF")</f>
        <v/>
      </c>
      <c r="B9961" t="inlineStr">
        <is>
          <t>GPT Group/ADR</t>
        </is>
      </c>
      <c r="C9961" t="inlineStr">
        <is>
          <t>OTC</t>
        </is>
      </c>
      <c r="D9961" t="n">
        <v>2075474</v>
      </c>
      <c r="E9961" t="inlineStr">
        <is>
          <t>SEC</t>
        </is>
      </c>
    </row>
    <row r="9962">
      <c r="A9962" s="5">
        <f>HYPERLINK("https://finance.yahoo.com/quote/EMISR","EMISR")</f>
        <v/>
      </c>
      <c r="B9962" t="inlineStr">
        <is>
          <t>Emmis Acquisition Corp.</t>
        </is>
      </c>
      <c r="C9962" t="inlineStr">
        <is>
          <t>Nasdaq</t>
        </is>
      </c>
      <c r="D9962" t="n">
        <v>2075816</v>
      </c>
      <c r="E9962" t="inlineStr">
        <is>
          <t>SEC</t>
        </is>
      </c>
    </row>
    <row r="9963">
      <c r="A9963" s="5">
        <f>HYPERLINK("https://finance.yahoo.com/quote/BKPKF","BKPKF")</f>
        <v/>
      </c>
      <c r="B9963" t="inlineStr">
        <is>
          <t>Bank Pekao S.A./ADR</t>
        </is>
      </c>
      <c r="C9963" t="inlineStr">
        <is>
          <t>OTC</t>
        </is>
      </c>
      <c r="D9963" t="n">
        <v>2075877</v>
      </c>
      <c r="E9963" t="inlineStr">
        <is>
          <t>SEC</t>
        </is>
      </c>
    </row>
    <row r="9964">
      <c r="A9964" s="5">
        <f>HYPERLINK("https://finance.yahoo.com/quote/CSCCF","CSCCF")</f>
        <v/>
      </c>
      <c r="B9964" t="inlineStr">
        <is>
          <t>Capstone Copper Corp./ADR</t>
        </is>
      </c>
      <c r="C9964" t="inlineStr">
        <is>
          <t>OTC</t>
        </is>
      </c>
      <c r="D9964" t="n">
        <v>2075918</v>
      </c>
      <c r="E9964" t="inlineStr">
        <is>
          <t>SEC</t>
        </is>
      </c>
    </row>
    <row r="9965">
      <c r="A9965" s="5">
        <f>HYPERLINK("https://finance.yahoo.com/quote/SVIAW","SVIAW")</f>
        <v/>
      </c>
      <c r="B9965" t="inlineStr">
        <is>
          <t>Silvia, Inc.</t>
        </is>
      </c>
      <c r="C9965" t="inlineStr">
        <is>
          <t>Nasdaq</t>
        </is>
      </c>
      <c r="D9965" t="n">
        <v>2076163</v>
      </c>
      <c r="E9965" t="inlineStr">
        <is>
          <t>SEC</t>
        </is>
      </c>
    </row>
    <row r="9966">
      <c r="A9966" s="5">
        <f>HYPERLINK("https://finance.yahoo.com/quote/WSTNR","WSTNR")</f>
        <v/>
      </c>
      <c r="B9966" t="inlineStr">
        <is>
          <t>Westin Acquisition Corp</t>
        </is>
      </c>
      <c r="C9966" t="inlineStr">
        <is>
          <t>Nasdaq</t>
        </is>
      </c>
      <c r="D9966" t="n">
        <v>2076192</v>
      </c>
      <c r="E9966" t="inlineStr">
        <is>
          <t>SEC</t>
        </is>
      </c>
    </row>
    <row r="9967">
      <c r="A9967" s="5">
        <f>HYPERLINK("https://finance.yahoo.com/quote/WSTNU","WSTNU")</f>
        <v/>
      </c>
      <c r="B9967" t="inlineStr">
        <is>
          <t>Westin Acquisition Corp</t>
        </is>
      </c>
      <c r="C9967" t="inlineStr">
        <is>
          <t>Nasdaq</t>
        </is>
      </c>
      <c r="D9967" t="n">
        <v>2076192</v>
      </c>
      <c r="E9967" t="inlineStr">
        <is>
          <t>SEC</t>
        </is>
      </c>
    </row>
    <row r="9968">
      <c r="A9968" s="5">
        <f>HYPERLINK("https://finance.yahoo.com/quote/ZSINF","ZSINF")</f>
        <v/>
      </c>
      <c r="B9968" t="inlineStr">
        <is>
          <t>Zhejiang Sanhua Intelligent Controls Co., Ltd./ADR</t>
        </is>
      </c>
      <c r="C9968" t="inlineStr">
        <is>
          <t>OTC</t>
        </is>
      </c>
      <c r="D9968" t="n">
        <v>2076398</v>
      </c>
      <c r="E9968" t="inlineStr">
        <is>
          <t>SEC</t>
        </is>
      </c>
    </row>
    <row r="9969">
      <c r="A9969" s="5">
        <f>HYPERLINK("https://finance.yahoo.com/quote/LATAU","LATAU")</f>
        <v/>
      </c>
      <c r="B9969" t="inlineStr">
        <is>
          <t>Galata Acquisition Corp. II</t>
        </is>
      </c>
      <c r="C9969" t="inlineStr">
        <is>
          <t>Nasdaq</t>
        </is>
      </c>
      <c r="D9969" t="n">
        <v>2076427</v>
      </c>
      <c r="E9969" t="inlineStr">
        <is>
          <t>SEC</t>
        </is>
      </c>
    </row>
    <row r="9970">
      <c r="A9970" s="5">
        <f>HYPERLINK("https://finance.yahoo.com/quote/LATAW","LATAW")</f>
        <v/>
      </c>
      <c r="B9970" t="inlineStr">
        <is>
          <t>Galata Acquisition Corp. II</t>
        </is>
      </c>
      <c r="C9970" t="inlineStr">
        <is>
          <t>Nasdaq</t>
        </is>
      </c>
      <c r="D9970" t="n">
        <v>2076427</v>
      </c>
      <c r="E9970" t="inlineStr">
        <is>
          <t>SEC</t>
        </is>
      </c>
    </row>
    <row r="9971">
      <c r="A9971" s="5">
        <f>HYPERLINK("https://finance.yahoo.com/quote/PAXGR","PAXGR")</f>
        <v/>
      </c>
      <c r="B9971" t="inlineStr">
        <is>
          <t>Pine Tree Acquisition Corp.</t>
        </is>
      </c>
      <c r="C9971" t="inlineStr">
        <is>
          <t>Nasdaq</t>
        </is>
      </c>
      <c r="D9971" t="n">
        <v>2076561</v>
      </c>
      <c r="E9971" t="inlineStr">
        <is>
          <t>SEC</t>
        </is>
      </c>
    </row>
    <row r="9972">
      <c r="A9972" s="5">
        <f>HYPERLINK("https://finance.yahoo.com/quote/PAXGU","PAXGU")</f>
        <v/>
      </c>
      <c r="B9972" t="inlineStr">
        <is>
          <t>Pine Tree Acquisition Corp.</t>
        </is>
      </c>
      <c r="C9972" t="inlineStr">
        <is>
          <t>Nasdaq</t>
        </is>
      </c>
      <c r="D9972" t="n">
        <v>2076561</v>
      </c>
      <c r="E9972" t="inlineStr">
        <is>
          <t>SEC</t>
        </is>
      </c>
    </row>
    <row r="9973">
      <c r="A9973" s="5">
        <f>HYPERLINK("https://finance.yahoo.com/quote/TDWDR","TDWDR")</f>
        <v/>
      </c>
      <c r="B9973" t="inlineStr">
        <is>
          <t>Tailwind 2.0 Acquisition Corp.</t>
        </is>
      </c>
      <c r="C9973" t="inlineStr">
        <is>
          <t>Nasdaq</t>
        </is>
      </c>
      <c r="D9973" t="n">
        <v>2076616</v>
      </c>
      <c r="E9973" t="inlineStr">
        <is>
          <t>SEC</t>
        </is>
      </c>
    </row>
    <row r="9974">
      <c r="A9974" s="5">
        <f>HYPERLINK("https://finance.yahoo.com/quote/TDWDU","TDWDU")</f>
        <v/>
      </c>
      <c r="B9974" t="inlineStr">
        <is>
          <t>Tailwind 2.0 Acquisition Corp.</t>
        </is>
      </c>
      <c r="C9974" t="inlineStr">
        <is>
          <t>Nasdaq</t>
        </is>
      </c>
      <c r="D9974" t="n">
        <v>2076616</v>
      </c>
      <c r="E9974" t="inlineStr">
        <is>
          <t>SEC</t>
        </is>
      </c>
    </row>
    <row r="9975">
      <c r="A9975" s="5">
        <f>HYPERLINK("https://finance.yahoo.com/quote/SCIIR","SCIIR")</f>
        <v/>
      </c>
      <c r="B9975" t="inlineStr">
        <is>
          <t>SC II Acquisition Corp.</t>
        </is>
      </c>
      <c r="C9975" t="inlineStr">
        <is>
          <t>Nasdaq</t>
        </is>
      </c>
      <c r="D9975" t="n">
        <v>2076739</v>
      </c>
      <c r="E9975" t="inlineStr">
        <is>
          <t>SEC</t>
        </is>
      </c>
    </row>
    <row r="9976">
      <c r="A9976" s="5">
        <f>HYPERLINK("https://finance.yahoo.com/quote/SCIIU","SCIIU")</f>
        <v/>
      </c>
      <c r="B9976" t="inlineStr">
        <is>
          <t>SC II Acquisition Corp.</t>
        </is>
      </c>
      <c r="C9976" t="inlineStr">
        <is>
          <t>Nasdaq</t>
        </is>
      </c>
      <c r="D9976" t="n">
        <v>2076739</v>
      </c>
      <c r="E9976" t="inlineStr">
        <is>
          <t>SEC</t>
        </is>
      </c>
    </row>
    <row r="9977">
      <c r="A9977" s="5">
        <f>HYPERLINK("https://finance.yahoo.com/quote/ELVX","ELVX")</f>
        <v/>
      </c>
      <c r="B9977" t="inlineStr">
        <is>
          <t>Elventix Technology Corp</t>
        </is>
      </c>
      <c r="C9977" t="inlineStr">
        <is>
          <t>OTC</t>
        </is>
      </c>
      <c r="D9977" t="n">
        <v>2076765</v>
      </c>
      <c r="E9977" t="inlineStr">
        <is>
          <t>SEC</t>
        </is>
      </c>
    </row>
    <row r="9978">
      <c r="A9978" s="5">
        <f>HYPERLINK("https://finance.yahoo.com/quote/OTGAU","OTGAU")</f>
        <v/>
      </c>
      <c r="B9978" t="inlineStr">
        <is>
          <t>OTG Acquisition Corp. I</t>
        </is>
      </c>
      <c r="C9978" t="inlineStr">
        <is>
          <t>Nasdaq</t>
        </is>
      </c>
      <c r="D9978" t="n">
        <v>2077010</v>
      </c>
      <c r="E9978" t="inlineStr">
        <is>
          <t>SEC</t>
        </is>
      </c>
    </row>
    <row r="9979">
      <c r="A9979" s="5">
        <f>HYPERLINK("https://finance.yahoo.com/quote/OTGAW","OTGAW")</f>
        <v/>
      </c>
      <c r="B9979" t="inlineStr">
        <is>
          <t>OTG Acquisition Corp. I</t>
        </is>
      </c>
      <c r="C9979" t="inlineStr">
        <is>
          <t>Nasdaq</t>
        </is>
      </c>
      <c r="D9979" t="n">
        <v>2077010</v>
      </c>
      <c r="E9979" t="inlineStr">
        <is>
          <t>SEC</t>
        </is>
      </c>
    </row>
    <row r="9980">
      <c r="A9980" s="5">
        <f>HYPERLINK("https://finance.yahoo.com/quote/MMTXU","MMTXU")</f>
        <v/>
      </c>
      <c r="B9980" t="inlineStr">
        <is>
          <t>Miluna Acquisition Corp</t>
        </is>
      </c>
      <c r="C9980" t="inlineStr">
        <is>
          <t>Nasdaq</t>
        </is>
      </c>
      <c r="D9980" t="n">
        <v>2077033</v>
      </c>
      <c r="E9980" t="inlineStr">
        <is>
          <t>SEC</t>
        </is>
      </c>
    </row>
    <row r="9981">
      <c r="A9981" s="5">
        <f>HYPERLINK("https://finance.yahoo.com/quote/MMTXW","MMTXW")</f>
        <v/>
      </c>
      <c r="B9981" t="inlineStr">
        <is>
          <t>Miluna Acquisition Corp</t>
        </is>
      </c>
      <c r="C9981" t="inlineStr">
        <is>
          <t>Nasdaq</t>
        </is>
      </c>
      <c r="D9981" t="n">
        <v>2077033</v>
      </c>
      <c r="E9981" t="inlineStr">
        <is>
          <t>SEC</t>
        </is>
      </c>
    </row>
    <row r="9982">
      <c r="A9982" s="5">
        <f>HYPERLINK("https://finance.yahoo.com/quote/OBIIF","OBIIF")</f>
        <v/>
      </c>
      <c r="B9982" t="inlineStr">
        <is>
          <t>OBIC Co., Ltd./ADR</t>
        </is>
      </c>
      <c r="C9982" t="inlineStr">
        <is>
          <t>OTC</t>
        </is>
      </c>
      <c r="D9982" t="n">
        <v>2077146</v>
      </c>
      <c r="E9982" t="inlineStr">
        <is>
          <t>SEC</t>
        </is>
      </c>
    </row>
    <row r="9983">
      <c r="A9983" s="5">
        <f>HYPERLINK("https://finance.yahoo.com/quote/STLJF","STLJF")</f>
        <v/>
      </c>
      <c r="B9983" t="inlineStr">
        <is>
          <t>Stella-Jones Inc./ADR</t>
        </is>
      </c>
      <c r="C9983" t="inlineStr">
        <is>
          <t>OTC</t>
        </is>
      </c>
      <c r="D9983" t="n">
        <v>2077242</v>
      </c>
      <c r="E9983" t="inlineStr">
        <is>
          <t>SEC</t>
        </is>
      </c>
    </row>
    <row r="9984">
      <c r="A9984" s="5">
        <f>HYPERLINK("https://finance.yahoo.com/quote/IRAB-UN","IRAB-UN")</f>
        <v/>
      </c>
      <c r="B9984" t="inlineStr">
        <is>
          <t>Iris Acquisition Corp II</t>
        </is>
      </c>
      <c r="C9984" t="inlineStr">
        <is>
          <t>NYSE</t>
        </is>
      </c>
      <c r="D9984" t="n">
        <v>2077785</v>
      </c>
      <c r="E9984" t="inlineStr">
        <is>
          <t>SEC</t>
        </is>
      </c>
    </row>
    <row r="9985">
      <c r="A9985" s="5">
        <f>HYPERLINK("https://finance.yahoo.com/quote/IRAB-WT","IRAB-WT")</f>
        <v/>
      </c>
      <c r="B9985" t="inlineStr">
        <is>
          <t>Iris Acquisition Corp II</t>
        </is>
      </c>
      <c r="C9985" t="inlineStr">
        <is>
          <t>NYSE</t>
        </is>
      </c>
      <c r="D9985" t="n">
        <v>2077785</v>
      </c>
      <c r="E9985" t="inlineStr">
        <is>
          <t>SEC</t>
        </is>
      </c>
    </row>
    <row r="9986">
      <c r="A9986" s="5">
        <f>HYPERLINK("https://finance.yahoo.com/quote/EVOXU","EVOXU")</f>
        <v/>
      </c>
      <c r="B9986" t="inlineStr">
        <is>
          <t>Evolution Global Acquisition Corp</t>
        </is>
      </c>
      <c r="C9986" t="inlineStr">
        <is>
          <t>Nasdaq</t>
        </is>
      </c>
      <c r="D9986" t="n">
        <v>2077954</v>
      </c>
      <c r="E9986" t="inlineStr">
        <is>
          <t>SEC</t>
        </is>
      </c>
    </row>
    <row r="9987">
      <c r="A9987" s="5">
        <f>HYPERLINK("https://finance.yahoo.com/quote/EVOXW","EVOXW")</f>
        <v/>
      </c>
      <c r="B9987" t="inlineStr">
        <is>
          <t>Evolution Global Acquisition Corp</t>
        </is>
      </c>
      <c r="C9987" t="inlineStr">
        <is>
          <t>Nasdaq</t>
        </is>
      </c>
      <c r="D9987" t="n">
        <v>2077954</v>
      </c>
      <c r="E9987" t="inlineStr">
        <is>
          <t>SEC</t>
        </is>
      </c>
    </row>
    <row r="9988">
      <c r="A9988" s="5">
        <f>HYPERLINK("https://finance.yahoo.com/quote/LLYVB","LLYVB")</f>
        <v/>
      </c>
      <c r="B9988" t="inlineStr">
        <is>
          <t>Liberty Live Holdings, Inc.</t>
        </is>
      </c>
      <c r="C9988" t="inlineStr">
        <is>
          <t>OTC</t>
        </is>
      </c>
      <c r="D9988" t="n">
        <v>2078416</v>
      </c>
      <c r="E9988" t="inlineStr">
        <is>
          <t>SEC</t>
        </is>
      </c>
    </row>
    <row r="9989">
      <c r="A9989" s="5">
        <f>HYPERLINK("https://finance.yahoo.com/quote/LLYVK","LLYVK")</f>
        <v/>
      </c>
      <c r="B9989" t="inlineStr">
        <is>
          <t>Liberty Live Holdings, Inc.</t>
        </is>
      </c>
      <c r="C9989" t="inlineStr">
        <is>
          <t>Nasdaq</t>
        </is>
      </c>
      <c r="D9989" t="n">
        <v>2078416</v>
      </c>
      <c r="E9989" t="inlineStr">
        <is>
          <t>SEC</t>
        </is>
      </c>
    </row>
    <row r="9990">
      <c r="A9990" s="5">
        <f>HYPERLINK("https://finance.yahoo.com/quote/RNGTU","RNGTU")</f>
        <v/>
      </c>
      <c r="B9990" t="inlineStr">
        <is>
          <t>Range Capital Acquisition Corp II</t>
        </is>
      </c>
      <c r="C9990" t="inlineStr">
        <is>
          <t>Nasdaq</t>
        </is>
      </c>
      <c r="D9990" t="n">
        <v>2078653</v>
      </c>
      <c r="E9990" t="inlineStr">
        <is>
          <t>SEC</t>
        </is>
      </c>
    </row>
    <row r="9991">
      <c r="A9991" s="5">
        <f>HYPERLINK("https://finance.yahoo.com/quote/RNGTW","RNGTW")</f>
        <v/>
      </c>
      <c r="B9991" t="inlineStr">
        <is>
          <t>Range Capital Acquisition Corp II</t>
        </is>
      </c>
      <c r="C9991" t="inlineStr">
        <is>
          <t>Nasdaq</t>
        </is>
      </c>
      <c r="D9991" t="n">
        <v>2078653</v>
      </c>
      <c r="E9991" t="inlineStr">
        <is>
          <t>SEC</t>
        </is>
      </c>
    </row>
    <row r="9992">
      <c r="A9992" s="5">
        <f>HYPERLINK("https://finance.yahoo.com/quote/HCACR","HCACR")</f>
        <v/>
      </c>
      <c r="B9992" t="inlineStr">
        <is>
          <t>Hall Chadwick Acquisition Corp</t>
        </is>
      </c>
      <c r="C9992" t="inlineStr">
        <is>
          <t>Nasdaq</t>
        </is>
      </c>
      <c r="D9992" t="n">
        <v>2079013</v>
      </c>
      <c r="E9992" t="inlineStr">
        <is>
          <t>SEC</t>
        </is>
      </c>
    </row>
    <row r="9993">
      <c r="A9993" s="5">
        <f>HYPERLINK("https://finance.yahoo.com/quote/LAFAR","LAFAR")</f>
        <v/>
      </c>
      <c r="B9993" t="inlineStr">
        <is>
          <t>LaFayette Acquisition Corp.</t>
        </is>
      </c>
      <c r="C9993" t="inlineStr">
        <is>
          <t>Nasdaq</t>
        </is>
      </c>
      <c r="D9993" t="n">
        <v>2079106</v>
      </c>
      <c r="E9993" t="inlineStr">
        <is>
          <t>SEC</t>
        </is>
      </c>
    </row>
    <row r="9994">
      <c r="A9994" s="5">
        <f>HYPERLINK("https://finance.yahoo.com/quote/LAFAU","LAFAU")</f>
        <v/>
      </c>
      <c r="B9994" t="inlineStr">
        <is>
          <t>LaFayette Acquisition Corp.</t>
        </is>
      </c>
      <c r="C9994" t="inlineStr">
        <is>
          <t>Nasdaq</t>
        </is>
      </c>
      <c r="D9994" t="n">
        <v>2079106</v>
      </c>
      <c r="E9994" t="inlineStr">
        <is>
          <t>SEC</t>
        </is>
      </c>
    </row>
    <row r="9995">
      <c r="A9995" s="5">
        <f>HYPERLINK("https://finance.yahoo.com/quote/VRXAW","VRXAW")</f>
        <v/>
      </c>
      <c r="B9995" t="inlineStr">
        <is>
          <t>Veraxa Biotech AG - Post de-SPAC</t>
        </is>
      </c>
      <c r="C9995" t="inlineStr">
        <is>
          <t>Nasdaq</t>
        </is>
      </c>
      <c r="D9995" t="n">
        <v>2079109</v>
      </c>
      <c r="E9995" t="inlineStr">
        <is>
          <t>SEC</t>
        </is>
      </c>
    </row>
    <row r="9996">
      <c r="A9996" s="5">
        <f>HYPERLINK("https://finance.yahoo.com/quote/APXTU","APXTU")</f>
        <v/>
      </c>
      <c r="B9996" t="inlineStr">
        <is>
          <t>Apex Treasury Corp</t>
        </is>
      </c>
      <c r="C9996" t="inlineStr">
        <is>
          <t>Nasdaq</t>
        </is>
      </c>
      <c r="D9996" t="n">
        <v>2079253</v>
      </c>
      <c r="E9996" t="inlineStr">
        <is>
          <t>SEC</t>
        </is>
      </c>
    </row>
    <row r="9997">
      <c r="A9997" s="5">
        <f>HYPERLINK("https://finance.yahoo.com/quote/APXTW","APXTW")</f>
        <v/>
      </c>
      <c r="B9997" t="inlineStr">
        <is>
          <t>Apex Treasury Corp</t>
        </is>
      </c>
      <c r="C9997" t="inlineStr">
        <is>
          <t>Nasdaq</t>
        </is>
      </c>
      <c r="D9997" t="n">
        <v>2079253</v>
      </c>
      <c r="E9997" t="inlineStr">
        <is>
          <t>SEC</t>
        </is>
      </c>
    </row>
    <row r="9998">
      <c r="A9998" s="5">
        <f>HYPERLINK("https://finance.yahoo.com/quote/DYORU","DYORU")</f>
        <v/>
      </c>
      <c r="B9998" t="inlineStr">
        <is>
          <t>Insight Digital Partners II</t>
        </is>
      </c>
      <c r="C9998" t="inlineStr">
        <is>
          <t>Nasdaq</t>
        </is>
      </c>
      <c r="D9998" t="n">
        <v>2079292</v>
      </c>
      <c r="E9998" t="inlineStr">
        <is>
          <t>SEC</t>
        </is>
      </c>
    </row>
    <row r="9999">
      <c r="A9999" s="5">
        <f>HYPERLINK("https://finance.yahoo.com/quote/DYORW","DYORW")</f>
        <v/>
      </c>
      <c r="B9999" t="inlineStr">
        <is>
          <t>Insight Digital Partners II</t>
        </is>
      </c>
      <c r="C9999" t="inlineStr">
        <is>
          <t>Nasdaq</t>
        </is>
      </c>
      <c r="D9999" t="n">
        <v>2079292</v>
      </c>
      <c r="E9999" t="inlineStr">
        <is>
          <t>SEC</t>
        </is>
      </c>
    </row>
    <row r="10000">
      <c r="A10000" s="5">
        <f>HYPERLINK("https://finance.yahoo.com/quote/MBGCF","MBGCF")</f>
        <v/>
      </c>
      <c r="B10000" t="inlineStr">
        <is>
          <t>Mitsubishi Gas Chemical Company, Inc./ADR</t>
        </is>
      </c>
      <c r="C10000" t="inlineStr">
        <is>
          <t>OTC</t>
        </is>
      </c>
      <c r="D10000" t="n">
        <v>2079706</v>
      </c>
      <c r="E10000" t="inlineStr">
        <is>
          <t>SEC</t>
        </is>
      </c>
    </row>
    <row r="10001">
      <c r="A10001" s="5">
        <f>HYPERLINK("https://finance.yahoo.com/quote/BEBE-UN","BEBE-UN")</f>
        <v/>
      </c>
      <c r="B10001" t="inlineStr">
        <is>
          <t>TGE Value Creative Solutions Corp</t>
        </is>
      </c>
      <c r="C10001" t="inlineStr">
        <is>
          <t>NYSE</t>
        </is>
      </c>
      <c r="D10001" t="n">
        <v>2079933</v>
      </c>
      <c r="E10001" t="inlineStr">
        <is>
          <t>SEC</t>
        </is>
      </c>
    </row>
    <row r="10002">
      <c r="A10002" s="5">
        <f>HYPERLINK("https://finance.yahoo.com/quote/BEBE-WT","BEBE-WT")</f>
        <v/>
      </c>
      <c r="B10002" t="inlineStr">
        <is>
          <t>TGE Value Creative Solutions Corp</t>
        </is>
      </c>
      <c r="C10002" t="inlineStr">
        <is>
          <t>NYSE</t>
        </is>
      </c>
      <c r="D10002" t="n">
        <v>2079933</v>
      </c>
      <c r="E10002" t="inlineStr">
        <is>
          <t>SEC</t>
        </is>
      </c>
    </row>
    <row r="10003">
      <c r="A10003" s="5">
        <f>HYPERLINK("https://finance.yahoo.com/quote/GIWWR","GIWWR")</f>
        <v/>
      </c>
      <c r="B10003" t="inlineStr">
        <is>
          <t>GigCapital8 Corp.</t>
        </is>
      </c>
      <c r="C10003" t="inlineStr">
        <is>
          <t>Nasdaq</t>
        </is>
      </c>
      <c r="D10003" t="n">
        <v>2080019</v>
      </c>
      <c r="E10003" t="inlineStr">
        <is>
          <t>SEC</t>
        </is>
      </c>
    </row>
    <row r="10004">
      <c r="A10004" s="5">
        <f>HYPERLINK("https://finance.yahoo.com/quote/GIWWU","GIWWU")</f>
        <v/>
      </c>
      <c r="B10004" t="inlineStr">
        <is>
          <t>GigCapital8 Corp.</t>
        </is>
      </c>
      <c r="C10004" t="inlineStr">
        <is>
          <t>Nasdaq</t>
        </is>
      </c>
      <c r="D10004" t="n">
        <v>2080019</v>
      </c>
      <c r="E10004" t="inlineStr">
        <is>
          <t>SEC</t>
        </is>
      </c>
    </row>
    <row r="10005">
      <c r="A10005" s="5">
        <f>HYPERLINK("https://finance.yahoo.com/quote/NSTR-WT","NSTR-WT")</f>
        <v/>
      </c>
      <c r="B10005" t="inlineStr">
        <is>
          <t>NorthStar Earth &amp; Space Enterprises, Inc.</t>
        </is>
      </c>
      <c r="C10005" t="inlineStr">
        <is>
          <t>NYSE</t>
        </is>
      </c>
      <c r="D10005" t="n">
        <v>2080023</v>
      </c>
      <c r="E10005" t="inlineStr">
        <is>
          <t>SEC</t>
        </is>
      </c>
    </row>
    <row r="10006">
      <c r="A10006" s="5">
        <f>HYPERLINK("https://finance.yahoo.com/quote/MYXXR","MYXXR")</f>
        <v/>
      </c>
      <c r="B10006" t="inlineStr">
        <is>
          <t>Maywood Acquisition Corp. 2</t>
        </is>
      </c>
      <c r="C10006" t="inlineStr">
        <is>
          <t>Nasdaq</t>
        </is>
      </c>
      <c r="D10006" t="n">
        <v>2080087</v>
      </c>
      <c r="E10006" t="inlineStr">
        <is>
          <t>SEC</t>
        </is>
      </c>
    </row>
    <row r="10007">
      <c r="A10007" s="5">
        <f>HYPERLINK("https://finance.yahoo.com/quote/MYXXU","MYXXU")</f>
        <v/>
      </c>
      <c r="B10007" t="inlineStr">
        <is>
          <t>Maywood Acquisition Corp. 2</t>
        </is>
      </c>
      <c r="C10007" t="inlineStr">
        <is>
          <t>Nasdaq</t>
        </is>
      </c>
      <c r="D10007" t="n">
        <v>2080087</v>
      </c>
      <c r="E10007" t="inlineStr">
        <is>
          <t>SEC</t>
        </is>
      </c>
    </row>
    <row r="10008">
      <c r="A10008" s="5">
        <f>HYPERLINK("https://finance.yahoo.com/quote/MYXXW","MYXXW")</f>
        <v/>
      </c>
      <c r="B10008" t="inlineStr">
        <is>
          <t>Maywood Acquisition Corp. 2</t>
        </is>
      </c>
      <c r="C10008" t="inlineStr">
        <is>
          <t>Nasdaq</t>
        </is>
      </c>
      <c r="D10008" t="n">
        <v>2080087</v>
      </c>
      <c r="E10008" t="inlineStr">
        <is>
          <t>SEC</t>
        </is>
      </c>
    </row>
    <row r="10009">
      <c r="A10009" s="5">
        <f>HYPERLINK("https://finance.yahoo.com/quote/USDEW","USDEW")</f>
        <v/>
      </c>
      <c r="B10009" t="inlineStr">
        <is>
          <t>StableCoinX Inc.</t>
        </is>
      </c>
      <c r="C10009" t="inlineStr">
        <is>
          <t>Nasdaq</t>
        </is>
      </c>
      <c r="D10009" t="n">
        <v>2080215</v>
      </c>
      <c r="E10009" t="inlineStr">
        <is>
          <t>SEC</t>
        </is>
      </c>
    </row>
    <row r="10010">
      <c r="A10010" s="5">
        <f>HYPERLINK("https://finance.yahoo.com/quote/THEOR","THEOR")</f>
        <v/>
      </c>
      <c r="B10010" t="inlineStr">
        <is>
          <t>BOA Acquisition Corp. II</t>
        </is>
      </c>
      <c r="C10010" t="inlineStr">
        <is>
          <t>Nasdaq</t>
        </is>
      </c>
      <c r="D10010" t="n">
        <v>2080216</v>
      </c>
      <c r="E10010" t="inlineStr">
        <is>
          <t>SEC</t>
        </is>
      </c>
    </row>
    <row r="10011">
      <c r="A10011" s="5">
        <f>HYPERLINK("https://finance.yahoo.com/quote/THEOU","THEOU")</f>
        <v/>
      </c>
      <c r="B10011" t="inlineStr">
        <is>
          <t>BOA Acquisition Corp. II</t>
        </is>
      </c>
      <c r="C10011" t="inlineStr">
        <is>
          <t>Nasdaq</t>
        </is>
      </c>
      <c r="D10011" t="n">
        <v>2080216</v>
      </c>
      <c r="E10011" t="inlineStr">
        <is>
          <t>SEC</t>
        </is>
      </c>
    </row>
    <row r="10012">
      <c r="A10012" s="5">
        <f>HYPERLINK("https://finance.yahoo.com/quote/ITHAU","ITHAU")</f>
        <v/>
      </c>
      <c r="B10012" t="inlineStr">
        <is>
          <t>ITHAX Acquisition Corp III</t>
        </is>
      </c>
      <c r="C10012" t="inlineStr">
        <is>
          <t>Nasdaq</t>
        </is>
      </c>
      <c r="D10012" t="n">
        <v>2080985</v>
      </c>
      <c r="E10012" t="inlineStr">
        <is>
          <t>SEC</t>
        </is>
      </c>
    </row>
    <row r="10013">
      <c r="A10013" s="5">
        <f>HYPERLINK("https://finance.yahoo.com/quote/ITHAW","ITHAW")</f>
        <v/>
      </c>
      <c r="B10013" t="inlineStr">
        <is>
          <t>ITHAX Acquisition Corp III</t>
        </is>
      </c>
      <c r="C10013" t="inlineStr">
        <is>
          <t>Nasdaq</t>
        </is>
      </c>
      <c r="D10013" t="n">
        <v>2080985</v>
      </c>
      <c r="E10013" t="inlineStr">
        <is>
          <t>SEC</t>
        </is>
      </c>
    </row>
    <row r="10014">
      <c r="A10014" s="5">
        <f>HYPERLINK("https://finance.yahoo.com/quote/DNMXU","DNMXU")</f>
        <v/>
      </c>
      <c r="B10014" t="inlineStr">
        <is>
          <t>Dynamix Corp III</t>
        </is>
      </c>
      <c r="C10014" t="inlineStr">
        <is>
          <t>Nasdaq</t>
        </is>
      </c>
      <c r="D10014" t="n">
        <v>2081125</v>
      </c>
      <c r="E10014" t="inlineStr">
        <is>
          <t>SEC</t>
        </is>
      </c>
    </row>
    <row r="10015">
      <c r="A10015" s="5">
        <f>HYPERLINK("https://finance.yahoo.com/quote/DNMXW","DNMXW")</f>
        <v/>
      </c>
      <c r="B10015" t="inlineStr">
        <is>
          <t>Dynamix Corp III</t>
        </is>
      </c>
      <c r="C10015" t="inlineStr">
        <is>
          <t>Nasdaq</t>
        </is>
      </c>
      <c r="D10015" t="n">
        <v>2081125</v>
      </c>
      <c r="E10015" t="inlineStr">
        <is>
          <t>SEC</t>
        </is>
      </c>
    </row>
    <row r="10016">
      <c r="A10016" s="5">
        <f>HYPERLINK("https://finance.yahoo.com/quote/SSACR","SSACR")</f>
        <v/>
      </c>
      <c r="B10016" t="inlineStr">
        <is>
          <t>SPACSphere Acquisition Corp.</t>
        </is>
      </c>
      <c r="C10016" t="inlineStr">
        <is>
          <t>Nasdaq</t>
        </is>
      </c>
      <c r="D10016" t="n">
        <v>2081300</v>
      </c>
      <c r="E10016" t="inlineStr">
        <is>
          <t>SEC</t>
        </is>
      </c>
    </row>
    <row r="10017">
      <c r="A10017" s="5">
        <f>HYPERLINK("https://finance.yahoo.com/quote/SSACU","SSACU")</f>
        <v/>
      </c>
      <c r="B10017" t="inlineStr">
        <is>
          <t>SPACSphere Acquisition Corp.</t>
        </is>
      </c>
      <c r="C10017" t="inlineStr">
        <is>
          <t>Nasdaq</t>
        </is>
      </c>
      <c r="D10017" t="n">
        <v>2081300</v>
      </c>
      <c r="E10017" t="inlineStr">
        <is>
          <t>SEC</t>
        </is>
      </c>
    </row>
    <row r="10018">
      <c r="A10018" s="5">
        <f>HYPERLINK("https://finance.yahoo.com/quote/SSACW","SSACW")</f>
        <v/>
      </c>
      <c r="B10018" t="inlineStr">
        <is>
          <t>SPACSphere Acquisition Corp.</t>
        </is>
      </c>
      <c r="C10018" t="inlineStr">
        <is>
          <t>Nasdaq</t>
        </is>
      </c>
      <c r="D10018" t="n">
        <v>2081300</v>
      </c>
      <c r="E10018" t="inlineStr">
        <is>
          <t>SEC</t>
        </is>
      </c>
    </row>
    <row r="10019">
      <c r="A10019" s="5">
        <f>HYPERLINK("https://finance.yahoo.com/quote/CRANR","CRANR")</f>
        <v/>
      </c>
      <c r="B10019" t="inlineStr">
        <is>
          <t>Crane Harbor Acquisition Corp. II</t>
        </is>
      </c>
      <c r="C10019" t="inlineStr">
        <is>
          <t>Nasdaq</t>
        </is>
      </c>
      <c r="D10019" t="n">
        <v>2081358</v>
      </c>
      <c r="E10019" t="inlineStr">
        <is>
          <t>SEC</t>
        </is>
      </c>
    </row>
    <row r="10020">
      <c r="A10020" s="5">
        <f>HYPERLINK("https://finance.yahoo.com/quote/CRANU","CRANU")</f>
        <v/>
      </c>
      <c r="B10020" t="inlineStr">
        <is>
          <t>Crane Harbor Acquisition Corp. II</t>
        </is>
      </c>
      <c r="C10020" t="inlineStr">
        <is>
          <t>Nasdaq</t>
        </is>
      </c>
      <c r="D10020" t="n">
        <v>2081358</v>
      </c>
      <c r="E10020" t="inlineStr">
        <is>
          <t>SEC</t>
        </is>
      </c>
    </row>
    <row r="10021">
      <c r="A10021" s="5">
        <f>HYPERLINK("https://finance.yahoo.com/quote/MESHU","MESHU")</f>
        <v/>
      </c>
      <c r="B10021" t="inlineStr">
        <is>
          <t>Meshflow Acquisition Corp</t>
        </is>
      </c>
      <c r="C10021" t="inlineStr">
        <is>
          <t>Nasdaq</t>
        </is>
      </c>
      <c r="D10021" t="n">
        <v>2081468</v>
      </c>
      <c r="E10021" t="inlineStr">
        <is>
          <t>SEC</t>
        </is>
      </c>
    </row>
    <row r="10022">
      <c r="A10022" s="5">
        <f>HYPERLINK("https://finance.yahoo.com/quote/MESHW","MESHW")</f>
        <v/>
      </c>
      <c r="B10022" t="inlineStr">
        <is>
          <t>Meshflow Acquisition Corp</t>
        </is>
      </c>
      <c r="C10022" t="inlineStr">
        <is>
          <t>Nasdaq</t>
        </is>
      </c>
      <c r="D10022" t="n">
        <v>2081468</v>
      </c>
      <c r="E10022" t="inlineStr">
        <is>
          <t>SEC</t>
        </is>
      </c>
    </row>
    <row r="10023">
      <c r="A10023" s="5">
        <f>HYPERLINK("https://finance.yahoo.com/quote/GUACU","GUACU")</f>
        <v/>
      </c>
      <c r="B10023" t="inlineStr">
        <is>
          <t>Berto Acquisition Corp. II</t>
        </is>
      </c>
      <c r="C10023" t="inlineStr">
        <is>
          <t>Nasdaq</t>
        </is>
      </c>
      <c r="D10023" t="n">
        <v>2081515</v>
      </c>
      <c r="E10023" t="inlineStr">
        <is>
          <t>SEC</t>
        </is>
      </c>
    </row>
    <row r="10024">
      <c r="A10024" s="5">
        <f>HYPERLINK("https://finance.yahoo.com/quote/GUACW","GUACW")</f>
        <v/>
      </c>
      <c r="B10024" t="inlineStr">
        <is>
          <t>Berto Acquisition Corp. II</t>
        </is>
      </c>
      <c r="C10024" t="inlineStr">
        <is>
          <t>Nasdaq</t>
        </is>
      </c>
      <c r="D10024" t="n">
        <v>2081515</v>
      </c>
      <c r="E10024" t="inlineStr">
        <is>
          <t>SEC</t>
        </is>
      </c>
    </row>
    <row r="10025">
      <c r="A10025" s="5">
        <f>HYPERLINK("https://finance.yahoo.com/quote/BLRKU","BLRKU")</f>
        <v/>
      </c>
      <c r="B10025" t="inlineStr">
        <is>
          <t>Bluerock Acquisition Corp.</t>
        </is>
      </c>
      <c r="C10025" t="inlineStr">
        <is>
          <t>Nasdaq</t>
        </is>
      </c>
      <c r="D10025" t="n">
        <v>2081532</v>
      </c>
      <c r="E10025" t="inlineStr">
        <is>
          <t>SEC</t>
        </is>
      </c>
    </row>
    <row r="10026">
      <c r="A10026" s="5">
        <f>HYPERLINK("https://finance.yahoo.com/quote/BLRKW","BLRKW")</f>
        <v/>
      </c>
      <c r="B10026" t="inlineStr">
        <is>
          <t>Bluerock Acquisition Corp.</t>
        </is>
      </c>
      <c r="C10026" t="inlineStr">
        <is>
          <t>Nasdaq</t>
        </is>
      </c>
      <c r="D10026" t="n">
        <v>2081532</v>
      </c>
      <c r="E10026" t="inlineStr">
        <is>
          <t>SEC</t>
        </is>
      </c>
    </row>
    <row r="10027">
      <c r="A10027" s="5">
        <f>HYPERLINK("https://finance.yahoo.com/quote/WPAC-RI","WPAC-RI")</f>
        <v/>
      </c>
      <c r="B10027" t="inlineStr">
        <is>
          <t>White Pearl Acquisition Corp.</t>
        </is>
      </c>
      <c r="C10027" t="inlineStr">
        <is>
          <t>NYSE</t>
        </is>
      </c>
      <c r="D10027" t="n">
        <v>2081536</v>
      </c>
      <c r="E10027" t="inlineStr">
        <is>
          <t>SEC</t>
        </is>
      </c>
    </row>
    <row r="10028">
      <c r="A10028" s="5">
        <f>HYPERLINK("https://finance.yahoo.com/quote/WPAC-UN","WPAC-UN")</f>
        <v/>
      </c>
      <c r="B10028" t="inlineStr">
        <is>
          <t>White Pearl Acquisition Corp.</t>
        </is>
      </c>
      <c r="C10028" t="inlineStr">
        <is>
          <t>NYSE</t>
        </is>
      </c>
      <c r="D10028" t="n">
        <v>2081536</v>
      </c>
      <c r="E10028" t="inlineStr">
        <is>
          <t>SEC</t>
        </is>
      </c>
    </row>
    <row r="10029">
      <c r="A10029" s="5">
        <f>HYPERLINK("https://finance.yahoo.com/quote/VECA-RI","VECA-RI")</f>
        <v/>
      </c>
      <c r="B10029" t="inlineStr">
        <is>
          <t>Vernal Capital Acquisition Corp.</t>
        </is>
      </c>
      <c r="C10029" t="inlineStr">
        <is>
          <t>NYSE</t>
        </is>
      </c>
      <c r="D10029" t="n">
        <v>2081690</v>
      </c>
      <c r="E10029" t="inlineStr">
        <is>
          <t>SEC</t>
        </is>
      </c>
    </row>
    <row r="10030">
      <c r="A10030" s="5">
        <f>HYPERLINK("https://finance.yahoo.com/quote/VECA-UN","VECA-UN")</f>
        <v/>
      </c>
      <c r="B10030" t="inlineStr">
        <is>
          <t>Vernal Capital Acquisition Corp.</t>
        </is>
      </c>
      <c r="C10030" t="inlineStr">
        <is>
          <t>NYSE</t>
        </is>
      </c>
      <c r="D10030" t="n">
        <v>2081690</v>
      </c>
      <c r="E10030" t="inlineStr">
        <is>
          <t>SEC</t>
        </is>
      </c>
    </row>
    <row r="10031">
      <c r="A10031" s="5">
        <f>HYPERLINK("https://finance.yahoo.com/quote/SBXE-UN","SBXE-UN")</f>
        <v/>
      </c>
      <c r="B10031" t="inlineStr">
        <is>
          <t>SilverBox Corp V</t>
        </is>
      </c>
      <c r="C10031" t="inlineStr">
        <is>
          <t>NYSE</t>
        </is>
      </c>
      <c r="D10031" t="n">
        <v>2081909</v>
      </c>
      <c r="E10031" t="inlineStr">
        <is>
          <t>SEC</t>
        </is>
      </c>
    </row>
    <row r="10032">
      <c r="A10032" s="5">
        <f>HYPERLINK("https://finance.yahoo.com/quote/SBXE-WT","SBXE-WT")</f>
        <v/>
      </c>
      <c r="B10032" t="inlineStr">
        <is>
          <t>SilverBox Corp V</t>
        </is>
      </c>
      <c r="C10032" t="inlineStr">
        <is>
          <t>NYSE</t>
        </is>
      </c>
      <c r="D10032" t="n">
        <v>2081909</v>
      </c>
      <c r="E10032" t="inlineStr">
        <is>
          <t>SEC</t>
        </is>
      </c>
    </row>
    <row r="10033">
      <c r="A10033" s="5">
        <f>HYPERLINK("https://finance.yahoo.com/quote/KRAQU","KRAQU")</f>
        <v/>
      </c>
      <c r="B10033" t="inlineStr">
        <is>
          <t>KRAKacquisition Corp</t>
        </is>
      </c>
      <c r="C10033" t="inlineStr">
        <is>
          <t>Nasdaq</t>
        </is>
      </c>
      <c r="D10033" t="n">
        <v>2082119</v>
      </c>
      <c r="E10033" t="inlineStr">
        <is>
          <t>SEC</t>
        </is>
      </c>
    </row>
    <row r="10034">
      <c r="A10034" s="5">
        <f>HYPERLINK("https://finance.yahoo.com/quote/KRAQW","KRAQW")</f>
        <v/>
      </c>
      <c r="B10034" t="inlineStr">
        <is>
          <t>KRAKacquisition Corp</t>
        </is>
      </c>
      <c r="C10034" t="inlineStr">
        <is>
          <t>Nasdaq</t>
        </is>
      </c>
      <c r="D10034" t="n">
        <v>2082119</v>
      </c>
      <c r="E10034" t="inlineStr">
        <is>
          <t>SEC</t>
        </is>
      </c>
    </row>
    <row r="10035">
      <c r="A10035" s="5">
        <f>HYPERLINK("https://finance.yahoo.com/quote/AVVOF","AVVOF")</f>
        <v/>
      </c>
      <c r="B10035" t="inlineStr">
        <is>
          <t>Avio S.p.A./ADR</t>
        </is>
      </c>
      <c r="C10035" t="inlineStr">
        <is>
          <t>OTC</t>
        </is>
      </c>
      <c r="D10035" t="n">
        <v>2082141</v>
      </c>
      <c r="E10035" t="inlineStr">
        <is>
          <t>SEC</t>
        </is>
      </c>
    </row>
    <row r="10036">
      <c r="A10036" s="5">
        <f>HYPERLINK("https://finance.yahoo.com/quote/DSACU","DSACU")</f>
        <v/>
      </c>
      <c r="B10036" t="inlineStr">
        <is>
          <t>Daedalus Special Acquisition Corp.</t>
        </is>
      </c>
      <c r="C10036" t="inlineStr">
        <is>
          <t>Nasdaq</t>
        </is>
      </c>
      <c r="D10036" t="n">
        <v>2082149</v>
      </c>
      <c r="E10036" t="inlineStr">
        <is>
          <t>SEC</t>
        </is>
      </c>
    </row>
    <row r="10037">
      <c r="A10037" s="5">
        <f>HYPERLINK("https://finance.yahoo.com/quote/DSACW","DSACW")</f>
        <v/>
      </c>
      <c r="B10037" t="inlineStr">
        <is>
          <t>Daedalus Special Acquisition Corp.</t>
        </is>
      </c>
      <c r="C10037" t="inlineStr">
        <is>
          <t>Nasdaq</t>
        </is>
      </c>
      <c r="D10037" t="n">
        <v>2082149</v>
      </c>
      <c r="E10037" t="inlineStr">
        <is>
          <t>SEC</t>
        </is>
      </c>
    </row>
    <row r="10038">
      <c r="A10038" s="5">
        <f>HYPERLINK("https://finance.yahoo.com/quote/AESPR","AESPR")</f>
        <v/>
      </c>
      <c r="B10038" t="inlineStr">
        <is>
          <t>Aeon Acquisition I Corp.</t>
        </is>
      </c>
      <c r="C10038" t="inlineStr">
        <is>
          <t>Nasdaq</t>
        </is>
      </c>
      <c r="D10038" t="n">
        <v>2082526</v>
      </c>
      <c r="E10038" t="inlineStr">
        <is>
          <t>SEC</t>
        </is>
      </c>
    </row>
    <row r="10039">
      <c r="A10039" s="5">
        <f>HYPERLINK("https://finance.yahoo.com/quote/AESPU","AESPU")</f>
        <v/>
      </c>
      <c r="B10039" t="inlineStr">
        <is>
          <t>Aeon Acquisition I Corp.</t>
        </is>
      </c>
      <c r="C10039" t="inlineStr">
        <is>
          <t>Nasdaq</t>
        </is>
      </c>
      <c r="D10039" t="n">
        <v>2082526</v>
      </c>
      <c r="E10039" t="inlineStr">
        <is>
          <t>SEC</t>
        </is>
      </c>
    </row>
    <row r="10040">
      <c r="A10040" s="5">
        <f>HYPERLINK("https://finance.yahoo.com/quote/AESPW","AESPW")</f>
        <v/>
      </c>
      <c r="B10040" t="inlineStr">
        <is>
          <t>Aeon Acquisition I Corp.</t>
        </is>
      </c>
      <c r="C10040" t="inlineStr">
        <is>
          <t>Nasdaq</t>
        </is>
      </c>
      <c r="D10040" t="n">
        <v>2082526</v>
      </c>
      <c r="E10040" t="inlineStr">
        <is>
          <t>SEC</t>
        </is>
      </c>
    </row>
    <row r="10041">
      <c r="A10041" s="5">
        <f>HYPERLINK("https://finance.yahoo.com/quote/BIXIU","BIXIU")</f>
        <v/>
      </c>
      <c r="B10041" t="inlineStr">
        <is>
          <t>Bitcoin Infrastructure Acquisition Corp Ltd</t>
        </is>
      </c>
      <c r="C10041" t="inlineStr">
        <is>
          <t>Nasdaq</t>
        </is>
      </c>
      <c r="D10041" t="n">
        <v>2082542</v>
      </c>
      <c r="E10041" t="inlineStr">
        <is>
          <t>SEC</t>
        </is>
      </c>
    </row>
    <row r="10042">
      <c r="A10042" s="5">
        <f>HYPERLINK("https://finance.yahoo.com/quote/BIXIW","BIXIW")</f>
        <v/>
      </c>
      <c r="B10042" t="inlineStr">
        <is>
          <t>Bitcoin Infrastructure Acquisition Corp Ltd</t>
        </is>
      </c>
      <c r="C10042" t="inlineStr">
        <is>
          <t>Nasdaq</t>
        </is>
      </c>
      <c r="D10042" t="n">
        <v>2082542</v>
      </c>
      <c r="E10042" t="inlineStr">
        <is>
          <t>SEC</t>
        </is>
      </c>
    </row>
    <row r="10043">
      <c r="A10043" s="5">
        <f>HYPERLINK("https://finance.yahoo.com/quote/SAC-UN","SAC-UN")</f>
        <v/>
      </c>
      <c r="B10043" t="inlineStr">
        <is>
          <t>Safeguard Acquisition Corp.</t>
        </is>
      </c>
      <c r="C10043" t="inlineStr">
        <is>
          <t>NYSE</t>
        </is>
      </c>
      <c r="D10043" t="n">
        <v>2082844</v>
      </c>
      <c r="E10043" t="inlineStr">
        <is>
          <t>SEC</t>
        </is>
      </c>
    </row>
    <row r="10044">
      <c r="A10044" s="5">
        <f>HYPERLINK("https://finance.yahoo.com/quote/SAC-WT","SAC-WT")</f>
        <v/>
      </c>
      <c r="B10044" t="inlineStr">
        <is>
          <t>Safeguard Acquisition Corp.</t>
        </is>
      </c>
      <c r="C10044" t="inlineStr">
        <is>
          <t>NYSE</t>
        </is>
      </c>
      <c r="D10044" t="n">
        <v>2082844</v>
      </c>
      <c r="E10044" t="inlineStr">
        <is>
          <t>SEC</t>
        </is>
      </c>
    </row>
    <row r="10045">
      <c r="A10045" s="5">
        <f>HYPERLINK("https://finance.yahoo.com/quote/BWIV-UN","BWIV-UN")</f>
        <v/>
      </c>
      <c r="B10045" t="inlineStr">
        <is>
          <t>Blue Water Acquisition Corp. IV</t>
        </is>
      </c>
      <c r="C10045" t="inlineStr">
        <is>
          <t>NYSE</t>
        </is>
      </c>
      <c r="D10045" t="n">
        <v>2082847</v>
      </c>
      <c r="E10045" t="inlineStr">
        <is>
          <t>SEC</t>
        </is>
      </c>
    </row>
    <row r="10046">
      <c r="A10046" s="5">
        <f>HYPERLINK("https://finance.yahoo.com/quote/BWIV-WT","BWIV-WT")</f>
        <v/>
      </c>
      <c r="B10046" t="inlineStr">
        <is>
          <t>Blue Water Acquisition Corp. IV</t>
        </is>
      </c>
      <c r="C10046" t="inlineStr">
        <is>
          <t>NYSE</t>
        </is>
      </c>
      <c r="D10046" t="n">
        <v>2082847</v>
      </c>
      <c r="E10046" t="inlineStr">
        <is>
          <t>SEC</t>
        </is>
      </c>
    </row>
    <row r="10047">
      <c r="A10047" s="5">
        <f>HYPERLINK("https://finance.yahoo.com/quote/PNFP-PA","PNFP-PA")</f>
        <v/>
      </c>
      <c r="B10047" t="inlineStr">
        <is>
          <t>Pinnacle Financial Partners, Inc.</t>
        </is>
      </c>
      <c r="C10047" t="inlineStr">
        <is>
          <t>NYSE</t>
        </is>
      </c>
      <c r="D10047" t="n">
        <v>2082866</v>
      </c>
      <c r="E10047" t="inlineStr">
        <is>
          <t>SEC</t>
        </is>
      </c>
    </row>
    <row r="10048">
      <c r="A10048" s="5">
        <f>HYPERLINK("https://finance.yahoo.com/quote/PNFP-PB","PNFP-PB")</f>
        <v/>
      </c>
      <c r="B10048" t="inlineStr">
        <is>
          <t>Pinnacle Financial Partners, Inc.</t>
        </is>
      </c>
      <c r="C10048" t="inlineStr">
        <is>
          <t>NYSE</t>
        </is>
      </c>
      <c r="D10048" t="n">
        <v>2082866</v>
      </c>
      <c r="E10048" t="inlineStr">
        <is>
          <t>SEC</t>
        </is>
      </c>
    </row>
    <row r="10049">
      <c r="A10049" s="5">
        <f>HYPERLINK("https://finance.yahoo.com/quote/PNFP-PC","PNFP-PC")</f>
        <v/>
      </c>
      <c r="B10049" t="inlineStr">
        <is>
          <t>Pinnacle Financial Partners, Inc.</t>
        </is>
      </c>
      <c r="C10049" t="inlineStr">
        <is>
          <t>NYSE</t>
        </is>
      </c>
      <c r="D10049" t="n">
        <v>2082866</v>
      </c>
      <c r="E10049" t="inlineStr">
        <is>
          <t>SEC</t>
        </is>
      </c>
    </row>
    <row r="10050">
      <c r="A10050" s="5">
        <f>HYPERLINK("https://finance.yahoo.com/quote/FHFLF","FHFLF")</f>
        <v/>
      </c>
      <c r="B10050" t="inlineStr">
        <is>
          <t>Foshan Haitian Flavouring &amp; Food Co Ltd./ADR</t>
        </is>
      </c>
      <c r="C10050" t="inlineStr">
        <is>
          <t>OTC</t>
        </is>
      </c>
      <c r="D10050" t="n">
        <v>2082876</v>
      </c>
      <c r="E10050" t="inlineStr">
        <is>
          <t>SEC</t>
        </is>
      </c>
    </row>
    <row r="10051">
      <c r="A10051" s="5">
        <f>HYPERLINK("https://finance.yahoo.com/quote/ADACU","ADACU")</f>
        <v/>
      </c>
      <c r="B10051" t="inlineStr">
        <is>
          <t>American Drive Acquisition Co</t>
        </is>
      </c>
      <c r="C10051" t="inlineStr">
        <is>
          <t>Nasdaq</t>
        </is>
      </c>
      <c r="D10051" t="n">
        <v>2083002</v>
      </c>
      <c r="E10051" t="inlineStr">
        <is>
          <t>SEC</t>
        </is>
      </c>
    </row>
    <row r="10052">
      <c r="A10052" s="5">
        <f>HYPERLINK("https://finance.yahoo.com/quote/ADACW","ADACW")</f>
        <v/>
      </c>
      <c r="B10052" t="inlineStr">
        <is>
          <t>American Drive Acquisition Co</t>
        </is>
      </c>
      <c r="C10052" t="inlineStr">
        <is>
          <t>Nasdaq</t>
        </is>
      </c>
      <c r="D10052" t="n">
        <v>2083002</v>
      </c>
      <c r="E10052" t="inlineStr">
        <is>
          <t>SEC</t>
        </is>
      </c>
    </row>
    <row r="10053">
      <c r="A10053" s="5">
        <f>HYPERLINK("https://finance.yahoo.com/quote/FTW-WT","FTW-WT")</f>
        <v/>
      </c>
      <c r="B10053" t="inlineStr">
        <is>
          <t>PRESIDIO PRODUCTION Co</t>
        </is>
      </c>
      <c r="C10053" t="inlineStr">
        <is>
          <t>NYSE</t>
        </is>
      </c>
      <c r="D10053" t="n">
        <v>2083125</v>
      </c>
      <c r="E10053" t="inlineStr">
        <is>
          <t>SEC</t>
        </is>
      </c>
    </row>
    <row r="10054">
      <c r="A10054" s="5">
        <f>HYPERLINK("https://finance.yahoo.com/quote/SCPQU","SCPQU")</f>
        <v/>
      </c>
      <c r="B10054" t="inlineStr">
        <is>
          <t>Social Commerce Partners Corp</t>
        </is>
      </c>
      <c r="C10054" t="inlineStr">
        <is>
          <t>Nasdaq</t>
        </is>
      </c>
      <c r="D10054" t="n">
        <v>2083143</v>
      </c>
      <c r="E10054" t="inlineStr">
        <is>
          <t>SEC</t>
        </is>
      </c>
    </row>
    <row r="10055">
      <c r="A10055" s="5">
        <f>HYPERLINK("https://finance.yahoo.com/quote/SCPQW","SCPQW")</f>
        <v/>
      </c>
      <c r="B10055" t="inlineStr">
        <is>
          <t>Social Commerce Partners Corp</t>
        </is>
      </c>
      <c r="C10055" t="inlineStr">
        <is>
          <t>Nasdaq</t>
        </is>
      </c>
      <c r="D10055" t="n">
        <v>2083143</v>
      </c>
      <c r="E10055" t="inlineStr">
        <is>
          <t>SEC</t>
        </is>
      </c>
    </row>
    <row r="10056">
      <c r="A10056" s="5">
        <f>HYPERLINK("https://finance.yahoo.com/quote/QADRU","QADRU")</f>
        <v/>
      </c>
      <c r="B10056" t="inlineStr">
        <is>
          <t>QDRO Acquisition Corp.</t>
        </is>
      </c>
      <c r="C10056" t="inlineStr">
        <is>
          <t>Nasdaq</t>
        </is>
      </c>
      <c r="D10056" t="n">
        <v>2083217</v>
      </c>
      <c r="E10056" t="inlineStr">
        <is>
          <t>SEC</t>
        </is>
      </c>
    </row>
    <row r="10057">
      <c r="A10057" s="5">
        <f>HYPERLINK("https://finance.yahoo.com/quote/QADRW","QADRW")</f>
        <v/>
      </c>
      <c r="B10057" t="inlineStr">
        <is>
          <t>QDRO Acquisition Corp.</t>
        </is>
      </c>
      <c r="C10057" t="inlineStr">
        <is>
          <t>Nasdaq</t>
        </is>
      </c>
      <c r="D10057" t="n">
        <v>2083217</v>
      </c>
      <c r="E10057" t="inlineStr">
        <is>
          <t>SEC</t>
        </is>
      </c>
    </row>
    <row r="10058">
      <c r="A10058" s="5">
        <f>HYPERLINK("https://finance.yahoo.com/quote/SPIWF","SPIWF")</f>
        <v/>
      </c>
      <c r="B10058" t="inlineStr">
        <is>
          <t>SPIE SA/ADR</t>
        </is>
      </c>
      <c r="C10058" t="inlineStr">
        <is>
          <t>OTC</t>
        </is>
      </c>
      <c r="D10058" t="n">
        <v>2083221</v>
      </c>
      <c r="E10058" t="inlineStr">
        <is>
          <t>SEC</t>
        </is>
      </c>
    </row>
    <row r="10059">
      <c r="A10059" s="5">
        <f>HYPERLINK("https://finance.yahoo.com/quote/SAGU-RI","SAGU-RI")</f>
        <v/>
      </c>
      <c r="B10059" t="inlineStr">
        <is>
          <t>Shreya Acquisition Group</t>
        </is>
      </c>
      <c r="C10059" t="inlineStr">
        <is>
          <t>NYSE</t>
        </is>
      </c>
      <c r="D10059" t="n">
        <v>2083452</v>
      </c>
      <c r="E10059" t="inlineStr">
        <is>
          <t>SEC</t>
        </is>
      </c>
    </row>
    <row r="10060">
      <c r="A10060" s="5">
        <f>HYPERLINK("https://finance.yahoo.com/quote/SAGU-UN","SAGU-UN")</f>
        <v/>
      </c>
      <c r="B10060" t="inlineStr">
        <is>
          <t>Shreya Acquisition Group</t>
        </is>
      </c>
      <c r="C10060" t="inlineStr">
        <is>
          <t>NYSE</t>
        </is>
      </c>
      <c r="D10060" t="n">
        <v>2083452</v>
      </c>
      <c r="E10060" t="inlineStr">
        <is>
          <t>SEC</t>
        </is>
      </c>
    </row>
    <row r="10061">
      <c r="A10061" s="5">
        <f>HYPERLINK("https://finance.yahoo.com/quote/SAGU-WT","SAGU-WT")</f>
        <v/>
      </c>
      <c r="B10061" t="inlineStr">
        <is>
          <t>Shreya Acquisition Group</t>
        </is>
      </c>
      <c r="C10061" t="inlineStr">
        <is>
          <t>NYSE</t>
        </is>
      </c>
      <c r="D10061" t="n">
        <v>2083452</v>
      </c>
      <c r="E10061" t="inlineStr">
        <is>
          <t>SEC</t>
        </is>
      </c>
    </row>
    <row r="10062">
      <c r="A10062" s="5">
        <f>HYPERLINK("https://finance.yahoo.com/quote/XCBEU","XCBEU")</f>
        <v/>
      </c>
      <c r="B10062" t="inlineStr">
        <is>
          <t>X3 Acquisition Corp. Ltd.</t>
        </is>
      </c>
      <c r="C10062" t="inlineStr">
        <is>
          <t>Nasdaq</t>
        </is>
      </c>
      <c r="D10062" t="n">
        <v>2083493</v>
      </c>
      <c r="E10062" t="inlineStr">
        <is>
          <t>SEC</t>
        </is>
      </c>
    </row>
    <row r="10063">
      <c r="A10063" s="5">
        <f>HYPERLINK("https://finance.yahoo.com/quote/XCBEW","XCBEW")</f>
        <v/>
      </c>
      <c r="B10063" t="inlineStr">
        <is>
          <t>X3 Acquisition Corp. Ltd.</t>
        </is>
      </c>
      <c r="C10063" t="inlineStr">
        <is>
          <t>Nasdaq</t>
        </is>
      </c>
      <c r="D10063" t="n">
        <v>2083493</v>
      </c>
      <c r="E10063" t="inlineStr">
        <is>
          <t>SEC</t>
        </is>
      </c>
    </row>
    <row r="10064">
      <c r="A10064" s="5">
        <f>HYPERLINK("https://finance.yahoo.com/quote/OCTLF","OCTLF")</f>
        <v/>
      </c>
      <c r="B10064" t="inlineStr">
        <is>
          <t>Octave Intelligence plc</t>
        </is>
      </c>
      <c r="C10064" t="inlineStr">
        <is>
          <t>OTC</t>
        </is>
      </c>
      <c r="D10064" t="n">
        <v>2083632</v>
      </c>
      <c r="E10064" t="inlineStr">
        <is>
          <t>SEC</t>
        </is>
      </c>
    </row>
    <row r="10065">
      <c r="A10065" s="5">
        <f>HYPERLINK("https://finance.yahoo.com/quote/AEAQU","AEAQU")</f>
        <v/>
      </c>
      <c r="B10065" t="inlineStr">
        <is>
          <t>Activate Energy Acquisition Corp.</t>
        </is>
      </c>
      <c r="C10065" t="inlineStr">
        <is>
          <t>Nasdaq</t>
        </is>
      </c>
      <c r="D10065" t="n">
        <v>2083689</v>
      </c>
      <c r="E10065" t="inlineStr">
        <is>
          <t>SEC</t>
        </is>
      </c>
    </row>
    <row r="10066">
      <c r="A10066" s="5">
        <f>HYPERLINK("https://finance.yahoo.com/quote/AEAQW","AEAQW")</f>
        <v/>
      </c>
      <c r="B10066" t="inlineStr">
        <is>
          <t>Activate Energy Acquisition Corp.</t>
        </is>
      </c>
      <c r="C10066" t="inlineStr">
        <is>
          <t>Nasdaq</t>
        </is>
      </c>
      <c r="D10066" t="n">
        <v>2083689</v>
      </c>
      <c r="E10066" t="inlineStr">
        <is>
          <t>SEC</t>
        </is>
      </c>
    </row>
    <row r="10067">
      <c r="A10067" s="5">
        <f>HYPERLINK("https://finance.yahoo.com/quote/LPCVU","LPCVU")</f>
        <v/>
      </c>
      <c r="B10067" t="inlineStr">
        <is>
          <t>Launchpad Cadenza Acquisition Corp I</t>
        </is>
      </c>
      <c r="C10067" t="inlineStr">
        <is>
          <t>Nasdaq</t>
        </is>
      </c>
      <c r="D10067" t="n">
        <v>2083728</v>
      </c>
      <c r="E10067" t="inlineStr">
        <is>
          <t>SEC</t>
        </is>
      </c>
    </row>
    <row r="10068">
      <c r="A10068" s="5">
        <f>HYPERLINK("https://finance.yahoo.com/quote/LPCVW","LPCVW")</f>
        <v/>
      </c>
      <c r="B10068" t="inlineStr">
        <is>
          <t>Launchpad Cadenza Acquisition Corp I</t>
        </is>
      </c>
      <c r="C10068" t="inlineStr">
        <is>
          <t>Nasdaq</t>
        </is>
      </c>
      <c r="D10068" t="n">
        <v>2083728</v>
      </c>
      <c r="E10068" t="inlineStr">
        <is>
          <t>SEC</t>
        </is>
      </c>
    </row>
    <row r="10069">
      <c r="A10069" s="5">
        <f>HYPERLINK("https://finance.yahoo.com/quote/ARCIU","ARCIU")</f>
        <v/>
      </c>
      <c r="B10069" t="inlineStr">
        <is>
          <t>Archimedes Tech SPAC Partners III Co.</t>
        </is>
      </c>
      <c r="C10069" t="inlineStr">
        <is>
          <t>Nasdaq</t>
        </is>
      </c>
      <c r="D10069" t="n">
        <v>2083910</v>
      </c>
      <c r="E10069" t="inlineStr">
        <is>
          <t>SEC</t>
        </is>
      </c>
    </row>
    <row r="10070">
      <c r="A10070" s="5">
        <f>HYPERLINK("https://finance.yahoo.com/quote/ARCIW","ARCIW")</f>
        <v/>
      </c>
      <c r="B10070" t="inlineStr">
        <is>
          <t>Archimedes Tech SPAC Partners III Co.</t>
        </is>
      </c>
      <c r="C10070" t="inlineStr">
        <is>
          <t>Nasdaq</t>
        </is>
      </c>
      <c r="D10070" t="n">
        <v>2083910</v>
      </c>
      <c r="E10070" t="inlineStr">
        <is>
          <t>SEC</t>
        </is>
      </c>
    </row>
    <row r="10071">
      <c r="A10071" s="5">
        <f>HYPERLINK("https://finance.yahoo.com/quote/WLIIU","WLIIU")</f>
        <v/>
      </c>
      <c r="B10071" t="inlineStr">
        <is>
          <t>Willow Lane Acquisition Corp. II</t>
        </is>
      </c>
      <c r="C10071" t="inlineStr">
        <is>
          <t>Nasdaq</t>
        </is>
      </c>
      <c r="D10071" t="n">
        <v>2083946</v>
      </c>
      <c r="E10071" t="inlineStr">
        <is>
          <t>SEC</t>
        </is>
      </c>
    </row>
    <row r="10072">
      <c r="A10072" s="5">
        <f>HYPERLINK("https://finance.yahoo.com/quote/WLIIW","WLIIW")</f>
        <v/>
      </c>
      <c r="B10072" t="inlineStr">
        <is>
          <t>Willow Lane Acquisition Corp. II</t>
        </is>
      </c>
      <c r="C10072" t="inlineStr">
        <is>
          <t>Nasdaq</t>
        </is>
      </c>
      <c r="D10072" t="n">
        <v>2083946</v>
      </c>
      <c r="E10072" t="inlineStr">
        <is>
          <t>SEC</t>
        </is>
      </c>
    </row>
    <row r="10073">
      <c r="A10073" s="5">
        <f>HYPERLINK("https://finance.yahoo.com/quote/ALOVU","ALOVU")</f>
        <v/>
      </c>
      <c r="B10073" t="inlineStr">
        <is>
          <t>Aldabra 4 Liquidity Opportunity Vehicle, Inc.</t>
        </is>
      </c>
      <c r="C10073" t="inlineStr">
        <is>
          <t>Nasdaq</t>
        </is>
      </c>
      <c r="D10073" t="n">
        <v>2083989</v>
      </c>
      <c r="E10073" t="inlineStr">
        <is>
          <t>SEC</t>
        </is>
      </c>
    </row>
    <row r="10074">
      <c r="A10074" s="5">
        <f>HYPERLINK("https://finance.yahoo.com/quote/ALOVW","ALOVW")</f>
        <v/>
      </c>
      <c r="B10074" t="inlineStr">
        <is>
          <t>Aldabra 4 Liquidity Opportunity Vehicle, Inc.</t>
        </is>
      </c>
      <c r="C10074" t="inlineStr">
        <is>
          <t>Nasdaq</t>
        </is>
      </c>
      <c r="D10074" t="n">
        <v>2083989</v>
      </c>
      <c r="E10074" t="inlineStr">
        <is>
          <t>SEC</t>
        </is>
      </c>
    </row>
    <row r="10075">
      <c r="A10075" s="5">
        <f>HYPERLINK("https://finance.yahoo.com/quote/URSB","URSB")</f>
        <v/>
      </c>
      <c r="B10075" t="inlineStr">
        <is>
          <t>URSB Bancorp, Inc.</t>
        </is>
      </c>
      <c r="C10075" t="inlineStr">
        <is>
          <t>OTC</t>
        </is>
      </c>
      <c r="D10075" t="n">
        <v>2084261</v>
      </c>
      <c r="E10075" t="inlineStr">
        <is>
          <t>SEC</t>
        </is>
      </c>
    </row>
    <row r="10076">
      <c r="A10076" s="5">
        <f>HYPERLINK("https://finance.yahoo.com/quote/IEAGR","IEAGR")</f>
        <v/>
      </c>
      <c r="B10076" t="inlineStr">
        <is>
          <t>Infinite Eagle Acquisition Corp.</t>
        </is>
      </c>
      <c r="C10076" t="inlineStr">
        <is>
          <t>Nasdaq</t>
        </is>
      </c>
      <c r="D10076" t="n">
        <v>2084396</v>
      </c>
      <c r="E10076" t="inlineStr">
        <is>
          <t>SEC</t>
        </is>
      </c>
    </row>
    <row r="10077">
      <c r="A10077" s="5">
        <f>HYPERLINK("https://finance.yahoo.com/quote/IEAGU","IEAGU")</f>
        <v/>
      </c>
      <c r="B10077" t="inlineStr">
        <is>
          <t>Infinite Eagle Acquisition Corp.</t>
        </is>
      </c>
      <c r="C10077" t="inlineStr">
        <is>
          <t>Nasdaq</t>
        </is>
      </c>
      <c r="D10077" t="n">
        <v>2084396</v>
      </c>
      <c r="E10077" t="inlineStr">
        <is>
          <t>SEC</t>
        </is>
      </c>
    </row>
    <row r="10078">
      <c r="A10078" s="5">
        <f>HYPERLINK("https://finance.yahoo.com/quote/LFACU","LFACU")</f>
        <v/>
      </c>
      <c r="B10078" t="inlineStr">
        <is>
          <t>Leapfrog Acquisition Corp</t>
        </is>
      </c>
      <c r="C10078" t="inlineStr">
        <is>
          <t>Nasdaq</t>
        </is>
      </c>
      <c r="D10078" t="n">
        <v>2084563</v>
      </c>
      <c r="E10078" t="inlineStr">
        <is>
          <t>SEC</t>
        </is>
      </c>
    </row>
    <row r="10079">
      <c r="A10079" s="5">
        <f>HYPERLINK("https://finance.yahoo.com/quote/LFACW","LFACW")</f>
        <v/>
      </c>
      <c r="B10079" t="inlineStr">
        <is>
          <t>Leapfrog Acquisition Corp</t>
        </is>
      </c>
      <c r="C10079" t="inlineStr">
        <is>
          <t>Nasdaq</t>
        </is>
      </c>
      <c r="D10079" t="n">
        <v>2084563</v>
      </c>
      <c r="E10079" t="inlineStr">
        <is>
          <t>SEC</t>
        </is>
      </c>
    </row>
    <row r="10080">
      <c r="A10080" s="5">
        <f>HYPERLINK("https://finance.yahoo.com/quote/QRED-RI","QRED-RI")</f>
        <v/>
      </c>
      <c r="B10080" t="inlineStr">
        <is>
          <t>QuasarEdge Acquisition Corp</t>
        </is>
      </c>
      <c r="C10080" t="inlineStr">
        <is>
          <t>NYSE</t>
        </is>
      </c>
      <c r="D10080" t="n">
        <v>2085177</v>
      </c>
      <c r="E10080" t="inlineStr">
        <is>
          <t>SEC</t>
        </is>
      </c>
    </row>
    <row r="10081">
      <c r="A10081" s="5">
        <f>HYPERLINK("https://finance.yahoo.com/quote/QRED-UN","QRED-UN")</f>
        <v/>
      </c>
      <c r="B10081" t="inlineStr">
        <is>
          <t>QuasarEdge Acquisition Corp</t>
        </is>
      </c>
      <c r="C10081" t="inlineStr">
        <is>
          <t>NYSE</t>
        </is>
      </c>
      <c r="D10081" t="n">
        <v>2085177</v>
      </c>
      <c r="E10081" t="inlineStr">
        <is>
          <t>SEC</t>
        </is>
      </c>
    </row>
    <row r="10082">
      <c r="A10082" s="5">
        <f>HYPERLINK("https://finance.yahoo.com/quote/DUTBF","DUTBF")</f>
        <v/>
      </c>
      <c r="B10082" t="inlineStr">
        <is>
          <t>Duality Biotherapeutics Inc/ADR</t>
        </is>
      </c>
      <c r="C10082" t="inlineStr">
        <is>
          <t>OTC</t>
        </is>
      </c>
      <c r="D10082" t="n">
        <v>2085208</v>
      </c>
      <c r="E10082" t="inlineStr">
        <is>
          <t>SEC</t>
        </is>
      </c>
    </row>
    <row r="10083">
      <c r="A10083" s="5">
        <f>HYPERLINK("https://finance.yahoo.com/quote/AMVIF","AMVIF")</f>
        <v/>
      </c>
      <c r="B10083" t="inlineStr">
        <is>
          <t>AUMOVIO SE</t>
        </is>
      </c>
      <c r="C10083" t="inlineStr">
        <is>
          <t>OTC</t>
        </is>
      </c>
      <c r="D10083" t="n">
        <v>2085236</v>
      </c>
      <c r="E10083" t="inlineStr">
        <is>
          <t>SEC</t>
        </is>
      </c>
    </row>
    <row r="10084">
      <c r="A10084" s="5">
        <f>HYPERLINK("https://finance.yahoo.com/quote/GPACU","GPACU")</f>
        <v/>
      </c>
      <c r="B10084" t="inlineStr">
        <is>
          <t>General Purpose Acquisition Corp.</t>
        </is>
      </c>
      <c r="C10084" t="inlineStr">
        <is>
          <t>Nasdaq</t>
        </is>
      </c>
      <c r="D10084" t="n">
        <v>2085408</v>
      </c>
      <c r="E10084" t="inlineStr">
        <is>
          <t>SEC</t>
        </is>
      </c>
    </row>
    <row r="10085">
      <c r="A10085" s="5">
        <f>HYPERLINK("https://finance.yahoo.com/quote/GPACW","GPACW")</f>
        <v/>
      </c>
      <c r="B10085" t="inlineStr">
        <is>
          <t>General Purpose Acquisition Corp.</t>
        </is>
      </c>
      <c r="C10085" t="inlineStr">
        <is>
          <t>Nasdaq</t>
        </is>
      </c>
      <c r="D10085" t="n">
        <v>2085408</v>
      </c>
      <c r="E10085" t="inlineStr">
        <is>
          <t>SEC</t>
        </is>
      </c>
    </row>
    <row r="10086">
      <c r="A10086" s="5">
        <f>HYPERLINK("https://finance.yahoo.com/quote/TRAD-RI","TRAD-RI")</f>
        <v/>
      </c>
      <c r="B10086" t="inlineStr">
        <is>
          <t>APEX Tech Acquisition Inc.</t>
        </is>
      </c>
      <c r="C10086" t="inlineStr">
        <is>
          <t>NYSE</t>
        </is>
      </c>
      <c r="D10086" t="n">
        <v>2085485</v>
      </c>
      <c r="E10086" t="inlineStr">
        <is>
          <t>SEC</t>
        </is>
      </c>
    </row>
    <row r="10087">
      <c r="A10087" s="5">
        <f>HYPERLINK("https://finance.yahoo.com/quote/TRAD-UN","TRAD-UN")</f>
        <v/>
      </c>
      <c r="B10087" t="inlineStr">
        <is>
          <t>APEX Tech Acquisition Inc.</t>
        </is>
      </c>
      <c r="C10087" t="inlineStr">
        <is>
          <t>NYSE</t>
        </is>
      </c>
      <c r="D10087" t="n">
        <v>2085485</v>
      </c>
      <c r="E10087" t="inlineStr">
        <is>
          <t>SEC</t>
        </is>
      </c>
    </row>
    <row r="10088">
      <c r="A10088" s="5">
        <f>HYPERLINK("https://finance.yahoo.com/quote/SVAQU","SVAQU")</f>
        <v/>
      </c>
      <c r="B10088" t="inlineStr">
        <is>
          <t>Silicon Valley Acquisition Corp.</t>
        </is>
      </c>
      <c r="C10088" t="inlineStr">
        <is>
          <t>Nasdaq</t>
        </is>
      </c>
      <c r="D10088" t="n">
        <v>2085659</v>
      </c>
      <c r="E10088" t="inlineStr">
        <is>
          <t>SEC</t>
        </is>
      </c>
    </row>
    <row r="10089">
      <c r="A10089" s="5">
        <f>HYPERLINK("https://finance.yahoo.com/quote/SVAQW","SVAQW")</f>
        <v/>
      </c>
      <c r="B10089" t="inlineStr">
        <is>
          <t>Silicon Valley Acquisition Corp.</t>
        </is>
      </c>
      <c r="C10089" t="inlineStr">
        <is>
          <t>Nasdaq</t>
        </is>
      </c>
      <c r="D10089" t="n">
        <v>2085659</v>
      </c>
      <c r="E10089" t="inlineStr">
        <is>
          <t>SEC</t>
        </is>
      </c>
    </row>
    <row r="10090">
      <c r="A10090" s="5">
        <f>HYPERLINK("https://finance.yahoo.com/quote/ETSS-UN","ETSS-UN")</f>
        <v/>
      </c>
      <c r="B10090" t="inlineStr">
        <is>
          <t>Energy Transition Special Opportunities</t>
        </is>
      </c>
      <c r="C10090" t="inlineStr">
        <is>
          <t>NYSE</t>
        </is>
      </c>
      <c r="D10090" t="n">
        <v>2085932</v>
      </c>
      <c r="E10090" t="inlineStr">
        <is>
          <t>SEC</t>
        </is>
      </c>
    </row>
    <row r="10091">
      <c r="A10091" s="5">
        <f>HYPERLINK("https://finance.yahoo.com/quote/ETSS-WT","ETSS-WT")</f>
        <v/>
      </c>
      <c r="B10091" t="inlineStr">
        <is>
          <t>Energy Transition Special Opportunities</t>
        </is>
      </c>
      <c r="C10091" t="inlineStr">
        <is>
          <t>NYSE</t>
        </is>
      </c>
      <c r="D10091" t="n">
        <v>2085932</v>
      </c>
      <c r="E10091" t="inlineStr">
        <is>
          <t>SEC</t>
        </is>
      </c>
    </row>
    <row r="10092">
      <c r="A10092" s="5">
        <f>HYPERLINK("https://finance.yahoo.com/quote/SORNU","SORNU")</f>
        <v/>
      </c>
      <c r="B10092" t="inlineStr">
        <is>
          <t>Soren Acquisition Corp.</t>
        </is>
      </c>
      <c r="C10092" t="inlineStr">
        <is>
          <t>Nasdaq</t>
        </is>
      </c>
      <c r="D10092" t="n">
        <v>2086263</v>
      </c>
      <c r="E10092" t="inlineStr">
        <is>
          <t>SEC</t>
        </is>
      </c>
    </row>
    <row r="10093">
      <c r="A10093" s="5">
        <f>HYPERLINK("https://finance.yahoo.com/quote/SORNW","SORNW")</f>
        <v/>
      </c>
      <c r="B10093" t="inlineStr">
        <is>
          <t>Soren Acquisition Corp.</t>
        </is>
      </c>
      <c r="C10093" t="inlineStr">
        <is>
          <t>Nasdaq</t>
        </is>
      </c>
      <c r="D10093" t="n">
        <v>2086263</v>
      </c>
      <c r="E10093" t="inlineStr">
        <is>
          <t>SEC</t>
        </is>
      </c>
    </row>
    <row r="10094">
      <c r="A10094" s="5">
        <f>HYPERLINK("https://finance.yahoo.com/quote/VHCPU","VHCPU")</f>
        <v/>
      </c>
      <c r="B10094" t="inlineStr">
        <is>
          <t>Vine Hill Capital Investment Corp. II</t>
        </is>
      </c>
      <c r="C10094" t="inlineStr">
        <is>
          <t>Nasdaq</t>
        </is>
      </c>
      <c r="D10094" t="n">
        <v>2086264</v>
      </c>
      <c r="E10094" t="inlineStr">
        <is>
          <t>SEC</t>
        </is>
      </c>
    </row>
    <row r="10095">
      <c r="A10095" s="5">
        <f>HYPERLINK("https://finance.yahoo.com/quote/VHCPW","VHCPW")</f>
        <v/>
      </c>
      <c r="B10095" t="inlineStr">
        <is>
          <t>Vine Hill Capital Investment Corp. II</t>
        </is>
      </c>
      <c r="C10095" t="inlineStr">
        <is>
          <t>Nasdaq</t>
        </is>
      </c>
      <c r="D10095" t="n">
        <v>2086264</v>
      </c>
      <c r="E10095" t="inlineStr">
        <is>
          <t>SEC</t>
        </is>
      </c>
    </row>
    <row r="10096">
      <c r="A10096" s="5">
        <f>HYPERLINK("https://finance.yahoo.com/quote/GHXIU","GHXIU")</f>
        <v/>
      </c>
      <c r="B10096" t="inlineStr">
        <is>
          <t>Gores Holdings XI, Inc.</t>
        </is>
      </c>
      <c r="C10096" t="inlineStr">
        <is>
          <t>Nasdaq</t>
        </is>
      </c>
      <c r="D10096" t="n">
        <v>2086438</v>
      </c>
      <c r="E10096" t="inlineStr">
        <is>
          <t>SEC</t>
        </is>
      </c>
    </row>
    <row r="10097">
      <c r="A10097" s="5">
        <f>HYPERLINK("https://finance.yahoo.com/quote/GHXIW","GHXIW")</f>
        <v/>
      </c>
      <c r="B10097" t="inlineStr">
        <is>
          <t>Gores Holdings XI, Inc.</t>
        </is>
      </c>
      <c r="C10097" t="inlineStr">
        <is>
          <t>Nasdaq</t>
        </is>
      </c>
      <c r="D10097" t="n">
        <v>2086438</v>
      </c>
      <c r="E10097" t="inlineStr">
        <is>
          <t>SEC</t>
        </is>
      </c>
    </row>
    <row r="10098">
      <c r="A10098" s="5">
        <f>HYPERLINK("https://finance.yahoo.com/quote/KTWOR","KTWOR")</f>
        <v/>
      </c>
      <c r="B10098" t="inlineStr">
        <is>
          <t>K2 Capital Acquisition Corp</t>
        </is>
      </c>
      <c r="C10098" t="inlineStr">
        <is>
          <t>Nasdaq</t>
        </is>
      </c>
      <c r="D10098" t="n">
        <v>2086524</v>
      </c>
      <c r="E10098" t="inlineStr">
        <is>
          <t>SEC</t>
        </is>
      </c>
    </row>
    <row r="10099">
      <c r="A10099" s="5">
        <f>HYPERLINK("https://finance.yahoo.com/quote/KTWOU","KTWOU")</f>
        <v/>
      </c>
      <c r="B10099" t="inlineStr">
        <is>
          <t>K2 Capital Acquisition Corp</t>
        </is>
      </c>
      <c r="C10099" t="inlineStr">
        <is>
          <t>Nasdaq</t>
        </is>
      </c>
      <c r="D10099" t="n">
        <v>2086524</v>
      </c>
      <c r="E10099" t="inlineStr">
        <is>
          <t>SEC</t>
        </is>
      </c>
    </row>
    <row r="10100">
      <c r="A10100" s="5">
        <f>HYPERLINK("https://finance.yahoo.com/quote/ARTCU","ARTCU")</f>
        <v/>
      </c>
      <c r="B10100" t="inlineStr">
        <is>
          <t>Art Technology Acquisition Corp.</t>
        </is>
      </c>
      <c r="C10100" t="inlineStr">
        <is>
          <t>Nasdaq</t>
        </is>
      </c>
      <c r="D10100" t="n">
        <v>2086545</v>
      </c>
      <c r="E10100" t="inlineStr">
        <is>
          <t>SEC</t>
        </is>
      </c>
    </row>
    <row r="10101">
      <c r="A10101" s="5">
        <f>HYPERLINK("https://finance.yahoo.com/quote/ARTCW","ARTCW")</f>
        <v/>
      </c>
      <c r="B10101" t="inlineStr">
        <is>
          <t>Art Technology Acquisition Corp.</t>
        </is>
      </c>
      <c r="C10101" t="inlineStr">
        <is>
          <t>Nasdaq</t>
        </is>
      </c>
      <c r="D10101" t="n">
        <v>2086545</v>
      </c>
      <c r="E10101" t="inlineStr">
        <is>
          <t>SEC</t>
        </is>
      </c>
    </row>
    <row r="10102">
      <c r="A10102" s="5">
        <f>HYPERLINK("https://finance.yahoo.com/quote/RLMLF","RLMLF")</f>
        <v/>
      </c>
      <c r="B10102" t="inlineStr">
        <is>
          <t>RESOLUTION MINERALS LTD/ADR</t>
        </is>
      </c>
      <c r="C10102" t="inlineStr">
        <is>
          <t>OTC</t>
        </is>
      </c>
      <c r="D10102" t="n">
        <v>2086869</v>
      </c>
      <c r="E10102" t="inlineStr">
        <is>
          <t>SEC</t>
        </is>
      </c>
    </row>
    <row r="10103">
      <c r="A10103" s="5">
        <f>HYPERLINK("https://finance.yahoo.com/quote/BIII-UN","BIII-UN")</f>
        <v/>
      </c>
      <c r="B10103" t="inlineStr">
        <is>
          <t>Black Spade Acquisition III Co</t>
        </is>
      </c>
      <c r="C10103" t="inlineStr">
        <is>
          <t>NYSE</t>
        </is>
      </c>
      <c r="D10103" t="n">
        <v>2087087</v>
      </c>
      <c r="E10103" t="inlineStr">
        <is>
          <t>SEC</t>
        </is>
      </c>
    </row>
    <row r="10104">
      <c r="A10104" s="5">
        <f>HYPERLINK("https://finance.yahoo.com/quote/BIII-WT","BIII-WT")</f>
        <v/>
      </c>
      <c r="B10104" t="inlineStr">
        <is>
          <t>Black Spade Acquisition III Co</t>
        </is>
      </c>
      <c r="C10104" t="inlineStr">
        <is>
          <t>NYSE</t>
        </is>
      </c>
      <c r="D10104" t="n">
        <v>2087087</v>
      </c>
      <c r="E10104" t="inlineStr">
        <is>
          <t>SEC</t>
        </is>
      </c>
    </row>
    <row r="10105">
      <c r="A10105" s="5">
        <f>HYPERLINK("https://finance.yahoo.com/quote/MEVOU","MEVOU")</f>
        <v/>
      </c>
      <c r="B10105" t="inlineStr">
        <is>
          <t>M Evo Global Acquisition Corp II</t>
        </is>
      </c>
      <c r="C10105" t="inlineStr">
        <is>
          <t>Nasdaq</t>
        </is>
      </c>
      <c r="D10105" t="n">
        <v>2087361</v>
      </c>
      <c r="E10105" t="inlineStr">
        <is>
          <t>SEC</t>
        </is>
      </c>
    </row>
    <row r="10106">
      <c r="A10106" s="5">
        <f>HYPERLINK("https://finance.yahoo.com/quote/MEVOW","MEVOW")</f>
        <v/>
      </c>
      <c r="B10106" t="inlineStr">
        <is>
          <t>M Evo Global Acquisition Corp II</t>
        </is>
      </c>
      <c r="C10106" t="inlineStr">
        <is>
          <t>Nasdaq</t>
        </is>
      </c>
      <c r="D10106" t="n">
        <v>2087361</v>
      </c>
      <c r="E10106" t="inlineStr">
        <is>
          <t>SEC</t>
        </is>
      </c>
    </row>
    <row r="10107">
      <c r="A10107" s="5">
        <f>HYPERLINK("https://finance.yahoo.com/quote/PAACU","PAACU")</f>
        <v/>
      </c>
      <c r="B10107" t="inlineStr">
        <is>
          <t>Proem Acquisition Corp. I</t>
        </is>
      </c>
      <c r="C10107" t="inlineStr">
        <is>
          <t>Nasdaq</t>
        </is>
      </c>
      <c r="D10107" t="n">
        <v>2087446</v>
      </c>
      <c r="E10107" t="inlineStr">
        <is>
          <t>SEC</t>
        </is>
      </c>
    </row>
    <row r="10108">
      <c r="A10108" s="5">
        <f>HYPERLINK("https://finance.yahoo.com/quote/PAACW","PAACW")</f>
        <v/>
      </c>
      <c r="B10108" t="inlineStr">
        <is>
          <t>Proem Acquisition Corp. I</t>
        </is>
      </c>
      <c r="C10108" t="inlineStr">
        <is>
          <t>Nasdaq</t>
        </is>
      </c>
      <c r="D10108" t="n">
        <v>2087446</v>
      </c>
      <c r="E10108" t="inlineStr">
        <is>
          <t>SEC</t>
        </is>
      </c>
    </row>
    <row r="10109">
      <c r="A10109" s="5">
        <f>HYPERLINK("https://finance.yahoo.com/quote/ZKPU","ZKPU")</f>
        <v/>
      </c>
      <c r="B10109" t="inlineStr">
        <is>
          <t>Lafayette Digital Acquisition Corp. I</t>
        </is>
      </c>
      <c r="C10109" t="inlineStr">
        <is>
          <t>Nasdaq</t>
        </is>
      </c>
      <c r="D10109" t="n">
        <v>2087447</v>
      </c>
      <c r="E10109" t="inlineStr">
        <is>
          <t>SEC</t>
        </is>
      </c>
    </row>
    <row r="10110">
      <c r="A10110" s="5">
        <f>HYPERLINK("https://finance.yahoo.com/quote/ZKPW","ZKPW")</f>
        <v/>
      </c>
      <c r="B10110" t="inlineStr">
        <is>
          <t>Lafayette Digital Acquisition Corp. I</t>
        </is>
      </c>
      <c r="C10110" t="inlineStr">
        <is>
          <t>Nasdaq</t>
        </is>
      </c>
      <c r="D10110" t="n">
        <v>2087447</v>
      </c>
      <c r="E10110" t="inlineStr">
        <is>
          <t>SEC</t>
        </is>
      </c>
    </row>
    <row r="10111">
      <c r="A10111" s="5">
        <f>HYPERLINK("https://finance.yahoo.com/quote/LEGO-UN","LEGO-UN")</f>
        <v/>
      </c>
      <c r="B10111" t="inlineStr">
        <is>
          <t>Legato Merger Corp. IV</t>
        </is>
      </c>
      <c r="C10111" t="inlineStr">
        <is>
          <t>NYSE</t>
        </is>
      </c>
      <c r="D10111" t="n">
        <v>2087450</v>
      </c>
      <c r="E10111" t="inlineStr">
        <is>
          <t>SEC</t>
        </is>
      </c>
    </row>
    <row r="10112">
      <c r="A10112" s="5">
        <f>HYPERLINK("https://finance.yahoo.com/quote/LEGO-WT","LEGO-WT")</f>
        <v/>
      </c>
      <c r="B10112" t="inlineStr">
        <is>
          <t>Legato Merger Corp. IV</t>
        </is>
      </c>
      <c r="C10112" t="inlineStr">
        <is>
          <t>NYSE</t>
        </is>
      </c>
      <c r="D10112" t="n">
        <v>2087450</v>
      </c>
      <c r="E10112" t="inlineStr">
        <is>
          <t>SEC</t>
        </is>
      </c>
    </row>
    <row r="10113">
      <c r="A10113" s="5">
        <f>HYPERLINK("https://finance.yahoo.com/quote/NHKGF","NHKGF")</f>
        <v/>
      </c>
      <c r="B10113" t="inlineStr">
        <is>
          <t>NHK Spring Co. Ltd/ADR</t>
        </is>
      </c>
      <c r="C10113" t="inlineStr">
        <is>
          <t>OTC</t>
        </is>
      </c>
      <c r="D10113" t="n">
        <v>2087500</v>
      </c>
      <c r="E10113" t="inlineStr">
        <is>
          <t>SEC</t>
        </is>
      </c>
    </row>
    <row r="10114">
      <c r="A10114" s="5">
        <f>HYPERLINK("https://finance.yahoo.com/quote/CSHRW","CSHRW")</f>
        <v/>
      </c>
      <c r="B10114" t="inlineStr">
        <is>
          <t>CoinShares PLC</t>
        </is>
      </c>
      <c r="C10114" t="inlineStr">
        <is>
          <t>Nasdaq</t>
        </is>
      </c>
      <c r="D10114" t="n">
        <v>2087587</v>
      </c>
      <c r="E10114" t="inlineStr">
        <is>
          <t>SEC</t>
        </is>
      </c>
    </row>
    <row r="10115">
      <c r="A10115" s="5">
        <f>HYPERLINK("https://finance.yahoo.com/quote/ZJLMF","ZJLMF")</f>
        <v/>
      </c>
      <c r="B10115" t="inlineStr">
        <is>
          <t>Zhejiang Leapmotor Technology Co., Ltd./ADR</t>
        </is>
      </c>
      <c r="C10115" t="inlineStr">
        <is>
          <t>OTC</t>
        </is>
      </c>
      <c r="D10115" t="n">
        <v>2087840</v>
      </c>
      <c r="E10115" t="inlineStr">
        <is>
          <t>SEC</t>
        </is>
      </c>
    </row>
    <row r="10116">
      <c r="A10116" s="5">
        <f>HYPERLINK("https://finance.yahoo.com/quote/GGPSF","GGPSF")</f>
        <v/>
      </c>
      <c r="B10116" t="inlineStr">
        <is>
          <t>Greatland Resources Limited/ADR</t>
        </is>
      </c>
      <c r="C10116" t="inlineStr">
        <is>
          <t>OTC</t>
        </is>
      </c>
      <c r="D10116" t="n">
        <v>2087843</v>
      </c>
      <c r="E10116" t="inlineStr">
        <is>
          <t>SEC</t>
        </is>
      </c>
    </row>
    <row r="10117">
      <c r="A10117" s="5">
        <f>HYPERLINK("https://finance.yahoo.com/quote/MSOKF","MSOKF")</f>
        <v/>
      </c>
      <c r="B10117" t="inlineStr">
        <is>
          <t>Mitsui-Soko Holdings Co Limited/ADR</t>
        </is>
      </c>
      <c r="C10117" t="inlineStr">
        <is>
          <t>OTC</t>
        </is>
      </c>
      <c r="D10117" t="n">
        <v>2087844</v>
      </c>
      <c r="E10117" t="inlineStr">
        <is>
          <t>SEC</t>
        </is>
      </c>
    </row>
    <row r="10118">
      <c r="A10118" s="5">
        <f>HYPERLINK("https://finance.yahoo.com/quote/SBKLF","SBKLF")</f>
        <v/>
      </c>
      <c r="B10118" t="inlineStr">
        <is>
          <t>Sumitomo Bakelite Co Limited/ADR</t>
        </is>
      </c>
      <c r="C10118" t="inlineStr">
        <is>
          <t>OTC</t>
        </is>
      </c>
      <c r="D10118" t="n">
        <v>2087852</v>
      </c>
      <c r="E10118" t="inlineStr">
        <is>
          <t>SEC</t>
        </is>
      </c>
    </row>
    <row r="10119">
      <c r="A10119" s="5">
        <f>HYPERLINK("https://finance.yahoo.com/quote/AIKCF","AIKCF")</f>
        <v/>
      </c>
      <c r="B10119" t="inlineStr">
        <is>
          <t>Aica Kogyo Co Limited/ADR</t>
        </is>
      </c>
      <c r="C10119" t="inlineStr">
        <is>
          <t>OTC</t>
        </is>
      </c>
      <c r="D10119" t="n">
        <v>2087856</v>
      </c>
      <c r="E10119" t="inlineStr">
        <is>
          <t>SEC</t>
        </is>
      </c>
    </row>
    <row r="10120">
      <c r="A10120" s="5">
        <f>HYPERLINK("https://finance.yahoo.com/quote/YSAG","YSAG")</f>
        <v/>
      </c>
      <c r="B10120" t="inlineStr">
        <is>
          <t>Texas Precious Metals Trust</t>
        </is>
      </c>
      <c r="C10120" t="inlineStr">
        <is>
          <t>Nasdaq</t>
        </is>
      </c>
      <c r="D10120" t="n">
        <v>2087989</v>
      </c>
      <c r="E10120" t="inlineStr">
        <is>
          <t>SEC</t>
        </is>
      </c>
    </row>
    <row r="10121">
      <c r="A10121" s="5">
        <f>HYPERLINK("https://finance.yahoo.com/quote/YSAU","YSAU")</f>
        <v/>
      </c>
      <c r="B10121" t="inlineStr">
        <is>
          <t>Texas Precious Metals Trust</t>
        </is>
      </c>
      <c r="C10121" t="inlineStr">
        <is>
          <t>Nasdaq</t>
        </is>
      </c>
      <c r="D10121" t="n">
        <v>2087989</v>
      </c>
      <c r="E10121" t="inlineStr">
        <is>
          <t>SEC</t>
        </is>
      </c>
    </row>
    <row r="10122">
      <c r="A10122" s="5">
        <f>HYPERLINK("https://finance.yahoo.com/quote/XFLH-RI","XFLH-RI")</f>
        <v/>
      </c>
      <c r="B10122" t="inlineStr">
        <is>
          <t>XFLH Capital Corp</t>
        </is>
      </c>
      <c r="C10122" t="inlineStr">
        <is>
          <t>NYSE</t>
        </is>
      </c>
      <c r="D10122" t="n">
        <v>2088103</v>
      </c>
      <c r="E10122" t="inlineStr">
        <is>
          <t>SEC</t>
        </is>
      </c>
    </row>
    <row r="10123">
      <c r="A10123" s="5">
        <f>HYPERLINK("https://finance.yahoo.com/quote/XFLH-UN","XFLH-UN")</f>
        <v/>
      </c>
      <c r="B10123" t="inlineStr">
        <is>
          <t>XFLH Capital Corp</t>
        </is>
      </c>
      <c r="C10123" t="inlineStr">
        <is>
          <t>NYSE</t>
        </is>
      </c>
      <c r="D10123" t="n">
        <v>2088103</v>
      </c>
      <c r="E10123" t="inlineStr">
        <is>
          <t>SEC</t>
        </is>
      </c>
    </row>
    <row r="10124">
      <c r="A10124" s="5">
        <f>HYPERLINK("https://finance.yahoo.com/quote/HQWWW","HQWWW")</f>
        <v/>
      </c>
      <c r="B10124" t="inlineStr">
        <is>
          <t>Horizon Quantum Holdings Ltd.</t>
        </is>
      </c>
      <c r="C10124" t="inlineStr">
        <is>
          <t>Nasdaq</t>
        </is>
      </c>
      <c r="D10124" t="n">
        <v>2088256</v>
      </c>
      <c r="E10124" t="inlineStr">
        <is>
          <t>SEC</t>
        </is>
      </c>
    </row>
    <row r="10125">
      <c r="A10125" s="5">
        <f>HYPERLINK("https://finance.yahoo.com/quote/OIMAU","OIMAU")</f>
        <v/>
      </c>
      <c r="B10125" t="inlineStr">
        <is>
          <t>OneIM Acquisition Corp.</t>
        </is>
      </c>
      <c r="C10125" t="inlineStr">
        <is>
          <t>Nasdaq</t>
        </is>
      </c>
      <c r="D10125" t="n">
        <v>2088325</v>
      </c>
      <c r="E10125" t="inlineStr">
        <is>
          <t>SEC</t>
        </is>
      </c>
    </row>
    <row r="10126">
      <c r="A10126" s="5">
        <f>HYPERLINK("https://finance.yahoo.com/quote/OIMAW","OIMAW")</f>
        <v/>
      </c>
      <c r="B10126" t="inlineStr">
        <is>
          <t>OneIM Acquisition Corp.</t>
        </is>
      </c>
      <c r="C10126" t="inlineStr">
        <is>
          <t>Nasdaq</t>
        </is>
      </c>
      <c r="D10126" t="n">
        <v>2088325</v>
      </c>
      <c r="E10126" t="inlineStr">
        <is>
          <t>SEC</t>
        </is>
      </c>
    </row>
    <row r="10127">
      <c r="A10127" s="5">
        <f>HYPERLINK("https://finance.yahoo.com/quote/OBIBF","OBIBF")</f>
        <v/>
      </c>
      <c r="B10127" t="inlineStr">
        <is>
          <t>OBIC Business Consultants Co., Ltd./ADR</t>
        </is>
      </c>
      <c r="C10127" t="inlineStr">
        <is>
          <t>OTC</t>
        </is>
      </c>
      <c r="D10127" t="n">
        <v>2088339</v>
      </c>
      <c r="E10127" t="inlineStr">
        <is>
          <t>SEC</t>
        </is>
      </c>
    </row>
    <row r="10128">
      <c r="A10128" s="5">
        <f>HYPERLINK("https://finance.yahoo.com/quote/PECER","PECER")</f>
        <v/>
      </c>
      <c r="B10128" t="inlineStr">
        <is>
          <t>Peace Acquisition Corp.</t>
        </is>
      </c>
      <c r="C10128" t="inlineStr">
        <is>
          <t>Nasdaq</t>
        </is>
      </c>
      <c r="D10128" t="n">
        <v>2088626</v>
      </c>
      <c r="E10128" t="inlineStr">
        <is>
          <t>SEC</t>
        </is>
      </c>
    </row>
    <row r="10129">
      <c r="A10129" s="5">
        <f>HYPERLINK("https://finance.yahoo.com/quote/PECEU","PECEU")</f>
        <v/>
      </c>
      <c r="B10129" t="inlineStr">
        <is>
          <t>Peace Acquisition Corp.</t>
        </is>
      </c>
      <c r="C10129" t="inlineStr">
        <is>
          <t>Nasdaq</t>
        </is>
      </c>
      <c r="D10129" t="n">
        <v>2088626</v>
      </c>
      <c r="E10129" t="inlineStr">
        <is>
          <t>SEC</t>
        </is>
      </c>
    </row>
    <row r="10130">
      <c r="A10130" s="5">
        <f>HYPERLINK("https://finance.yahoo.com/quote/PECEW","PECEW")</f>
        <v/>
      </c>
      <c r="B10130" t="inlineStr">
        <is>
          <t>Peace Acquisition Corp.</t>
        </is>
      </c>
      <c r="C10130" t="inlineStr">
        <is>
          <t>Nasdaq</t>
        </is>
      </c>
      <c r="D10130" t="n">
        <v>2088626</v>
      </c>
      <c r="E10130" t="inlineStr">
        <is>
          <t>SEC</t>
        </is>
      </c>
    </row>
    <row r="10131">
      <c r="A10131" s="5">
        <f>HYPERLINK("https://finance.yahoo.com/quote/KBONU","KBONU")</f>
        <v/>
      </c>
      <c r="B10131" t="inlineStr">
        <is>
          <t>Karbon Capital Partners Corp.</t>
        </is>
      </c>
      <c r="C10131" t="inlineStr">
        <is>
          <t>Nasdaq</t>
        </is>
      </c>
      <c r="D10131" t="n">
        <v>2088749</v>
      </c>
      <c r="E10131" t="inlineStr">
        <is>
          <t>SEC</t>
        </is>
      </c>
    </row>
    <row r="10132">
      <c r="A10132" s="5">
        <f>HYPERLINK("https://finance.yahoo.com/quote/KBONW","KBONW")</f>
        <v/>
      </c>
      <c r="B10132" t="inlineStr">
        <is>
          <t>Karbon Capital Partners Corp.</t>
        </is>
      </c>
      <c r="C10132" t="inlineStr">
        <is>
          <t>Nasdaq</t>
        </is>
      </c>
      <c r="D10132" t="n">
        <v>2088749</v>
      </c>
      <c r="E10132" t="inlineStr">
        <is>
          <t>SEC</t>
        </is>
      </c>
    </row>
    <row r="10133">
      <c r="A10133" s="5">
        <f>HYPERLINK("https://finance.yahoo.com/quote/ZSHOF","ZSHOF")</f>
        <v/>
      </c>
      <c r="B10133" t="inlineStr">
        <is>
          <t>Zensho Holdings Co., Ltd./ADR</t>
        </is>
      </c>
      <c r="C10133" t="inlineStr">
        <is>
          <t>OTC</t>
        </is>
      </c>
      <c r="D10133" t="n">
        <v>2088776</v>
      </c>
      <c r="E10133" t="inlineStr">
        <is>
          <t>SEC</t>
        </is>
      </c>
    </row>
    <row r="10134">
      <c r="A10134" s="5">
        <f>HYPERLINK("https://finance.yahoo.com/quote/IPXGU","IPXGU")</f>
        <v/>
      </c>
      <c r="B10134" t="inlineStr">
        <is>
          <t>Inflection Point Acquisition Corp. VII</t>
        </is>
      </c>
      <c r="C10134" t="inlineStr">
        <is>
          <t>Nasdaq</t>
        </is>
      </c>
      <c r="D10134" t="n">
        <v>2088805</v>
      </c>
      <c r="E10134" t="inlineStr">
        <is>
          <t>SEC</t>
        </is>
      </c>
    </row>
    <row r="10135">
      <c r="A10135" s="5">
        <f>HYPERLINK("https://finance.yahoo.com/quote/IPXGW","IPXGW")</f>
        <v/>
      </c>
      <c r="B10135" t="inlineStr">
        <is>
          <t>Inflection Point Acquisition Corp. VII</t>
        </is>
      </c>
      <c r="C10135" t="inlineStr">
        <is>
          <t>Nasdaq</t>
        </is>
      </c>
      <c r="D10135" t="n">
        <v>2088805</v>
      </c>
      <c r="E10135" t="inlineStr">
        <is>
          <t>SEC</t>
        </is>
      </c>
    </row>
    <row r="10136">
      <c r="A10136" s="5">
        <f>HYPERLINK("https://finance.yahoo.com/quote/XSLLU","XSLLU")</f>
        <v/>
      </c>
      <c r="B10136" t="inlineStr">
        <is>
          <t>Xsolla SPAC 1</t>
        </is>
      </c>
      <c r="C10136" t="inlineStr">
        <is>
          <t>Nasdaq</t>
        </is>
      </c>
      <c r="D10136" t="n">
        <v>2088807</v>
      </c>
      <c r="E10136" t="inlineStr">
        <is>
          <t>SEC</t>
        </is>
      </c>
    </row>
    <row r="10137">
      <c r="A10137" s="5">
        <f>HYPERLINK("https://finance.yahoo.com/quote/XSLLW","XSLLW")</f>
        <v/>
      </c>
      <c r="B10137" t="inlineStr">
        <is>
          <t>Xsolla SPAC 1</t>
        </is>
      </c>
      <c r="C10137" t="inlineStr">
        <is>
          <t>Nasdaq</t>
        </is>
      </c>
      <c r="D10137" t="n">
        <v>2088807</v>
      </c>
      <c r="E10137" t="inlineStr">
        <is>
          <t>SEC</t>
        </is>
      </c>
    </row>
    <row r="10138">
      <c r="A10138" s="5">
        <f>HYPERLINK("https://finance.yahoo.com/quote/HRIBF","HRIBF")</f>
        <v/>
      </c>
      <c r="B10138" t="inlineStr">
        <is>
          <t>Horiba, Ltd./ADR</t>
        </is>
      </c>
      <c r="C10138" t="inlineStr">
        <is>
          <t>OTC</t>
        </is>
      </c>
      <c r="D10138" t="n">
        <v>2088827</v>
      </c>
      <c r="E10138" t="inlineStr">
        <is>
          <t>SEC</t>
        </is>
      </c>
    </row>
    <row r="10139">
      <c r="A10139" s="5">
        <f>HYPERLINK("https://finance.yahoo.com/quote/PTAXY","PTAXY")</f>
        <v/>
      </c>
      <c r="B10139" t="inlineStr">
        <is>
          <t>Paltac Corporation/ADR</t>
        </is>
      </c>
      <c r="C10139" t="inlineStr">
        <is>
          <t>OTC</t>
        </is>
      </c>
      <c r="D10139" t="n">
        <v>2089174</v>
      </c>
      <c r="E10139" t="inlineStr">
        <is>
          <t>SEC</t>
        </is>
      </c>
    </row>
    <row r="10140">
      <c r="A10140" s="5">
        <f>HYPERLINK("https://finance.yahoo.com/quote/NUCLW","NUCLW")</f>
        <v/>
      </c>
      <c r="B10140" t="inlineStr">
        <is>
          <t>Eagle Nuclear Energy Corp.</t>
        </is>
      </c>
      <c r="C10140" t="inlineStr">
        <is>
          <t>Nasdaq</t>
        </is>
      </c>
      <c r="D10140" t="n">
        <v>2089283</v>
      </c>
      <c r="E10140" t="inlineStr">
        <is>
          <t>SEC</t>
        </is>
      </c>
    </row>
    <row r="10141">
      <c r="A10141" s="5">
        <f>HYPERLINK("https://finance.yahoo.com/quote/SVNHF","SVNHF")</f>
        <v/>
      </c>
      <c r="B10141" t="inlineStr">
        <is>
          <t>SUNEVISION HOLDINGS/ADR</t>
        </is>
      </c>
      <c r="C10141" t="inlineStr">
        <is>
          <t>OTC</t>
        </is>
      </c>
      <c r="D10141" t="n">
        <v>2089488</v>
      </c>
      <c r="E10141" t="inlineStr">
        <is>
          <t>SEC</t>
        </is>
      </c>
    </row>
    <row r="10142">
      <c r="A10142" s="5">
        <f>HYPERLINK("https://finance.yahoo.com/quote/GLVHF","GLVHF")</f>
        <v/>
      </c>
      <c r="B10142" t="inlineStr">
        <is>
          <t>GLENVEAGH PROPERTIES PLC/ADR</t>
        </is>
      </c>
      <c r="C10142" t="inlineStr">
        <is>
          <t>OTC</t>
        </is>
      </c>
      <c r="D10142" t="n">
        <v>2089499</v>
      </c>
      <c r="E10142" t="inlineStr">
        <is>
          <t>SEC</t>
        </is>
      </c>
    </row>
    <row r="10143">
      <c r="A10143" s="5">
        <f>HYPERLINK("https://finance.yahoo.com/quote/TOETF","TOETF")</f>
        <v/>
      </c>
      <c r="B10143" t="inlineStr">
        <is>
          <t>TOSEI CORP/ADR</t>
        </is>
      </c>
      <c r="C10143" t="inlineStr">
        <is>
          <t>OTC</t>
        </is>
      </c>
      <c r="D10143" t="n">
        <v>2089506</v>
      </c>
      <c r="E10143" t="inlineStr">
        <is>
          <t>SEC</t>
        </is>
      </c>
    </row>
    <row r="10144">
      <c r="A10144" s="5">
        <f>HYPERLINK("https://finance.yahoo.com/quote/JELLF","JELLF")</f>
        <v/>
      </c>
      <c r="B10144" t="inlineStr">
        <is>
          <t>JEOL LTD/ADR</t>
        </is>
      </c>
      <c r="C10144" t="inlineStr">
        <is>
          <t>OTC</t>
        </is>
      </c>
      <c r="D10144" t="n">
        <v>2089509</v>
      </c>
      <c r="E10144" t="inlineStr">
        <is>
          <t>SEC</t>
        </is>
      </c>
    </row>
    <row r="10145">
      <c r="A10145" s="5">
        <f>HYPERLINK("https://finance.yahoo.com/quote/HACQU","HACQU")</f>
        <v/>
      </c>
      <c r="B10145" t="inlineStr">
        <is>
          <t>HCM IV Acquisition Corp.</t>
        </is>
      </c>
      <c r="C10145" t="inlineStr">
        <is>
          <t>Nasdaq</t>
        </is>
      </c>
      <c r="D10145" t="n">
        <v>2089982</v>
      </c>
      <c r="E10145" t="inlineStr">
        <is>
          <t>SEC</t>
        </is>
      </c>
    </row>
    <row r="10146">
      <c r="A10146" s="5">
        <f>HYPERLINK("https://finance.yahoo.com/quote/HACQW","HACQW")</f>
        <v/>
      </c>
      <c r="B10146" t="inlineStr">
        <is>
          <t>HCM IV Acquisition Corp.</t>
        </is>
      </c>
      <c r="C10146" t="inlineStr">
        <is>
          <t>Nasdaq</t>
        </is>
      </c>
      <c r="D10146" t="n">
        <v>2089982</v>
      </c>
      <c r="E10146" t="inlineStr">
        <is>
          <t>SEC</t>
        </is>
      </c>
    </row>
    <row r="10147">
      <c r="A10147" s="5">
        <f>HYPERLINK("https://finance.yahoo.com/quote/MTLPF","MTLPF")</f>
        <v/>
      </c>
      <c r="B10147" t="inlineStr">
        <is>
          <t>Metlen Energy &amp; Metals PLC/ADR</t>
        </is>
      </c>
      <c r="C10147" t="inlineStr">
        <is>
          <t>OTC</t>
        </is>
      </c>
      <c r="D10147" t="n">
        <v>2090231</v>
      </c>
      <c r="E10147" t="inlineStr">
        <is>
          <t>SEC</t>
        </is>
      </c>
    </row>
    <row r="10148">
      <c r="A10148" s="5">
        <f>HYPERLINK("https://finance.yahoo.com/quote/IDACU","IDACU")</f>
        <v/>
      </c>
      <c r="B10148" t="inlineStr">
        <is>
          <t>Iron Dome Acquisition I Corp.</t>
        </is>
      </c>
      <c r="C10148" t="inlineStr">
        <is>
          <t>Nasdaq</t>
        </is>
      </c>
      <c r="D10148" t="n">
        <v>2090441</v>
      </c>
      <c r="E10148" t="inlineStr">
        <is>
          <t>SEC</t>
        </is>
      </c>
    </row>
    <row r="10149">
      <c r="A10149" s="5">
        <f>HYPERLINK("https://finance.yahoo.com/quote/IDACW","IDACW")</f>
        <v/>
      </c>
      <c r="B10149" t="inlineStr">
        <is>
          <t>Iron Dome Acquisition I Corp.</t>
        </is>
      </c>
      <c r="C10149" t="inlineStr">
        <is>
          <t>Nasdaq</t>
        </is>
      </c>
      <c r="D10149" t="n">
        <v>2090441</v>
      </c>
      <c r="E10149" t="inlineStr">
        <is>
          <t>SEC</t>
        </is>
      </c>
    </row>
    <row r="10150">
      <c r="A10150" s="5">
        <f>HYPERLINK("https://finance.yahoo.com/quote/FGIIU","FGIIU")</f>
        <v/>
      </c>
      <c r="B10150" t="inlineStr">
        <is>
          <t>FG Imperii Acquisition Corp.</t>
        </is>
      </c>
      <c r="C10150" t="inlineStr">
        <is>
          <t>Nasdaq</t>
        </is>
      </c>
      <c r="D10150" t="n">
        <v>2090452</v>
      </c>
      <c r="E10150" t="inlineStr">
        <is>
          <t>SEC</t>
        </is>
      </c>
    </row>
    <row r="10151">
      <c r="A10151" s="5">
        <f>HYPERLINK("https://finance.yahoo.com/quote/FGIIW","FGIIW")</f>
        <v/>
      </c>
      <c r="B10151" t="inlineStr">
        <is>
          <t>FG Imperii Acquisition Corp.</t>
        </is>
      </c>
      <c r="C10151" t="inlineStr">
        <is>
          <t>Nasdaq</t>
        </is>
      </c>
      <c r="D10151" t="n">
        <v>2090452</v>
      </c>
      <c r="E10151" t="inlineStr">
        <is>
          <t>SEC</t>
        </is>
      </c>
    </row>
    <row r="10152">
      <c r="A10152" s="5">
        <f>HYPERLINK("https://finance.yahoo.com/quote/OHACR","OHACR")</f>
        <v/>
      </c>
      <c r="B10152" t="inlineStr">
        <is>
          <t>Oceanhawk Acquisition Corp.</t>
        </is>
      </c>
      <c r="C10152" t="inlineStr">
        <is>
          <t>Nasdaq</t>
        </is>
      </c>
      <c r="D10152" t="n">
        <v>2090787</v>
      </c>
      <c r="E10152" t="inlineStr">
        <is>
          <t>SEC</t>
        </is>
      </c>
    </row>
    <row r="10153">
      <c r="A10153" s="5">
        <f>HYPERLINK("https://finance.yahoo.com/quote/OHACU","OHACU")</f>
        <v/>
      </c>
      <c r="B10153" t="inlineStr">
        <is>
          <t>Oceanhawk Acquisition Corp.</t>
        </is>
      </c>
      <c r="C10153" t="inlineStr">
        <is>
          <t>Nasdaq</t>
        </is>
      </c>
      <c r="D10153" t="n">
        <v>2090787</v>
      </c>
      <c r="E10153" t="inlineStr">
        <is>
          <t>SEC</t>
        </is>
      </c>
    </row>
    <row r="10154">
      <c r="A10154" s="5">
        <f>HYPERLINK("https://finance.yahoo.com/quote/CLBR-UN","CLBR-UN")</f>
        <v/>
      </c>
      <c r="B10154" t="inlineStr">
        <is>
          <t>Colombier Acquisition Corp. III</t>
        </is>
      </c>
      <c r="C10154" t="inlineStr">
        <is>
          <t>NYSE</t>
        </is>
      </c>
      <c r="D10154" t="n">
        <v>2091024</v>
      </c>
      <c r="E10154" t="inlineStr">
        <is>
          <t>SEC</t>
        </is>
      </c>
    </row>
    <row r="10155">
      <c r="A10155" s="5">
        <f>HYPERLINK("https://finance.yahoo.com/quote/CLBR-WT","CLBR-WT")</f>
        <v/>
      </c>
      <c r="B10155" t="inlineStr">
        <is>
          <t>Colombier Acquisition Corp. III</t>
        </is>
      </c>
      <c r="C10155" t="inlineStr">
        <is>
          <t>NYSE</t>
        </is>
      </c>
      <c r="D10155" t="n">
        <v>2091024</v>
      </c>
      <c r="E10155" t="inlineStr">
        <is>
          <t>SEC</t>
        </is>
      </c>
    </row>
    <row r="10156">
      <c r="A10156" s="5">
        <f>HYPERLINK("https://finance.yahoo.com/quote/MTMCF","MTMCF")</f>
        <v/>
      </c>
      <c r="B10156" t="inlineStr">
        <is>
          <t>Metallium Limited/ADR</t>
        </is>
      </c>
      <c r="C10156" t="inlineStr">
        <is>
          <t>OTC</t>
        </is>
      </c>
      <c r="D10156" t="n">
        <v>2091028</v>
      </c>
      <c r="E10156" t="inlineStr">
        <is>
          <t>SEC</t>
        </is>
      </c>
    </row>
    <row r="10157">
      <c r="A10157" s="5">
        <f>HYPERLINK("https://finance.yahoo.com/quote/IACOU","IACOU")</f>
        <v/>
      </c>
      <c r="B10157" t="inlineStr">
        <is>
          <t>Idea Acquisition Corp.</t>
        </is>
      </c>
      <c r="C10157" t="inlineStr">
        <is>
          <t>Nasdaq</t>
        </is>
      </c>
      <c r="D10157" t="n">
        <v>2091176</v>
      </c>
      <c r="E10157" t="inlineStr">
        <is>
          <t>SEC</t>
        </is>
      </c>
    </row>
    <row r="10158">
      <c r="A10158" s="5">
        <f>HYPERLINK("https://finance.yahoo.com/quote/IACOW","IACOW")</f>
        <v/>
      </c>
      <c r="B10158" t="inlineStr">
        <is>
          <t>Idea Acquisition Corp.</t>
        </is>
      </c>
      <c r="C10158" t="inlineStr">
        <is>
          <t>Nasdaq</t>
        </is>
      </c>
      <c r="D10158" t="n">
        <v>2091176</v>
      </c>
      <c r="E10158" t="inlineStr">
        <is>
          <t>SEC</t>
        </is>
      </c>
    </row>
    <row r="10159">
      <c r="A10159" s="5">
        <f>HYPERLINK("https://finance.yahoo.com/quote/SAAQU","SAAQU")</f>
        <v/>
      </c>
      <c r="B10159" t="inlineStr">
        <is>
          <t>Space Asset Acquisition Corp.</t>
        </is>
      </c>
      <c r="C10159" t="inlineStr">
        <is>
          <t>Nasdaq</t>
        </is>
      </c>
      <c r="D10159" t="n">
        <v>2091222</v>
      </c>
      <c r="E10159" t="inlineStr">
        <is>
          <t>SEC</t>
        </is>
      </c>
    </row>
    <row r="10160">
      <c r="A10160" s="5">
        <f>HYPERLINK("https://finance.yahoo.com/quote/SAAQW","SAAQW")</f>
        <v/>
      </c>
      <c r="B10160" t="inlineStr">
        <is>
          <t>Space Asset Acquisition Corp.</t>
        </is>
      </c>
      <c r="C10160" t="inlineStr">
        <is>
          <t>Nasdaq</t>
        </is>
      </c>
      <c r="D10160" t="n">
        <v>2091222</v>
      </c>
      <c r="E10160" t="inlineStr">
        <is>
          <t>SEC</t>
        </is>
      </c>
    </row>
    <row r="10161">
      <c r="A10161" s="5">
        <f>HYPERLINK("https://finance.yahoo.com/quote/GLED-RI","GLED-RI")</f>
        <v/>
      </c>
      <c r="B10161" t="inlineStr">
        <is>
          <t>GalaxyEdge Acquisition Corp</t>
        </is>
      </c>
      <c r="C10161" t="inlineStr">
        <is>
          <t>NYSE</t>
        </is>
      </c>
      <c r="D10161" t="n">
        <v>2091484</v>
      </c>
      <c r="E10161" t="inlineStr">
        <is>
          <t>SEC</t>
        </is>
      </c>
    </row>
    <row r="10162">
      <c r="A10162" s="5">
        <f>HYPERLINK("https://finance.yahoo.com/quote/GLED-UN","GLED-UN")</f>
        <v/>
      </c>
      <c r="B10162" t="inlineStr">
        <is>
          <t>GalaxyEdge Acquisition Corp</t>
        </is>
      </c>
      <c r="C10162" t="inlineStr">
        <is>
          <t>NYSE</t>
        </is>
      </c>
      <c r="D10162" t="n">
        <v>2091484</v>
      </c>
      <c r="E10162" t="inlineStr">
        <is>
          <t>SEC</t>
        </is>
      </c>
    </row>
    <row r="10163">
      <c r="A10163" s="5">
        <f>HYPERLINK("https://finance.yahoo.com/quote/LKYRF","LKYRF")</f>
        <v/>
      </c>
      <c r="B10163" t="inlineStr">
        <is>
          <t>Locksley Resources Limited/ADR</t>
        </is>
      </c>
      <c r="C10163" t="inlineStr">
        <is>
          <t>OTC</t>
        </is>
      </c>
      <c r="D10163" t="n">
        <v>2091585</v>
      </c>
      <c r="E10163" t="inlineStr">
        <is>
          <t>SEC</t>
        </is>
      </c>
    </row>
    <row r="10164">
      <c r="A10164" s="5">
        <f>HYPERLINK("https://finance.yahoo.com/quote/CNDHF","CNDHF")</f>
        <v/>
      </c>
      <c r="B10164" t="inlineStr">
        <is>
          <t>CONDUIT HOLDINGS LTD/ADR</t>
        </is>
      </c>
      <c r="C10164" t="inlineStr">
        <is>
          <t>OTC</t>
        </is>
      </c>
      <c r="D10164" t="n">
        <v>2091663</v>
      </c>
      <c r="E10164" t="inlineStr">
        <is>
          <t>SEC</t>
        </is>
      </c>
    </row>
    <row r="10165">
      <c r="A10165" s="5">
        <f>HYPERLINK("https://finance.yahoo.com/quote/RFAMR","RFAMR")</f>
        <v/>
      </c>
      <c r="B10165" t="inlineStr">
        <is>
          <t>RF Acquisition Corp III</t>
        </is>
      </c>
      <c r="C10165" t="inlineStr">
        <is>
          <t>Nasdaq</t>
        </is>
      </c>
      <c r="D10165" t="n">
        <v>2091712</v>
      </c>
      <c r="E10165" t="inlineStr">
        <is>
          <t>SEC</t>
        </is>
      </c>
    </row>
    <row r="10166">
      <c r="A10166" s="5">
        <f>HYPERLINK("https://finance.yahoo.com/quote/RFAMU","RFAMU")</f>
        <v/>
      </c>
      <c r="B10166" t="inlineStr">
        <is>
          <t>RF Acquisition Corp III</t>
        </is>
      </c>
      <c r="C10166" t="inlineStr">
        <is>
          <t>Nasdaq</t>
        </is>
      </c>
      <c r="D10166" t="n">
        <v>2091712</v>
      </c>
      <c r="E10166" t="inlineStr">
        <is>
          <t>SEC</t>
        </is>
      </c>
    </row>
    <row r="10167">
      <c r="A10167" s="5">
        <f>HYPERLINK("https://finance.yahoo.com/quote/NGSCF","NGSCF")</f>
        <v/>
      </c>
      <c r="B10167" t="inlineStr">
        <is>
          <t>Nagase &amp; Co., Ltd./ADR</t>
        </is>
      </c>
      <c r="C10167" t="inlineStr">
        <is>
          <t>OTC</t>
        </is>
      </c>
      <c r="D10167" t="n">
        <v>2092248</v>
      </c>
      <c r="E10167" t="inlineStr">
        <is>
          <t>SEC</t>
        </is>
      </c>
    </row>
    <row r="10168">
      <c r="A10168" s="5">
        <f>HYPERLINK("https://finance.yahoo.com/quote/RNGOF","RNGOF")</f>
        <v/>
      </c>
      <c r="B10168" t="inlineStr">
        <is>
          <t>Rengo Co., Ltd./ADR</t>
        </is>
      </c>
      <c r="C10168" t="inlineStr">
        <is>
          <t>OTC</t>
        </is>
      </c>
      <c r="D10168" t="n">
        <v>2092252</v>
      </c>
      <c r="E10168" t="inlineStr">
        <is>
          <t>SEC</t>
        </is>
      </c>
    </row>
    <row r="10169">
      <c r="A10169" s="5">
        <f>HYPERLINK("https://finance.yahoo.com/quote/AWTRF","AWTRF")</f>
        <v/>
      </c>
      <c r="B10169" t="inlineStr">
        <is>
          <t>Air Water Inc./ADR</t>
        </is>
      </c>
      <c r="C10169" t="inlineStr">
        <is>
          <t>OTC</t>
        </is>
      </c>
      <c r="D10169" t="n">
        <v>2092258</v>
      </c>
      <c r="E10169" t="inlineStr">
        <is>
          <t>SEC</t>
        </is>
      </c>
    </row>
    <row r="10170">
      <c r="A10170" s="5">
        <f>HYPERLINK("https://finance.yahoo.com/quote/XRPNW","XRPNW")</f>
        <v/>
      </c>
      <c r="B10170" t="inlineStr">
        <is>
          <t>Evernorth Holdings Inc.</t>
        </is>
      </c>
      <c r="C10170" t="inlineStr">
        <is>
          <t>Nasdaq</t>
        </is>
      </c>
      <c r="D10170" t="n">
        <v>2092592</v>
      </c>
      <c r="E10170" t="inlineStr">
        <is>
          <t>SEC</t>
        </is>
      </c>
    </row>
    <row r="10171">
      <c r="A10171" s="5">
        <f>HYPERLINK("https://finance.yahoo.com/quote/AACIU","AACIU")</f>
        <v/>
      </c>
      <c r="B10171" t="inlineStr">
        <is>
          <t>Armada Acquisition Corp. III</t>
        </is>
      </c>
      <c r="C10171" t="inlineStr">
        <is>
          <t>Nasdaq</t>
        </is>
      </c>
      <c r="D10171" t="n">
        <v>2092897</v>
      </c>
      <c r="E10171" t="inlineStr">
        <is>
          <t>SEC</t>
        </is>
      </c>
    </row>
    <row r="10172">
      <c r="A10172" s="5">
        <f>HYPERLINK("https://finance.yahoo.com/quote/AACIW","AACIW")</f>
        <v/>
      </c>
      <c r="B10172" t="inlineStr">
        <is>
          <t>Armada Acquisition Corp. III</t>
        </is>
      </c>
      <c r="C10172" t="inlineStr">
        <is>
          <t>Nasdaq</t>
        </is>
      </c>
      <c r="D10172" t="n">
        <v>2092897</v>
      </c>
      <c r="E10172" t="inlineStr">
        <is>
          <t>SEC</t>
        </is>
      </c>
    </row>
    <row r="10173">
      <c r="A10173" s="5">
        <f>HYPERLINK("https://finance.yahoo.com/quote/MUZEU","MUZEU")</f>
        <v/>
      </c>
      <c r="B10173" t="inlineStr">
        <is>
          <t>Muzero Acquisition Corp</t>
        </is>
      </c>
      <c r="C10173" t="inlineStr">
        <is>
          <t>Nasdaq</t>
        </is>
      </c>
      <c r="D10173" t="n">
        <v>2093484</v>
      </c>
      <c r="E10173" t="inlineStr">
        <is>
          <t>SEC</t>
        </is>
      </c>
    </row>
    <row r="10174">
      <c r="A10174" s="5">
        <f>HYPERLINK("https://finance.yahoo.com/quote/MUZEW","MUZEW")</f>
        <v/>
      </c>
      <c r="B10174" t="inlineStr">
        <is>
          <t>Muzero Acquisition Corp</t>
        </is>
      </c>
      <c r="C10174" t="inlineStr">
        <is>
          <t>Nasdaq</t>
        </is>
      </c>
      <c r="D10174" t="n">
        <v>2093484</v>
      </c>
      <c r="E10174" t="inlineStr">
        <is>
          <t>SEC</t>
        </is>
      </c>
    </row>
    <row r="10175">
      <c r="A10175" s="5">
        <f>HYPERLINK("https://finance.yahoo.com/quote/GLNDW","GLNDW")</f>
        <v/>
      </c>
      <c r="B10175" t="inlineStr">
        <is>
          <t>Greenland Energy Co</t>
        </is>
      </c>
      <c r="C10175" t="inlineStr">
        <is>
          <t>Nasdaq</t>
        </is>
      </c>
      <c r="D10175" t="n">
        <v>2093507</v>
      </c>
      <c r="E10175" t="inlineStr">
        <is>
          <t>SEC</t>
        </is>
      </c>
    </row>
    <row r="10176">
      <c r="A10176" s="5">
        <f>HYPERLINK("https://finance.yahoo.com/quote/APURR","APURR")</f>
        <v/>
      </c>
      <c r="B10176" t="inlineStr">
        <is>
          <t>Aperture AC</t>
        </is>
      </c>
      <c r="C10176" t="inlineStr">
        <is>
          <t>Nasdaq</t>
        </is>
      </c>
      <c r="D10176" t="n">
        <v>2093524</v>
      </c>
      <c r="E10176" t="inlineStr">
        <is>
          <t>SEC</t>
        </is>
      </c>
    </row>
    <row r="10177">
      <c r="A10177" s="5">
        <f>HYPERLINK("https://finance.yahoo.com/quote/ZJNGF","ZJNGF")</f>
        <v/>
      </c>
      <c r="B10177" t="inlineStr">
        <is>
          <t>Zijin Gold International Co Limited/ADR</t>
        </is>
      </c>
      <c r="C10177" t="inlineStr">
        <is>
          <t>OTC</t>
        </is>
      </c>
      <c r="D10177" t="n">
        <v>2093654</v>
      </c>
      <c r="E10177" t="inlineStr">
        <is>
          <t>SEC</t>
        </is>
      </c>
    </row>
    <row r="10178">
      <c r="A10178" s="5">
        <f>HYPERLINK("https://finance.yahoo.com/quote/MAWAF","MAWAF")</f>
        <v/>
      </c>
      <c r="B10178" t="inlineStr">
        <is>
          <t>Maruwa Co., Ltd./ADR</t>
        </is>
      </c>
      <c r="C10178" t="inlineStr">
        <is>
          <t>OTC</t>
        </is>
      </c>
      <c r="D10178" t="n">
        <v>2093667</v>
      </c>
      <c r="E10178" t="inlineStr">
        <is>
          <t>SEC</t>
        </is>
      </c>
    </row>
    <row r="10179">
      <c r="A10179" s="5">
        <f>HYPERLINK("https://finance.yahoo.com/quote/APXCF","APXCF")</f>
        <v/>
      </c>
      <c r="B10179" t="inlineStr">
        <is>
          <t>APEX CRITICAL METALS CORP.</t>
        </is>
      </c>
      <c r="C10179" t="inlineStr">
        <is>
          <t>OTC</t>
        </is>
      </c>
      <c r="D10179" t="n">
        <v>2093856</v>
      </c>
      <c r="E10179" t="inlineStr">
        <is>
          <t>SEC</t>
        </is>
      </c>
    </row>
    <row r="10180">
      <c r="A10180" s="5">
        <f>HYPERLINK("https://finance.yahoo.com/quote/RNKGF","RNKGF")</f>
        <v/>
      </c>
      <c r="B10180" t="inlineStr">
        <is>
          <t>RENK Group AG/ADR</t>
        </is>
      </c>
      <c r="C10180" t="inlineStr">
        <is>
          <t>OTC</t>
        </is>
      </c>
      <c r="D10180" t="n">
        <v>2093907</v>
      </c>
      <c r="E10180" t="inlineStr">
        <is>
          <t>SEC</t>
        </is>
      </c>
    </row>
    <row r="10181">
      <c r="A10181" s="5">
        <f>HYPERLINK("https://finance.yahoo.com/quote/PTORU","PTORU")</f>
        <v/>
      </c>
      <c r="B10181" t="inlineStr">
        <is>
          <t>Praetorian Acquisition Corp.</t>
        </is>
      </c>
      <c r="C10181" t="inlineStr">
        <is>
          <t>Nasdaq</t>
        </is>
      </c>
      <c r="D10181" t="n">
        <v>2093912</v>
      </c>
      <c r="E10181" t="inlineStr">
        <is>
          <t>SEC</t>
        </is>
      </c>
    </row>
    <row r="10182">
      <c r="A10182" s="5">
        <f>HYPERLINK("https://finance.yahoo.com/quote/PTORW","PTORW")</f>
        <v/>
      </c>
      <c r="B10182" t="inlineStr">
        <is>
          <t>Praetorian Acquisition Corp.</t>
        </is>
      </c>
      <c r="C10182" t="inlineStr">
        <is>
          <t>Nasdaq</t>
        </is>
      </c>
      <c r="D10182" t="n">
        <v>2093912</v>
      </c>
      <c r="E10182" t="inlineStr">
        <is>
          <t>SEC</t>
        </is>
      </c>
    </row>
    <row r="10183">
      <c r="A10183" s="5">
        <f>HYPERLINK("https://finance.yahoo.com/quote/CTAAR","CTAAR")</f>
        <v/>
      </c>
      <c r="B10183" t="inlineStr">
        <is>
          <t>Clearthink 1 Acquisition Corp.</t>
        </is>
      </c>
      <c r="C10183" t="inlineStr">
        <is>
          <t>Nasdaq</t>
        </is>
      </c>
      <c r="D10183" t="n">
        <v>2094073</v>
      </c>
      <c r="E10183" t="inlineStr">
        <is>
          <t>SEC</t>
        </is>
      </c>
    </row>
    <row r="10184">
      <c r="A10184" s="5">
        <f>HYPERLINK("https://finance.yahoo.com/quote/CTAAU","CTAAU")</f>
        <v/>
      </c>
      <c r="B10184" t="inlineStr">
        <is>
          <t>Clearthink 1 Acquisition Corp.</t>
        </is>
      </c>
      <c r="C10184" t="inlineStr">
        <is>
          <t>Nasdaq</t>
        </is>
      </c>
      <c r="D10184" t="n">
        <v>2094073</v>
      </c>
      <c r="E10184" t="inlineStr">
        <is>
          <t>SEC</t>
        </is>
      </c>
    </row>
    <row r="10185">
      <c r="A10185" s="5">
        <f>HYPERLINK("https://finance.yahoo.com/quote/OTAI-RI","OTAI-RI")</f>
        <v/>
      </c>
      <c r="B10185" t="inlineStr">
        <is>
          <t>Starlink AI Acquisition Corp</t>
        </is>
      </c>
      <c r="C10185" t="inlineStr">
        <is>
          <t>NYSE</t>
        </is>
      </c>
      <c r="D10185" t="n">
        <v>2094076</v>
      </c>
      <c r="E10185" t="inlineStr">
        <is>
          <t>SEC</t>
        </is>
      </c>
    </row>
    <row r="10186">
      <c r="A10186" s="5">
        <f>HYPERLINK("https://finance.yahoo.com/quote/OTAI-UN","OTAI-UN")</f>
        <v/>
      </c>
      <c r="B10186" t="inlineStr">
        <is>
          <t>Starlink AI Acquisition Corp</t>
        </is>
      </c>
      <c r="C10186" t="inlineStr">
        <is>
          <t>NYSE</t>
        </is>
      </c>
      <c r="D10186" t="n">
        <v>2094076</v>
      </c>
      <c r="E10186" t="inlineStr">
        <is>
          <t>SEC</t>
        </is>
      </c>
    </row>
    <row r="10187">
      <c r="A10187" s="5">
        <f>HYPERLINK("https://finance.yahoo.com/quote/DPCDF","DPCDF")</f>
        <v/>
      </c>
      <c r="B10187" t="inlineStr">
        <is>
          <t>DPC DASH LTD/ADR</t>
        </is>
      </c>
      <c r="C10187" t="inlineStr">
        <is>
          <t>OTC</t>
        </is>
      </c>
      <c r="D10187" t="n">
        <v>2094201</v>
      </c>
      <c r="E10187" t="inlineStr">
        <is>
          <t>SEC</t>
        </is>
      </c>
    </row>
    <row r="10188">
      <c r="A10188" s="5">
        <f>HYPERLINK("https://finance.yahoo.com/quote/MLAAU","MLAAU")</f>
        <v/>
      </c>
      <c r="B10188" t="inlineStr">
        <is>
          <t>Mountain Lake Acquisition Corp. II</t>
        </is>
      </c>
      <c r="C10188" t="inlineStr">
        <is>
          <t>Nasdaq</t>
        </is>
      </c>
      <c r="D10188" t="n">
        <v>2094265</v>
      </c>
      <c r="E10188" t="inlineStr">
        <is>
          <t>SEC</t>
        </is>
      </c>
    </row>
    <row r="10189">
      <c r="A10189" s="5">
        <f>HYPERLINK("https://finance.yahoo.com/quote/MLAAW","MLAAW")</f>
        <v/>
      </c>
      <c r="B10189" t="inlineStr">
        <is>
          <t>Mountain Lake Acquisition Corp. II</t>
        </is>
      </c>
      <c r="C10189" t="inlineStr">
        <is>
          <t>Nasdaq</t>
        </is>
      </c>
      <c r="D10189" t="n">
        <v>2094265</v>
      </c>
      <c r="E10189" t="inlineStr">
        <is>
          <t>SEC</t>
        </is>
      </c>
    </row>
    <row r="10190">
      <c r="A10190" s="5">
        <f>HYPERLINK("https://finance.yahoo.com/quote/CRYAF","CRYAF")</f>
        <v/>
      </c>
      <c r="B10190" t="inlineStr">
        <is>
          <t>Chery Automobile Co., Ltd./ADR</t>
        </is>
      </c>
      <c r="C10190" t="inlineStr">
        <is>
          <t>OTC</t>
        </is>
      </c>
      <c r="D10190" t="n">
        <v>2094687</v>
      </c>
      <c r="E10190" t="inlineStr">
        <is>
          <t>SEC</t>
        </is>
      </c>
    </row>
    <row r="10191">
      <c r="A10191" s="5">
        <f>HYPERLINK("https://finance.yahoo.com/quote/OBCKF","OBCKF")</f>
        <v/>
      </c>
      <c r="B10191" t="inlineStr">
        <is>
          <t>Ottobock SE &amp; Co. KGaA/ADR</t>
        </is>
      </c>
      <c r="C10191" t="inlineStr">
        <is>
          <t>OTC</t>
        </is>
      </c>
      <c r="D10191" t="n">
        <v>2094691</v>
      </c>
      <c r="E10191" t="inlineStr">
        <is>
          <t>SEC</t>
        </is>
      </c>
    </row>
    <row r="10192">
      <c r="A10192" s="5">
        <f>HYPERLINK("https://finance.yahoo.com/quote/VSRPF","VSRPF")</f>
        <v/>
      </c>
      <c r="B10192" t="inlineStr">
        <is>
          <t>Verisure plc/ADR</t>
        </is>
      </c>
      <c r="C10192" t="inlineStr">
        <is>
          <t>OTC</t>
        </is>
      </c>
      <c r="D10192" t="n">
        <v>2094692</v>
      </c>
      <c r="E10192" t="inlineStr">
        <is>
          <t>SEC</t>
        </is>
      </c>
    </row>
    <row r="10193">
      <c r="A10193" s="5">
        <f>HYPERLINK("https://finance.yahoo.com/quote/FJDIR","FJDIR")</f>
        <v/>
      </c>
      <c r="B10193" t="inlineStr">
        <is>
          <t>ARC Group Securities Acquisition I</t>
        </is>
      </c>
      <c r="C10193" t="inlineStr">
        <is>
          <t>Nasdaq</t>
        </is>
      </c>
      <c r="D10193" t="n">
        <v>2094712</v>
      </c>
      <c r="E10193" t="inlineStr">
        <is>
          <t>SEC</t>
        </is>
      </c>
    </row>
    <row r="10194">
      <c r="A10194" s="5">
        <f>HYPERLINK("https://finance.yahoo.com/quote/FJDIU","FJDIU")</f>
        <v/>
      </c>
      <c r="B10194" t="inlineStr">
        <is>
          <t>ARC Group Securities Acquisition I</t>
        </is>
      </c>
      <c r="C10194" t="inlineStr">
        <is>
          <t>Nasdaq</t>
        </is>
      </c>
      <c r="D10194" t="n">
        <v>2094712</v>
      </c>
      <c r="E10194" t="inlineStr">
        <is>
          <t>SEC</t>
        </is>
      </c>
    </row>
    <row r="10195">
      <c r="A10195" s="5">
        <f>HYPERLINK("https://finance.yahoo.com/quote/FJDIW","FJDIW")</f>
        <v/>
      </c>
      <c r="B10195" t="inlineStr">
        <is>
          <t>ARC Group Securities Acquisition I</t>
        </is>
      </c>
      <c r="C10195" t="inlineStr">
        <is>
          <t>Nasdaq</t>
        </is>
      </c>
      <c r="D10195" t="n">
        <v>2094712</v>
      </c>
      <c r="E10195" t="inlineStr">
        <is>
          <t>SEC</t>
        </is>
      </c>
    </row>
    <row r="10196">
      <c r="A10196" s="5">
        <f>HYPERLINK("https://finance.yahoo.com/quote/BIDWR","BIDWR")</f>
        <v/>
      </c>
      <c r="B10196" t="inlineStr">
        <is>
          <t>Tribeca Strategic Acquisition Corp.</t>
        </is>
      </c>
      <c r="C10196" t="inlineStr">
        <is>
          <t>Nasdaq</t>
        </is>
      </c>
      <c r="D10196" t="n">
        <v>2094919</v>
      </c>
      <c r="E10196" t="inlineStr">
        <is>
          <t>SEC</t>
        </is>
      </c>
    </row>
    <row r="10197">
      <c r="A10197" s="5">
        <f>HYPERLINK("https://finance.yahoo.com/quote/BIDWU","BIDWU")</f>
        <v/>
      </c>
      <c r="B10197" t="inlineStr">
        <is>
          <t>Tribeca Strategic Acquisition Corp.</t>
        </is>
      </c>
      <c r="C10197" t="inlineStr">
        <is>
          <t>Nasdaq</t>
        </is>
      </c>
      <c r="D10197" t="n">
        <v>2094919</v>
      </c>
      <c r="E10197" t="inlineStr">
        <is>
          <t>SEC</t>
        </is>
      </c>
    </row>
    <row r="10198">
      <c r="A10198" s="5">
        <f>HYPERLINK("https://finance.yahoo.com/quote/ENRDW","ENRDW")</f>
        <v/>
      </c>
      <c r="B10198" t="inlineStr">
        <is>
          <t>Einride AB</t>
        </is>
      </c>
      <c r="C10198" t="inlineStr">
        <is>
          <t>Nasdaq</t>
        </is>
      </c>
      <c r="D10198" t="n">
        <v>2095096</v>
      </c>
      <c r="E10198" t="inlineStr">
        <is>
          <t>SEC</t>
        </is>
      </c>
    </row>
    <row r="10199">
      <c r="A10199" s="5">
        <f>HYPERLINK("https://finance.yahoo.com/quote/DBCAU","DBCAU")</f>
        <v/>
      </c>
      <c r="B10199" t="inlineStr">
        <is>
          <t>D. Boral Acquisition I Corp.</t>
        </is>
      </c>
      <c r="C10199" t="inlineStr">
        <is>
          <t>Nasdaq</t>
        </is>
      </c>
      <c r="D10199" t="n">
        <v>2095161</v>
      </c>
      <c r="E10199" t="inlineStr">
        <is>
          <t>SEC</t>
        </is>
      </c>
    </row>
    <row r="10200">
      <c r="A10200" s="5">
        <f>HYPERLINK("https://finance.yahoo.com/quote/DBCAW","DBCAW")</f>
        <v/>
      </c>
      <c r="B10200" t="inlineStr">
        <is>
          <t>D. Boral Acquisition I Corp.</t>
        </is>
      </c>
      <c r="C10200" t="inlineStr">
        <is>
          <t>Nasdaq</t>
        </is>
      </c>
      <c r="D10200" t="n">
        <v>2095161</v>
      </c>
      <c r="E10200" t="inlineStr">
        <is>
          <t>SEC</t>
        </is>
      </c>
    </row>
    <row r="10201">
      <c r="A10201" s="5">
        <f>HYPERLINK("https://finance.yahoo.com/quote/KPET-UN","KPET-UN")</f>
        <v/>
      </c>
      <c r="B10201" t="inlineStr">
        <is>
          <t>KPET Ultra Paceline Corp</t>
        </is>
      </c>
      <c r="C10201" t="inlineStr">
        <is>
          <t>NYSE</t>
        </is>
      </c>
      <c r="D10201" t="n">
        <v>2095297</v>
      </c>
      <c r="E10201" t="inlineStr">
        <is>
          <t>SEC</t>
        </is>
      </c>
    </row>
    <row r="10202">
      <c r="A10202" s="5">
        <f>HYPERLINK("https://finance.yahoo.com/quote/KPET-WT","KPET-WT")</f>
        <v/>
      </c>
      <c r="B10202" t="inlineStr">
        <is>
          <t>KPET Ultra Paceline Corp</t>
        </is>
      </c>
      <c r="C10202" t="inlineStr">
        <is>
          <t>NYSE</t>
        </is>
      </c>
      <c r="D10202" t="n">
        <v>2095297</v>
      </c>
      <c r="E10202" t="inlineStr">
        <is>
          <t>SEC</t>
        </is>
      </c>
    </row>
    <row r="10203">
      <c r="A10203" s="5">
        <f>HYPERLINK("https://finance.yahoo.com/quote/BREZR","BREZR")</f>
        <v/>
      </c>
      <c r="B10203" t="inlineStr">
        <is>
          <t>Breeze Acquisition Corp. II</t>
        </is>
      </c>
      <c r="C10203" t="inlineStr">
        <is>
          <t>Nasdaq</t>
        </is>
      </c>
      <c r="D10203" t="n">
        <v>2095443</v>
      </c>
      <c r="E10203" t="inlineStr">
        <is>
          <t>SEC</t>
        </is>
      </c>
    </row>
    <row r="10204">
      <c r="A10204" s="5">
        <f>HYPERLINK("https://finance.yahoo.com/quote/TVIVU","TVIVU")</f>
        <v/>
      </c>
      <c r="B10204" t="inlineStr">
        <is>
          <t>Texas Ventures Acquisition IV Corp</t>
        </is>
      </c>
      <c r="C10204" t="inlineStr">
        <is>
          <t>Nasdaq</t>
        </is>
      </c>
      <c r="D10204" t="n">
        <v>2096755</v>
      </c>
      <c r="E10204" t="inlineStr">
        <is>
          <t>SEC</t>
        </is>
      </c>
    </row>
    <row r="10205">
      <c r="A10205" s="5">
        <f>HYPERLINK("https://finance.yahoo.com/quote/TVIVW","TVIVW")</f>
        <v/>
      </c>
      <c r="B10205" t="inlineStr">
        <is>
          <t>Texas Ventures Acquisition IV Corp</t>
        </is>
      </c>
      <c r="C10205" t="inlineStr">
        <is>
          <t>Nasdaq</t>
        </is>
      </c>
      <c r="D10205" t="n">
        <v>2096755</v>
      </c>
      <c r="E10205" t="inlineStr">
        <is>
          <t>SEC</t>
        </is>
      </c>
    </row>
    <row r="10206">
      <c r="A10206" s="5">
        <f>HYPERLINK("https://finance.yahoo.com/quote/ACAAU","ACAAU")</f>
        <v/>
      </c>
      <c r="B10206" t="inlineStr">
        <is>
          <t>Averin Capital Acquisition Corp.</t>
        </is>
      </c>
      <c r="C10206" t="inlineStr">
        <is>
          <t>Nasdaq</t>
        </is>
      </c>
      <c r="D10206" t="n">
        <v>2096900</v>
      </c>
      <c r="E10206" t="inlineStr">
        <is>
          <t>SEC</t>
        </is>
      </c>
    </row>
    <row r="10207">
      <c r="A10207" s="5">
        <f>HYPERLINK("https://finance.yahoo.com/quote/ACAAW","ACAAW")</f>
        <v/>
      </c>
      <c r="B10207" t="inlineStr">
        <is>
          <t>Averin Capital Acquisition Corp.</t>
        </is>
      </c>
      <c r="C10207" t="inlineStr">
        <is>
          <t>Nasdaq</t>
        </is>
      </c>
      <c r="D10207" t="n">
        <v>2096900</v>
      </c>
      <c r="E10207" t="inlineStr">
        <is>
          <t>SEC</t>
        </is>
      </c>
    </row>
    <row r="10208">
      <c r="A10208" s="5">
        <f>HYPERLINK("https://finance.yahoo.com/quote/BHAVR","BHAVR")</f>
        <v/>
      </c>
      <c r="B10208" t="inlineStr">
        <is>
          <t>BHAV Acquisition Corp</t>
        </is>
      </c>
      <c r="C10208" t="inlineStr">
        <is>
          <t>Nasdaq</t>
        </is>
      </c>
      <c r="D10208" t="n">
        <v>2097288</v>
      </c>
      <c r="E10208" t="inlineStr">
        <is>
          <t>SEC</t>
        </is>
      </c>
    </row>
    <row r="10209">
      <c r="A10209" s="5">
        <f>HYPERLINK("https://finance.yahoo.com/quote/BHAVU","BHAVU")</f>
        <v/>
      </c>
      <c r="B10209" t="inlineStr">
        <is>
          <t>BHAV Acquisition Corp</t>
        </is>
      </c>
      <c r="C10209" t="inlineStr">
        <is>
          <t>Nasdaq</t>
        </is>
      </c>
      <c r="D10209" t="n">
        <v>2097288</v>
      </c>
      <c r="E10209" t="inlineStr">
        <is>
          <t>SEC</t>
        </is>
      </c>
    </row>
    <row r="10210">
      <c r="A10210" s="5">
        <f>HYPERLINK("https://finance.yahoo.com/quote/TMTSU","TMTSU")</f>
        <v/>
      </c>
      <c r="B10210" t="inlineStr">
        <is>
          <t>Spartacus Acquisition Corp. II</t>
        </is>
      </c>
      <c r="C10210" t="inlineStr">
        <is>
          <t>Nasdaq</t>
        </is>
      </c>
      <c r="D10210" t="n">
        <v>2097364</v>
      </c>
      <c r="E10210" t="inlineStr">
        <is>
          <t>SEC</t>
        </is>
      </c>
    </row>
    <row r="10211">
      <c r="A10211" s="5">
        <f>HYPERLINK("https://finance.yahoo.com/quote/TMTSW","TMTSW")</f>
        <v/>
      </c>
      <c r="B10211" t="inlineStr">
        <is>
          <t>Spartacus Acquisition Corp. II</t>
        </is>
      </c>
      <c r="C10211" t="inlineStr">
        <is>
          <t>Nasdaq</t>
        </is>
      </c>
      <c r="D10211" t="n">
        <v>2097364</v>
      </c>
      <c r="E10211" t="inlineStr">
        <is>
          <t>SEC</t>
        </is>
      </c>
    </row>
    <row r="10212">
      <c r="A10212" s="5">
        <f>HYPERLINK("https://finance.yahoo.com/quote/MZYX-UN","MZYX-UN")</f>
        <v/>
      </c>
      <c r="B10212" t="inlineStr">
        <is>
          <t>MOZAYYX Acquisition Corp.</t>
        </is>
      </c>
      <c r="C10212" t="inlineStr">
        <is>
          <t>NYSE</t>
        </is>
      </c>
      <c r="D10212" t="n">
        <v>2097376</v>
      </c>
      <c r="E10212" t="inlineStr">
        <is>
          <t>SEC</t>
        </is>
      </c>
    </row>
    <row r="10213">
      <c r="A10213" s="5">
        <f>HYPERLINK("https://finance.yahoo.com/quote/MZYX-WT","MZYX-WT")</f>
        <v/>
      </c>
      <c r="B10213" t="inlineStr">
        <is>
          <t>MOZAYYX Acquisition Corp.</t>
        </is>
      </c>
      <c r="C10213" t="inlineStr">
        <is>
          <t>NYSE</t>
        </is>
      </c>
      <c r="D10213" t="n">
        <v>2097376</v>
      </c>
      <c r="E10213" t="inlineStr">
        <is>
          <t>SEC</t>
        </is>
      </c>
    </row>
    <row r="10214">
      <c r="A10214" s="5">
        <f>HYPERLINK("https://finance.yahoo.com/quote/FTHAU","FTHAU")</f>
        <v/>
      </c>
      <c r="B10214" t="inlineStr">
        <is>
          <t>Forefront Tech Holdings Acquisition Corp</t>
        </is>
      </c>
      <c r="C10214" t="inlineStr">
        <is>
          <t>Nasdaq</t>
        </is>
      </c>
      <c r="D10214" t="n">
        <v>2097986</v>
      </c>
      <c r="E10214" t="inlineStr">
        <is>
          <t>SEC</t>
        </is>
      </c>
    </row>
    <row r="10215">
      <c r="A10215" s="5">
        <f>HYPERLINK("https://finance.yahoo.com/quote/FTHAW","FTHAW")</f>
        <v/>
      </c>
      <c r="B10215" t="inlineStr">
        <is>
          <t>Forefront Tech Holdings Acquisition Corp</t>
        </is>
      </c>
      <c r="C10215" t="inlineStr">
        <is>
          <t>Nasdaq</t>
        </is>
      </c>
      <c r="D10215" t="n">
        <v>2097986</v>
      </c>
      <c r="E10215" t="inlineStr">
        <is>
          <t>SEC</t>
        </is>
      </c>
    </row>
    <row r="10216">
      <c r="A10216" s="5">
        <f>HYPERLINK("https://finance.yahoo.com/quote/SVIVU","SVIVU")</f>
        <v/>
      </c>
      <c r="B10216" t="inlineStr">
        <is>
          <t>Spring Valley Acquisition Corp. IV</t>
        </is>
      </c>
      <c r="C10216" t="inlineStr">
        <is>
          <t>Nasdaq</t>
        </is>
      </c>
      <c r="D10216" t="n">
        <v>2098242</v>
      </c>
      <c r="E10216" t="inlineStr">
        <is>
          <t>SEC</t>
        </is>
      </c>
    </row>
    <row r="10217">
      <c r="A10217" s="5">
        <f>HYPERLINK("https://finance.yahoo.com/quote/SVIVW","SVIVW")</f>
        <v/>
      </c>
      <c r="B10217" t="inlineStr">
        <is>
          <t>Spring Valley Acquisition Corp. IV</t>
        </is>
      </c>
      <c r="C10217" t="inlineStr">
        <is>
          <t>Nasdaq</t>
        </is>
      </c>
      <c r="D10217" t="n">
        <v>2098242</v>
      </c>
      <c r="E10217" t="inlineStr">
        <is>
          <t>SEC</t>
        </is>
      </c>
    </row>
    <row r="10218">
      <c r="A10218" s="5">
        <f>HYPERLINK("https://finance.yahoo.com/quote/SWBGF","SWBGF")</f>
        <v/>
      </c>
      <c r="B10218" t="inlineStr">
        <is>
          <t>Shawbrook Group plc/ADR</t>
        </is>
      </c>
      <c r="C10218" t="inlineStr">
        <is>
          <t>OTC</t>
        </is>
      </c>
      <c r="D10218" t="n">
        <v>2098324</v>
      </c>
      <c r="E10218" t="inlineStr">
        <is>
          <t>SEC</t>
        </is>
      </c>
    </row>
    <row r="10219">
      <c r="A10219" s="5">
        <f>HYPERLINK("https://finance.yahoo.com/quote/PRNSY","PRNSY")</f>
        <v/>
      </c>
      <c r="B10219" t="inlineStr">
        <is>
          <t>Princes Group plc/ADR</t>
        </is>
      </c>
      <c r="C10219" t="inlineStr">
        <is>
          <t>OTC</t>
        </is>
      </c>
      <c r="D10219" t="n">
        <v>2098329</v>
      </c>
      <c r="E10219" t="inlineStr">
        <is>
          <t>SEC</t>
        </is>
      </c>
    </row>
    <row r="10220">
      <c r="A10220" s="5">
        <f>HYPERLINK("https://finance.yahoo.com/quote/BRRKU","BRRKU")</f>
        <v/>
      </c>
      <c r="B10220" t="inlineStr">
        <is>
          <t>Bluerock Acquisition Corp. II</t>
        </is>
      </c>
      <c r="C10220" t="inlineStr">
        <is>
          <t>Nasdaq</t>
        </is>
      </c>
      <c r="D10220" t="n">
        <v>2098410</v>
      </c>
      <c r="E10220" t="inlineStr">
        <is>
          <t>SEC</t>
        </is>
      </c>
    </row>
    <row r="10221">
      <c r="A10221" s="5">
        <f>HYPERLINK("https://finance.yahoo.com/quote/BGTCF","BGTCF")</f>
        <v/>
      </c>
      <c r="B10221" t="inlineStr">
        <is>
          <t>Beijing Geekplus Technology Co., Ltd./ADR</t>
        </is>
      </c>
      <c r="C10221" t="inlineStr">
        <is>
          <t>OTC</t>
        </is>
      </c>
      <c r="D10221" t="n">
        <v>2098425</v>
      </c>
      <c r="E10221" t="inlineStr">
        <is>
          <t>SEC</t>
        </is>
      </c>
    </row>
    <row r="10222">
      <c r="A10222" s="5">
        <f>HYPERLINK("https://finance.yahoo.com/quote/UAC-UN","UAC-UN")</f>
        <v/>
      </c>
      <c r="B10222" t="inlineStr">
        <is>
          <t>United Acquisition Corp. I</t>
        </is>
      </c>
      <c r="C10222" t="inlineStr">
        <is>
          <t>NYSE</t>
        </is>
      </c>
      <c r="D10222" t="n">
        <v>2098669</v>
      </c>
      <c r="E10222" t="inlineStr">
        <is>
          <t>SEC</t>
        </is>
      </c>
    </row>
    <row r="10223">
      <c r="A10223" s="5">
        <f>HYPERLINK("https://finance.yahoo.com/quote/UAC-WT","UAC-WT")</f>
        <v/>
      </c>
      <c r="B10223" t="inlineStr">
        <is>
          <t>United Acquisition Corp. I</t>
        </is>
      </c>
      <c r="C10223" t="inlineStr">
        <is>
          <t>NYSE</t>
        </is>
      </c>
      <c r="D10223" t="n">
        <v>2098669</v>
      </c>
      <c r="E10223" t="inlineStr">
        <is>
          <t>SEC</t>
        </is>
      </c>
    </row>
    <row r="10224">
      <c r="A10224" s="5">
        <f>HYPERLINK("https://finance.yahoo.com/quote/BRKHU","BRKHU")</f>
        <v/>
      </c>
      <c r="B10224" t="inlineStr">
        <is>
          <t>Burtech Acquisition Corp II</t>
        </is>
      </c>
      <c r="C10224" t="inlineStr">
        <is>
          <t>Nasdaq</t>
        </is>
      </c>
      <c r="D10224" t="n">
        <v>2098707</v>
      </c>
      <c r="E10224" t="inlineStr">
        <is>
          <t>SEC</t>
        </is>
      </c>
    </row>
    <row r="10225">
      <c r="A10225" s="5">
        <f>HYPERLINK("https://finance.yahoo.com/quote/BRKHW","BRKHW")</f>
        <v/>
      </c>
      <c r="B10225" t="inlineStr">
        <is>
          <t>Burtech Acquisition Corp II</t>
        </is>
      </c>
      <c r="C10225" t="inlineStr">
        <is>
          <t>Nasdaq</t>
        </is>
      </c>
      <c r="D10225" t="n">
        <v>2098707</v>
      </c>
      <c r="E10225" t="inlineStr">
        <is>
          <t>SEC</t>
        </is>
      </c>
    </row>
    <row r="10226">
      <c r="A10226" s="5">
        <f>HYPERLINK("https://finance.yahoo.com/quote/GIXXR","GIXXR")</f>
        <v/>
      </c>
      <c r="B10226" t="inlineStr">
        <is>
          <t>GigCapital9 Corp.</t>
        </is>
      </c>
      <c r="C10226" t="inlineStr">
        <is>
          <t>Nasdaq</t>
        </is>
      </c>
      <c r="D10226" t="n">
        <v>2098712</v>
      </c>
      <c r="E10226" t="inlineStr">
        <is>
          <t>SEC</t>
        </is>
      </c>
    </row>
    <row r="10227">
      <c r="A10227" s="5">
        <f>HYPERLINK("https://finance.yahoo.com/quote/GIXXU","GIXXU")</f>
        <v/>
      </c>
      <c r="B10227" t="inlineStr">
        <is>
          <t>GigCapital9 Corp.</t>
        </is>
      </c>
      <c r="C10227" t="inlineStr">
        <is>
          <t>Nasdaq</t>
        </is>
      </c>
      <c r="D10227" t="n">
        <v>2098712</v>
      </c>
      <c r="E10227" t="inlineStr">
        <is>
          <t>SEC</t>
        </is>
      </c>
    </row>
    <row r="10228">
      <c r="A10228" s="5">
        <f>HYPERLINK("https://finance.yahoo.com/quote/TRGSR","TRGSR")</f>
        <v/>
      </c>
      <c r="B10228" t="inlineStr">
        <is>
          <t>TRG Latin America Acquisitions Corp.</t>
        </is>
      </c>
      <c r="C10228" t="inlineStr">
        <is>
          <t>Nasdaq</t>
        </is>
      </c>
      <c r="D10228" t="n">
        <v>2098780</v>
      </c>
      <c r="E10228" t="inlineStr">
        <is>
          <t>SEC</t>
        </is>
      </c>
    </row>
    <row r="10229">
      <c r="A10229" s="5">
        <f>HYPERLINK("https://finance.yahoo.com/quote/TRGSU","TRGSU")</f>
        <v/>
      </c>
      <c r="B10229" t="inlineStr">
        <is>
          <t>TRG Latin America Acquisitions Corp.</t>
        </is>
      </c>
      <c r="C10229" t="inlineStr">
        <is>
          <t>Nasdaq</t>
        </is>
      </c>
      <c r="D10229" t="n">
        <v>2098780</v>
      </c>
      <c r="E10229" t="inlineStr">
        <is>
          <t>SEC</t>
        </is>
      </c>
    </row>
    <row r="10230">
      <c r="A10230" s="5">
        <f>HYPERLINK("https://finance.yahoo.com/quote/HCICR","HCICR")</f>
        <v/>
      </c>
      <c r="B10230" t="inlineStr">
        <is>
          <t>Hennessy Capital Investment Corp. VIII</t>
        </is>
      </c>
      <c r="C10230" t="inlineStr">
        <is>
          <t>Nasdaq</t>
        </is>
      </c>
      <c r="D10230" t="n">
        <v>2099093</v>
      </c>
      <c r="E10230" t="inlineStr">
        <is>
          <t>SEC</t>
        </is>
      </c>
    </row>
    <row r="10231">
      <c r="A10231" s="5">
        <f>HYPERLINK("https://finance.yahoo.com/quote/HCICU","HCICU")</f>
        <v/>
      </c>
      <c r="B10231" t="inlineStr">
        <is>
          <t>Hennessy Capital Investment Corp. VIII</t>
        </is>
      </c>
      <c r="C10231" t="inlineStr">
        <is>
          <t>Nasdaq</t>
        </is>
      </c>
      <c r="D10231" t="n">
        <v>2099093</v>
      </c>
      <c r="E10231" t="inlineStr">
        <is>
          <t>SEC</t>
        </is>
      </c>
    </row>
    <row r="10232">
      <c r="A10232" s="5">
        <f>HYPERLINK("https://finance.yahoo.com/quote/PTACU","PTACU")</f>
        <v/>
      </c>
      <c r="B10232" t="inlineStr">
        <is>
          <t>Patriot Acquisition Corp./CI</t>
        </is>
      </c>
      <c r="C10232" t="inlineStr">
        <is>
          <t>Nasdaq</t>
        </is>
      </c>
      <c r="D10232" t="n">
        <v>2099095</v>
      </c>
      <c r="E10232" t="inlineStr">
        <is>
          <t>SEC</t>
        </is>
      </c>
    </row>
    <row r="10233">
      <c r="A10233" s="5">
        <f>HYPERLINK("https://finance.yahoo.com/quote/PTACW","PTACW")</f>
        <v/>
      </c>
      <c r="B10233" t="inlineStr">
        <is>
          <t>Patriot Acquisition Corp./CI</t>
        </is>
      </c>
      <c r="C10233" t="inlineStr">
        <is>
          <t>Nasdaq</t>
        </is>
      </c>
      <c r="D10233" t="n">
        <v>2099095</v>
      </c>
      <c r="E10233" t="inlineStr">
        <is>
          <t>SEC</t>
        </is>
      </c>
    </row>
    <row r="10234">
      <c r="A10234" s="5">
        <f>HYPERLINK("https://finance.yahoo.com/quote/FMACR","FMACR")</f>
        <v/>
      </c>
      <c r="B10234" t="inlineStr">
        <is>
          <t>Future Money Acquisition Corp</t>
        </is>
      </c>
      <c r="C10234" t="inlineStr">
        <is>
          <t>Nasdaq</t>
        </is>
      </c>
      <c r="D10234" t="n">
        <v>2099232</v>
      </c>
      <c r="E10234" t="inlineStr">
        <is>
          <t>SEC</t>
        </is>
      </c>
    </row>
    <row r="10235">
      <c r="A10235" s="5">
        <f>HYPERLINK("https://finance.yahoo.com/quote/FMACU","FMACU")</f>
        <v/>
      </c>
      <c r="B10235" t="inlineStr">
        <is>
          <t>Future Money Acquisition Corp</t>
        </is>
      </c>
      <c r="C10235" t="inlineStr">
        <is>
          <t>Nasdaq</t>
        </is>
      </c>
      <c r="D10235" t="n">
        <v>2099232</v>
      </c>
      <c r="E10235" t="inlineStr">
        <is>
          <t>SEC</t>
        </is>
      </c>
    </row>
    <row r="10236">
      <c r="A10236" s="5">
        <f>HYPERLINK("https://finance.yahoo.com/quote/MEAOF","MEAOF")</f>
        <v/>
      </c>
      <c r="B10236" t="inlineStr">
        <is>
          <t>MetaOptics Ltd</t>
        </is>
      </c>
      <c r="C10236" t="inlineStr">
        <is>
          <t>OTC</t>
        </is>
      </c>
      <c r="D10236" t="n">
        <v>2099681</v>
      </c>
      <c r="E10236" t="inlineStr">
        <is>
          <t>SEC</t>
        </is>
      </c>
    </row>
    <row r="10237">
      <c r="A10237" s="5">
        <f>HYPERLINK("https://finance.yahoo.com/quote/MOTLY","MOTLY")</f>
        <v/>
      </c>
      <c r="B10237" t="inlineStr">
        <is>
          <t>MetaOptics Ltd</t>
        </is>
      </c>
      <c r="C10237" t="inlineStr">
        <is>
          <t>OTC</t>
        </is>
      </c>
      <c r="D10237" t="n">
        <v>2099681</v>
      </c>
      <c r="E10237" t="inlineStr">
        <is>
          <t>SEC</t>
        </is>
      </c>
    </row>
    <row r="10238">
      <c r="A10238" s="5">
        <f>HYPERLINK("https://finance.yahoo.com/quote/NHIVU","NHIVU")</f>
        <v/>
      </c>
      <c r="B10238" t="inlineStr">
        <is>
          <t>NewHold Investment Corp IV</t>
        </is>
      </c>
      <c r="C10238" t="inlineStr">
        <is>
          <t>Nasdaq</t>
        </is>
      </c>
      <c r="D10238" t="n">
        <v>2099767</v>
      </c>
      <c r="E10238" t="inlineStr">
        <is>
          <t>SEC</t>
        </is>
      </c>
    </row>
    <row r="10239">
      <c r="A10239" s="5">
        <f>HYPERLINK("https://finance.yahoo.com/quote/NHIVW","NHIVW")</f>
        <v/>
      </c>
      <c r="B10239" t="inlineStr">
        <is>
          <t>NewHold Investment Corp IV</t>
        </is>
      </c>
      <c r="C10239" t="inlineStr">
        <is>
          <t>Nasdaq</t>
        </is>
      </c>
      <c r="D10239" t="n">
        <v>2099767</v>
      </c>
      <c r="E10239" t="inlineStr">
        <is>
          <t>SEC</t>
        </is>
      </c>
    </row>
    <row r="10240">
      <c r="A10240" s="5">
        <f>HYPERLINK("https://finance.yahoo.com/quote/AACOU","AACOU")</f>
        <v/>
      </c>
      <c r="B10240" t="inlineStr">
        <is>
          <t>Abony Acquisition Corp. I</t>
        </is>
      </c>
      <c r="C10240" t="inlineStr">
        <is>
          <t>Nasdaq</t>
        </is>
      </c>
      <c r="D10240" t="n">
        <v>2099906</v>
      </c>
      <c r="E10240" t="inlineStr">
        <is>
          <t>SEC</t>
        </is>
      </c>
    </row>
    <row r="10241">
      <c r="A10241" s="5">
        <f>HYPERLINK("https://finance.yahoo.com/quote/AACOW","AACOW")</f>
        <v/>
      </c>
      <c r="B10241" t="inlineStr">
        <is>
          <t>Abony Acquisition Corp. I</t>
        </is>
      </c>
      <c r="C10241" t="inlineStr">
        <is>
          <t>Nasdaq</t>
        </is>
      </c>
      <c r="D10241" t="n">
        <v>2099906</v>
      </c>
      <c r="E10241" t="inlineStr">
        <is>
          <t>SEC</t>
        </is>
      </c>
    </row>
    <row r="10242">
      <c r="A10242" s="5">
        <f>HYPERLINK("https://finance.yahoo.com/quote/CAQUU","CAQUU")</f>
        <v/>
      </c>
      <c r="B10242" t="inlineStr">
        <is>
          <t>Cambridge Acquisition Corp.</t>
        </is>
      </c>
      <c r="C10242" t="inlineStr">
        <is>
          <t>Nasdaq</t>
        </is>
      </c>
      <c r="D10242" t="n">
        <v>2100125</v>
      </c>
      <c r="E10242" t="inlineStr">
        <is>
          <t>SEC</t>
        </is>
      </c>
    </row>
    <row r="10243">
      <c r="A10243" s="5">
        <f>HYPERLINK("https://finance.yahoo.com/quote/CAQUW","CAQUW")</f>
        <v/>
      </c>
      <c r="B10243" t="inlineStr">
        <is>
          <t>Cambridge Acquisition Corp.</t>
        </is>
      </c>
      <c r="C10243" t="inlineStr">
        <is>
          <t>Nasdaq</t>
        </is>
      </c>
      <c r="D10243" t="n">
        <v>2100125</v>
      </c>
      <c r="E10243" t="inlineStr">
        <is>
          <t>SEC</t>
        </is>
      </c>
    </row>
    <row r="10244">
      <c r="A10244" s="5">
        <f>HYPERLINK("https://finance.yahoo.com/quote/MTPLF","MTPLF")</f>
        <v/>
      </c>
      <c r="B10244" t="inlineStr">
        <is>
          <t>Metaplanet Inc.</t>
        </is>
      </c>
      <c r="C10244" t="inlineStr">
        <is>
          <t>OTC</t>
        </is>
      </c>
      <c r="D10244" t="n">
        <v>2100603</v>
      </c>
      <c r="E10244" t="inlineStr">
        <is>
          <t>SEC</t>
        </is>
      </c>
    </row>
    <row r="10245">
      <c r="A10245" s="5">
        <f>HYPERLINK("https://finance.yahoo.com/quote/EWAVR","EWAVR")</f>
        <v/>
      </c>
      <c r="B10245" t="inlineStr">
        <is>
          <t>East West Ave Acquisition Corp.</t>
        </is>
      </c>
      <c r="C10245" t="inlineStr">
        <is>
          <t>Nasdaq</t>
        </is>
      </c>
      <c r="D10245" t="n">
        <v>2100704</v>
      </c>
      <c r="E10245" t="inlineStr">
        <is>
          <t>SEC</t>
        </is>
      </c>
    </row>
    <row r="10246">
      <c r="A10246" s="5">
        <f>HYPERLINK("https://finance.yahoo.com/quote/EWAVU","EWAVU")</f>
        <v/>
      </c>
      <c r="B10246" t="inlineStr">
        <is>
          <t>East West Ave Acquisition Corp.</t>
        </is>
      </c>
      <c r="C10246" t="inlineStr">
        <is>
          <t>Nasdaq</t>
        </is>
      </c>
      <c r="D10246" t="n">
        <v>2100704</v>
      </c>
      <c r="E10246" t="inlineStr">
        <is>
          <t>SEC</t>
        </is>
      </c>
    </row>
    <row r="10247">
      <c r="A10247" s="5">
        <f>HYPERLINK("https://finance.yahoo.com/quote/ILLUU","ILLUU")</f>
        <v/>
      </c>
      <c r="B10247" t="inlineStr">
        <is>
          <t>Illumination Acquisition Corp. I</t>
        </is>
      </c>
      <c r="C10247" t="inlineStr">
        <is>
          <t>Nasdaq</t>
        </is>
      </c>
      <c r="D10247" t="n">
        <v>2101135</v>
      </c>
      <c r="E10247" t="inlineStr">
        <is>
          <t>SEC</t>
        </is>
      </c>
    </row>
    <row r="10248">
      <c r="A10248" s="5">
        <f>HYPERLINK("https://finance.yahoo.com/quote/ILLUW","ILLUW")</f>
        <v/>
      </c>
      <c r="B10248" t="inlineStr">
        <is>
          <t>Illumination Acquisition Corp. I</t>
        </is>
      </c>
      <c r="C10248" t="inlineStr">
        <is>
          <t>Nasdaq</t>
        </is>
      </c>
      <c r="D10248" t="n">
        <v>2101135</v>
      </c>
      <c r="E10248" t="inlineStr">
        <is>
          <t>SEC</t>
        </is>
      </c>
    </row>
    <row r="10249">
      <c r="A10249" s="5">
        <f>HYPERLINK("https://finance.yahoo.com/quote/APMCR","APMCR")</f>
        <v/>
      </c>
      <c r="B10249" t="inlineStr">
        <is>
          <t>AmperCap Acquisition Co</t>
        </is>
      </c>
      <c r="C10249" t="inlineStr">
        <is>
          <t>Nasdaq</t>
        </is>
      </c>
      <c r="D10249" t="n">
        <v>2101393</v>
      </c>
      <c r="E10249" t="inlineStr">
        <is>
          <t>SEC</t>
        </is>
      </c>
    </row>
    <row r="10250">
      <c r="A10250" s="5">
        <f>HYPERLINK("https://finance.yahoo.com/quote/APMCU","APMCU")</f>
        <v/>
      </c>
      <c r="B10250" t="inlineStr">
        <is>
          <t>AmperCap Acquisition Co</t>
        </is>
      </c>
      <c r="C10250" t="inlineStr">
        <is>
          <t>Nasdaq</t>
        </is>
      </c>
      <c r="D10250" t="n">
        <v>2101393</v>
      </c>
      <c r="E10250" t="inlineStr">
        <is>
          <t>SEC</t>
        </is>
      </c>
    </row>
    <row r="10251">
      <c r="A10251" s="5">
        <f>HYPERLINK("https://finance.yahoo.com/quote/WLCOU","WLCOU")</f>
        <v/>
      </c>
      <c r="B10251" t="inlineStr">
        <is>
          <t>Wilco 63 Corp</t>
        </is>
      </c>
      <c r="C10251" t="inlineStr">
        <is>
          <t>Nasdaq</t>
        </is>
      </c>
      <c r="D10251" t="n">
        <v>2101470</v>
      </c>
      <c r="E10251" t="inlineStr">
        <is>
          <t>SEC</t>
        </is>
      </c>
    </row>
    <row r="10252">
      <c r="A10252" s="5">
        <f>HYPERLINK("https://finance.yahoo.com/quote/WLCOW","WLCOW")</f>
        <v/>
      </c>
      <c r="B10252" t="inlineStr">
        <is>
          <t>Wilco 63 Corp</t>
        </is>
      </c>
      <c r="C10252" t="inlineStr">
        <is>
          <t>Nasdaq</t>
        </is>
      </c>
      <c r="D10252" t="n">
        <v>2101470</v>
      </c>
      <c r="E10252" t="inlineStr">
        <is>
          <t>SEC</t>
        </is>
      </c>
    </row>
    <row r="10253">
      <c r="A10253" s="5">
        <f>HYPERLINK("https://finance.yahoo.com/quote/PALOU","PALOU")</f>
        <v/>
      </c>
      <c r="B10253" t="inlineStr">
        <is>
          <t>PALOMA ACQUISITION CORP I</t>
        </is>
      </c>
      <c r="C10253" t="inlineStr">
        <is>
          <t>Nasdaq</t>
        </is>
      </c>
      <c r="D10253" t="n">
        <v>2101562</v>
      </c>
      <c r="E10253" t="inlineStr">
        <is>
          <t>SEC</t>
        </is>
      </c>
    </row>
    <row r="10254">
      <c r="A10254" s="5">
        <f>HYPERLINK("https://finance.yahoo.com/quote/PALOW","PALOW")</f>
        <v/>
      </c>
      <c r="B10254" t="inlineStr">
        <is>
          <t>PALOMA ACQUISITION CORP I</t>
        </is>
      </c>
      <c r="C10254" t="inlineStr">
        <is>
          <t>Nasdaq</t>
        </is>
      </c>
      <c r="D10254" t="n">
        <v>2101562</v>
      </c>
      <c r="E10254" t="inlineStr">
        <is>
          <t>SEC</t>
        </is>
      </c>
    </row>
    <row r="10255">
      <c r="A10255" s="5">
        <f>HYPERLINK("https://finance.yahoo.com/quote/NANOW","NANOW")</f>
        <v/>
      </c>
      <c r="B10255" t="inlineStr">
        <is>
          <t>Forge Nano Holdings, Inc.</t>
        </is>
      </c>
      <c r="C10255" t="inlineStr">
        <is>
          <t>Nasdaq</t>
        </is>
      </c>
      <c r="D10255" t="n">
        <v>2101833</v>
      </c>
      <c r="E10255" t="inlineStr">
        <is>
          <t>SEC</t>
        </is>
      </c>
    </row>
    <row r="10256">
      <c r="A10256" s="5">
        <f>HYPERLINK("https://finance.yahoo.com/quote/IPFXU","IPFXU")</f>
        <v/>
      </c>
      <c r="B10256" t="inlineStr">
        <is>
          <t>Inflection Point Acquisition Corp. VI</t>
        </is>
      </c>
      <c r="C10256" t="inlineStr">
        <is>
          <t>Nasdaq</t>
        </is>
      </c>
      <c r="D10256" t="n">
        <v>2102041</v>
      </c>
      <c r="E10256" t="inlineStr">
        <is>
          <t>SEC</t>
        </is>
      </c>
    </row>
    <row r="10257">
      <c r="A10257" s="5">
        <f>HYPERLINK("https://finance.yahoo.com/quote/IPFXW","IPFXW")</f>
        <v/>
      </c>
      <c r="B10257" t="inlineStr">
        <is>
          <t>Inflection Point Acquisition Corp. VI</t>
        </is>
      </c>
      <c r="C10257" t="inlineStr">
        <is>
          <t>Nasdaq</t>
        </is>
      </c>
      <c r="D10257" t="n">
        <v>2102041</v>
      </c>
      <c r="E10257" t="inlineStr">
        <is>
          <t>SEC</t>
        </is>
      </c>
    </row>
    <row r="10258">
      <c r="A10258" s="5">
        <f>HYPERLINK("https://finance.yahoo.com/quote/AACPR","AACPR")</f>
        <v/>
      </c>
      <c r="B10258" t="inlineStr">
        <is>
          <t>Apogee Acquisition Corp</t>
        </is>
      </c>
      <c r="C10258" t="inlineStr">
        <is>
          <t>Nasdaq</t>
        </is>
      </c>
      <c r="D10258" t="n">
        <v>2102123</v>
      </c>
      <c r="E10258" t="inlineStr">
        <is>
          <t>SEC</t>
        </is>
      </c>
    </row>
    <row r="10259">
      <c r="A10259" s="5">
        <f>HYPERLINK("https://finance.yahoo.com/quote/AACPU","AACPU")</f>
        <v/>
      </c>
      <c r="B10259" t="inlineStr">
        <is>
          <t>Apogee Acquisition Corp</t>
        </is>
      </c>
      <c r="C10259" t="inlineStr">
        <is>
          <t>Nasdaq</t>
        </is>
      </c>
      <c r="D10259" t="n">
        <v>2102123</v>
      </c>
      <c r="E10259" t="inlineStr">
        <is>
          <t>SEC</t>
        </is>
      </c>
    </row>
    <row r="10260">
      <c r="A10260" s="5">
        <f>HYPERLINK("https://finance.yahoo.com/quote/AACPW","AACPW")</f>
        <v/>
      </c>
      <c r="B10260" t="inlineStr">
        <is>
          <t>Apogee Acquisition Corp</t>
        </is>
      </c>
      <c r="C10260" t="inlineStr">
        <is>
          <t>Nasdaq</t>
        </is>
      </c>
      <c r="D10260" t="n">
        <v>2102123</v>
      </c>
      <c r="E10260" t="inlineStr">
        <is>
          <t>SEC</t>
        </is>
      </c>
    </row>
    <row r="10261">
      <c r="A10261" s="5">
        <f>HYPERLINK("https://finance.yahoo.com/quote/QLEP-WT","QLEP-WT")</f>
        <v/>
      </c>
      <c r="B10261" t="inlineStr">
        <is>
          <t>Quantum Leap Acquisition Corp</t>
        </is>
      </c>
      <c r="C10261" t="inlineStr">
        <is>
          <t>NYSE</t>
        </is>
      </c>
      <c r="D10261" t="n">
        <v>2102155</v>
      </c>
      <c r="E10261" t="inlineStr">
        <is>
          <t>SEC</t>
        </is>
      </c>
    </row>
    <row r="10262">
      <c r="A10262" s="5">
        <f>HYPERLINK("https://finance.yahoo.com/quote/KCAC-WT","KCAC-WT")</f>
        <v/>
      </c>
      <c r="B10262" t="inlineStr">
        <is>
          <t>Kensington Capital Acquisition Corp. VI</t>
        </is>
      </c>
      <c r="C10262" t="inlineStr">
        <is>
          <t>NYSE</t>
        </is>
      </c>
      <c r="D10262" t="n">
        <v>2102713</v>
      </c>
      <c r="E10262" t="inlineStr">
        <is>
          <t>SEC</t>
        </is>
      </c>
    </row>
    <row r="10263">
      <c r="A10263" s="5">
        <f>HYPERLINK("https://finance.yahoo.com/quote/KCA-UN","KCA-UN")</f>
        <v/>
      </c>
      <c r="B10263" t="inlineStr">
        <is>
          <t>Kensington Capital Acquisition Corp. VI</t>
        </is>
      </c>
      <c r="C10263" t="inlineStr">
        <is>
          <t>NYSE</t>
        </is>
      </c>
      <c r="D10263" t="n">
        <v>2102713</v>
      </c>
      <c r="E10263" t="inlineStr">
        <is>
          <t>SEC</t>
        </is>
      </c>
    </row>
    <row r="10264">
      <c r="A10264" s="5">
        <f>HYPERLINK("https://finance.yahoo.com/quote/KEYYU","KEYYU")</f>
        <v/>
      </c>
      <c r="B10264" t="inlineStr">
        <is>
          <t>Keystone Acquisition Corp.</t>
        </is>
      </c>
      <c r="C10264" t="inlineStr">
        <is>
          <t>Nasdaq</t>
        </is>
      </c>
      <c r="D10264" t="n">
        <v>2102771</v>
      </c>
      <c r="E10264" t="inlineStr">
        <is>
          <t>SEC</t>
        </is>
      </c>
    </row>
    <row r="10265">
      <c r="A10265" s="5">
        <f>HYPERLINK("https://finance.yahoo.com/quote/KEYYW","KEYYW")</f>
        <v/>
      </c>
      <c r="B10265" t="inlineStr">
        <is>
          <t>Keystone Acquisition Corp.</t>
        </is>
      </c>
      <c r="C10265" t="inlineStr">
        <is>
          <t>Nasdaq</t>
        </is>
      </c>
      <c r="D10265" t="n">
        <v>2102771</v>
      </c>
      <c r="E10265" t="inlineStr">
        <is>
          <t>SEC</t>
        </is>
      </c>
    </row>
    <row r="10266">
      <c r="A10266" s="5">
        <f>HYPERLINK("https://finance.yahoo.com/quote/LTGRU","LTGRU")</f>
        <v/>
      </c>
      <c r="B10266" t="inlineStr">
        <is>
          <t>Long Table Growth Corp.</t>
        </is>
      </c>
      <c r="C10266" t="inlineStr">
        <is>
          <t>Nasdaq</t>
        </is>
      </c>
      <c r="D10266" t="n">
        <v>2104177</v>
      </c>
      <c r="E10266" t="inlineStr">
        <is>
          <t>SEC</t>
        </is>
      </c>
    </row>
    <row r="10267">
      <c r="A10267" s="5">
        <f>HYPERLINK("https://finance.yahoo.com/quote/LTGRW","LTGRW")</f>
        <v/>
      </c>
      <c r="B10267" t="inlineStr">
        <is>
          <t>Long Table Growth Corp.</t>
        </is>
      </c>
      <c r="C10267" t="inlineStr">
        <is>
          <t>Nasdaq</t>
        </is>
      </c>
      <c r="D10267" t="n">
        <v>2104177</v>
      </c>
      <c r="E10267" t="inlineStr">
        <is>
          <t>SEC</t>
        </is>
      </c>
    </row>
    <row r="10268">
      <c r="A10268" s="5">
        <f>HYPERLINK("https://finance.yahoo.com/quote/WENC-RI","WENC-RI")</f>
        <v/>
      </c>
      <c r="B10268" t="inlineStr">
        <is>
          <t>West Enclave Merger Corp.</t>
        </is>
      </c>
      <c r="C10268" t="inlineStr">
        <is>
          <t>NYSE</t>
        </is>
      </c>
      <c r="D10268" t="n">
        <v>2104260</v>
      </c>
      <c r="E10268" t="inlineStr">
        <is>
          <t>SEC</t>
        </is>
      </c>
    </row>
    <row r="10269">
      <c r="A10269" s="5">
        <f>HYPERLINK("https://finance.yahoo.com/quote/WENC-UN","WENC-UN")</f>
        <v/>
      </c>
      <c r="B10269" t="inlineStr">
        <is>
          <t>West Enclave Merger Corp.</t>
        </is>
      </c>
      <c r="C10269" t="inlineStr">
        <is>
          <t>NYSE</t>
        </is>
      </c>
      <c r="D10269" t="n">
        <v>2104260</v>
      </c>
      <c r="E10269" t="inlineStr">
        <is>
          <t>SEC</t>
        </is>
      </c>
    </row>
    <row r="10270">
      <c r="A10270" s="5">
        <f>HYPERLINK("https://finance.yahoo.com/quote/CATLR","CATLR")</f>
        <v/>
      </c>
      <c r="B10270" t="inlineStr">
        <is>
          <t>Catalyst Acquisition Corp.</t>
        </is>
      </c>
      <c r="C10270" t="inlineStr">
        <is>
          <t>Nasdaq</t>
        </is>
      </c>
      <c r="D10270" t="n">
        <v>2104391</v>
      </c>
      <c r="E10270" t="inlineStr">
        <is>
          <t>SEC</t>
        </is>
      </c>
    </row>
    <row r="10271">
      <c r="A10271" s="5">
        <f>HYPERLINK("https://finance.yahoo.com/quote/CATLU","CATLU")</f>
        <v/>
      </c>
      <c r="B10271" t="inlineStr">
        <is>
          <t>Catalyst Acquisition Corp.</t>
        </is>
      </c>
      <c r="C10271" t="inlineStr">
        <is>
          <t>Nasdaq</t>
        </is>
      </c>
      <c r="D10271" t="n">
        <v>2104391</v>
      </c>
      <c r="E10271" t="inlineStr">
        <is>
          <t>SEC</t>
        </is>
      </c>
    </row>
    <row r="10272">
      <c r="A10272" s="5">
        <f>HYPERLINK("https://finance.yahoo.com/quote/SHOTR","SHOTR")</f>
        <v/>
      </c>
      <c r="B10272" t="inlineStr">
        <is>
          <t>RMG ML Sports Holdings</t>
        </is>
      </c>
      <c r="C10272" t="inlineStr">
        <is>
          <t>Nasdaq</t>
        </is>
      </c>
      <c r="D10272" t="n">
        <v>2104879</v>
      </c>
      <c r="E10272" t="inlineStr">
        <is>
          <t>SEC</t>
        </is>
      </c>
    </row>
    <row r="10273">
      <c r="A10273" s="5">
        <f>HYPERLINK("https://finance.yahoo.com/quote/SHOTU","SHOTU")</f>
        <v/>
      </c>
      <c r="B10273" t="inlineStr">
        <is>
          <t>RMG ML Sports Holdings</t>
        </is>
      </c>
      <c r="C10273" t="inlineStr">
        <is>
          <t>Nasdaq</t>
        </is>
      </c>
      <c r="D10273" t="n">
        <v>2104879</v>
      </c>
      <c r="E10273" t="inlineStr">
        <is>
          <t>SEC</t>
        </is>
      </c>
    </row>
    <row r="10274">
      <c r="A10274" s="5">
        <f>HYPERLINK("https://finance.yahoo.com/quote/IPVVU","IPVVU")</f>
        <v/>
      </c>
      <c r="B10274" t="inlineStr">
        <is>
          <t>InterPrivate Investment Partners V, Inc.</t>
        </is>
      </c>
      <c r="C10274" t="inlineStr">
        <is>
          <t>Nasdaq</t>
        </is>
      </c>
      <c r="D10274" t="n">
        <v>2105274</v>
      </c>
      <c r="E10274" t="inlineStr">
        <is>
          <t>SEC</t>
        </is>
      </c>
    </row>
    <row r="10275">
      <c r="A10275" s="5">
        <f>HYPERLINK("https://finance.yahoo.com/quote/IPVVW","IPVVW")</f>
        <v/>
      </c>
      <c r="B10275" t="inlineStr">
        <is>
          <t>InterPrivate Investment Partners V, Inc.</t>
        </is>
      </c>
      <c r="C10275" t="inlineStr">
        <is>
          <t>Nasdaq</t>
        </is>
      </c>
      <c r="D10275" t="n">
        <v>2105274</v>
      </c>
      <c r="E10275" t="inlineStr">
        <is>
          <t>SEC</t>
        </is>
      </c>
    </row>
    <row r="10276">
      <c r="A10276" s="5">
        <f>HYPERLINK("https://finance.yahoo.com/quote/SUMAR","SUMAR")</f>
        <v/>
      </c>
      <c r="B10276" t="inlineStr">
        <is>
          <t>SUMA Acquisition Corp</t>
        </is>
      </c>
      <c r="C10276" t="inlineStr">
        <is>
          <t>Nasdaq</t>
        </is>
      </c>
      <c r="D10276" t="n">
        <v>2105838</v>
      </c>
      <c r="E10276" t="inlineStr">
        <is>
          <t>SEC</t>
        </is>
      </c>
    </row>
    <row r="10277">
      <c r="A10277" s="5">
        <f>HYPERLINK("https://finance.yahoo.com/quote/SUMAU","SUMAU")</f>
        <v/>
      </c>
      <c r="B10277" t="inlineStr">
        <is>
          <t>SUMA Acquisition Corp</t>
        </is>
      </c>
      <c r="C10277" t="inlineStr">
        <is>
          <t>Nasdaq</t>
        </is>
      </c>
      <c r="D10277" t="n">
        <v>2105838</v>
      </c>
      <c r="E10277" t="inlineStr">
        <is>
          <t>SEC</t>
        </is>
      </c>
    </row>
    <row r="10278">
      <c r="A10278" s="5">
        <f>HYPERLINK("https://finance.yahoo.com/quote/EURBF","EURBF")</f>
        <v/>
      </c>
      <c r="B10278" t="inlineStr">
        <is>
          <t>Eurobank SA/ADR</t>
        </is>
      </c>
      <c r="C10278" t="inlineStr">
        <is>
          <t>OTC</t>
        </is>
      </c>
      <c r="D10278" t="n">
        <v>2106126</v>
      </c>
      <c r="E10278" t="inlineStr">
        <is>
          <t>SEC</t>
        </is>
      </c>
    </row>
    <row r="10279">
      <c r="A10279" s="5">
        <f>HYPERLINK("https://finance.yahoo.com/quote/MRCOU","MRCOU")</f>
        <v/>
      </c>
      <c r="B10279" t="inlineStr">
        <is>
          <t>Mercator Acquisition Corp.</t>
        </is>
      </c>
      <c r="C10279" t="inlineStr">
        <is>
          <t>Nasdaq</t>
        </is>
      </c>
      <c r="D10279" t="n">
        <v>2106436</v>
      </c>
      <c r="E10279" t="inlineStr">
        <is>
          <t>SEC</t>
        </is>
      </c>
    </row>
    <row r="10280">
      <c r="A10280" s="5">
        <f>HYPERLINK("https://finance.yahoo.com/quote/MRCOW","MRCOW")</f>
        <v/>
      </c>
      <c r="B10280" t="inlineStr">
        <is>
          <t>Mercator Acquisition Corp.</t>
        </is>
      </c>
      <c r="C10280" t="inlineStr">
        <is>
          <t>Nasdaq</t>
        </is>
      </c>
      <c r="D10280" t="n">
        <v>2106436</v>
      </c>
      <c r="E10280" t="inlineStr">
        <is>
          <t>SEC</t>
        </is>
      </c>
    </row>
    <row r="10281">
      <c r="A10281" s="5">
        <f>HYPERLINK("https://finance.yahoo.com/quote/SBIBF","SBIBF")</f>
        <v/>
      </c>
      <c r="B10281" t="inlineStr">
        <is>
          <t>SBI Shinsei Bank, Limited/ADR</t>
        </is>
      </c>
      <c r="C10281" t="inlineStr">
        <is>
          <t>OTC</t>
        </is>
      </c>
      <c r="D10281" t="n">
        <v>2107375</v>
      </c>
      <c r="E10281" t="inlineStr">
        <is>
          <t>SEC</t>
        </is>
      </c>
    </row>
    <row r="10282">
      <c r="A10282" s="5">
        <f>HYPERLINK("https://finance.yahoo.com/quote/MTAL-UN","MTAL-UN")</f>
        <v/>
      </c>
      <c r="B10282" t="inlineStr">
        <is>
          <t>Metals Acquisition Corp. II</t>
        </is>
      </c>
      <c r="C10282" t="inlineStr">
        <is>
          <t>NYSE</t>
        </is>
      </c>
      <c r="D10282" t="n">
        <v>2107724</v>
      </c>
      <c r="E10282" t="inlineStr">
        <is>
          <t>SEC</t>
        </is>
      </c>
    </row>
    <row r="10283">
      <c r="A10283" s="5">
        <f>HYPERLINK("https://finance.yahoo.com/quote/MTAL-WT","MTAL-WT")</f>
        <v/>
      </c>
      <c r="B10283" t="inlineStr">
        <is>
          <t>Metals Acquisition Corp. II</t>
        </is>
      </c>
      <c r="C10283" t="inlineStr">
        <is>
          <t>NYSE</t>
        </is>
      </c>
      <c r="D10283" t="n">
        <v>2107724</v>
      </c>
      <c r="E10283" t="inlineStr">
        <is>
          <t>SEC</t>
        </is>
      </c>
    </row>
    <row r="10284">
      <c r="A10284" s="5">
        <f>HYPERLINK("https://finance.yahoo.com/quote/YMTKF","YMTKF")</f>
        <v/>
      </c>
      <c r="B10284" t="inlineStr">
        <is>
          <t>Yamato Kogyo Co. Ltd/ADR</t>
        </is>
      </c>
      <c r="C10284" t="inlineStr">
        <is>
          <t>OTC</t>
        </is>
      </c>
      <c r="D10284" t="n">
        <v>2107946</v>
      </c>
      <c r="E10284" t="inlineStr">
        <is>
          <t>SEC</t>
        </is>
      </c>
    </row>
    <row r="10285">
      <c r="A10285" s="5">
        <f>HYPERLINK("https://finance.yahoo.com/quote/SWCPF","SWCPF")</f>
        <v/>
      </c>
      <c r="B10285" t="inlineStr">
        <is>
          <t>SWCC Corp/ADR</t>
        </is>
      </c>
      <c r="C10285" t="inlineStr">
        <is>
          <t>OTC</t>
        </is>
      </c>
      <c r="D10285" t="n">
        <v>2107960</v>
      </c>
      <c r="E10285" t="inlineStr">
        <is>
          <t>SEC</t>
        </is>
      </c>
    </row>
    <row r="10286">
      <c r="A10286" s="5">
        <f>HYPERLINK("https://finance.yahoo.com/quote/KELRF","KELRF")</f>
        <v/>
      </c>
      <c r="B10286" t="inlineStr">
        <is>
          <t>Keisei Electric Railway Co. Ltd/ADR</t>
        </is>
      </c>
      <c r="C10286" t="inlineStr">
        <is>
          <t>OTC</t>
        </is>
      </c>
      <c r="D10286" t="n">
        <v>2107989</v>
      </c>
      <c r="E10286" t="inlineStr">
        <is>
          <t>SEC</t>
        </is>
      </c>
    </row>
    <row r="10287">
      <c r="A10287" s="5">
        <f>HYPERLINK("https://finance.yahoo.com/quote/ODERF","ODERF")</f>
        <v/>
      </c>
      <c r="B10287" t="inlineStr">
        <is>
          <t>Odakyu Electric Railway Co., Ltd./ADR</t>
        </is>
      </c>
      <c r="C10287" t="inlineStr">
        <is>
          <t>OTC</t>
        </is>
      </c>
      <c r="D10287" t="n">
        <v>2108124</v>
      </c>
      <c r="E10287" t="inlineStr">
        <is>
          <t>SEC</t>
        </is>
      </c>
    </row>
    <row r="10288">
      <c r="A10288" s="5">
        <f>HYPERLINK("https://finance.yahoo.com/quote/PONOR","PONOR")</f>
        <v/>
      </c>
      <c r="B10288" t="inlineStr">
        <is>
          <t>Pono Capital Four, Inc.</t>
        </is>
      </c>
      <c r="C10288" t="inlineStr">
        <is>
          <t>Nasdaq</t>
        </is>
      </c>
      <c r="D10288" t="n">
        <v>2108164</v>
      </c>
      <c r="E10288" t="inlineStr">
        <is>
          <t>SEC</t>
        </is>
      </c>
    </row>
    <row r="10289">
      <c r="A10289" s="5">
        <f>HYPERLINK("https://finance.yahoo.com/quote/PONOU","PONOU")</f>
        <v/>
      </c>
      <c r="B10289" t="inlineStr">
        <is>
          <t>Pono Capital Four, Inc.</t>
        </is>
      </c>
      <c r="C10289" t="inlineStr">
        <is>
          <t>Nasdaq</t>
        </is>
      </c>
      <c r="D10289" t="n">
        <v>2108164</v>
      </c>
      <c r="E10289" t="inlineStr">
        <is>
          <t>SEC</t>
        </is>
      </c>
    </row>
    <row r="10290">
      <c r="A10290" s="5">
        <f>HYPERLINK("https://finance.yahoo.com/quote/NOFCF","NOFCF")</f>
        <v/>
      </c>
      <c r="B10290" t="inlineStr">
        <is>
          <t>NOF Corporation/ADR</t>
        </is>
      </c>
      <c r="C10290" t="inlineStr">
        <is>
          <t>OTC</t>
        </is>
      </c>
      <c r="D10290" t="n">
        <v>2108180</v>
      </c>
      <c r="E10290" t="inlineStr">
        <is>
          <t>SEC</t>
        </is>
      </c>
    </row>
    <row r="10291">
      <c r="A10291" s="5">
        <f>HYPERLINK("https://finance.yahoo.com/quote/YMATF","YMATF")</f>
        <v/>
      </c>
      <c r="B10291" t="inlineStr">
        <is>
          <t>Azbil Corporation/ADR</t>
        </is>
      </c>
      <c r="C10291" t="inlineStr">
        <is>
          <t>OTC</t>
        </is>
      </c>
      <c r="D10291" t="n">
        <v>2108185</v>
      </c>
      <c r="E10291" t="inlineStr">
        <is>
          <t>SEC</t>
        </is>
      </c>
    </row>
    <row r="10292">
      <c r="A10292" s="5">
        <f>HYPERLINK("https://finance.yahoo.com/quote/GCGRU","GCGRU")</f>
        <v/>
      </c>
      <c r="B10292" t="inlineStr">
        <is>
          <t>General Catalyst Global Resilience Merger Corp.</t>
        </is>
      </c>
      <c r="C10292" t="inlineStr">
        <is>
          <t>Nasdaq</t>
        </is>
      </c>
      <c r="D10292" t="n">
        <v>2108962</v>
      </c>
      <c r="E10292" t="inlineStr">
        <is>
          <t>SEC</t>
        </is>
      </c>
    </row>
    <row r="10293">
      <c r="A10293" s="5">
        <f>HYPERLINK("https://finance.yahoo.com/quote/GCGRW","GCGRW")</f>
        <v/>
      </c>
      <c r="B10293" t="inlineStr">
        <is>
          <t>General Catalyst Global Resilience Merger Corp.</t>
        </is>
      </c>
      <c r="C10293" t="inlineStr">
        <is>
          <t>Nasdaq</t>
        </is>
      </c>
      <c r="D10293" t="n">
        <v>2108962</v>
      </c>
      <c r="E10293" t="inlineStr">
        <is>
          <t>SEC</t>
        </is>
      </c>
    </row>
    <row r="10294">
      <c r="A10294" s="5">
        <f>HYPERLINK("https://finance.yahoo.com/quote/BLHWF","BLHWF")</f>
        <v/>
      </c>
      <c r="B10294" t="inlineStr">
        <is>
          <t>BELIMO Holding AG/ADR</t>
        </is>
      </c>
      <c r="C10294" t="inlineStr">
        <is>
          <t>OTC</t>
        </is>
      </c>
      <c r="D10294" t="n">
        <v>2109234</v>
      </c>
      <c r="E10294" t="inlineStr">
        <is>
          <t>SEC</t>
        </is>
      </c>
    </row>
    <row r="10295">
      <c r="A10295" s="5">
        <f>HYPERLINK("https://finance.yahoo.com/quote/KATJF","KATJF")</f>
        <v/>
      </c>
      <c r="B10295" t="inlineStr">
        <is>
          <t>Knowledge Atlas Technology Joint Stock Co Limited/ADR</t>
        </is>
      </c>
      <c r="C10295" t="inlineStr">
        <is>
          <t>OTC</t>
        </is>
      </c>
      <c r="D10295" t="n">
        <v>2109545</v>
      </c>
      <c r="E10295" t="inlineStr">
        <is>
          <t>SEC</t>
        </is>
      </c>
    </row>
    <row r="10296">
      <c r="A10296" s="5">
        <f>HYPERLINK("https://finance.yahoo.com/quote/KNWAY","KNWAY")</f>
        <v/>
      </c>
      <c r="B10296" t="inlineStr">
        <is>
          <t>Knowledge Atlas Technology Joint Stock Co Limited/ADR</t>
        </is>
      </c>
      <c r="C10296" t="inlineStr">
        <is>
          <t>OTC</t>
        </is>
      </c>
      <c r="D10296" t="n">
        <v>2109545</v>
      </c>
      <c r="E10296" t="inlineStr">
        <is>
          <t>SEC</t>
        </is>
      </c>
    </row>
    <row r="10297">
      <c r="A10297" s="5">
        <f>HYPERLINK("https://finance.yahoo.com/quote/GIDHF","GIDHF")</f>
        <v/>
      </c>
      <c r="B10297" t="inlineStr">
        <is>
          <t>GigaDevice Semiconductor Inc./ADR</t>
        </is>
      </c>
      <c r="C10297" t="inlineStr">
        <is>
          <t>OTC</t>
        </is>
      </c>
      <c r="D10297" t="n">
        <v>2109547</v>
      </c>
      <c r="E10297" t="inlineStr">
        <is>
          <t>SEC</t>
        </is>
      </c>
    </row>
    <row r="10298">
      <c r="A10298" s="5">
        <f>HYPERLINK("https://finance.yahoo.com/quote/MNMXF","MNMXF")</f>
        <v/>
      </c>
      <c r="B10298" t="inlineStr">
        <is>
          <t>Minimax Group Inc./ADR</t>
        </is>
      </c>
      <c r="C10298" t="inlineStr">
        <is>
          <t>OTC</t>
        </is>
      </c>
      <c r="D10298" t="n">
        <v>2109556</v>
      </c>
      <c r="E10298" t="inlineStr">
        <is>
          <t>SEC</t>
        </is>
      </c>
    </row>
    <row r="10299">
      <c r="A10299" s="5">
        <f>HYPERLINK("https://finance.yahoo.com/quote/EXOSF","EXOSF")</f>
        <v/>
      </c>
      <c r="B10299" t="inlineStr">
        <is>
          <t>Exosens SAS/ADR</t>
        </is>
      </c>
      <c r="C10299" t="inlineStr">
        <is>
          <t>OTC</t>
        </is>
      </c>
      <c r="D10299" t="n">
        <v>2109666</v>
      </c>
      <c r="E10299" t="inlineStr">
        <is>
          <t>SEC</t>
        </is>
      </c>
    </row>
    <row r="10300">
      <c r="A10300" s="5">
        <f>HYPERLINK("https://finance.yahoo.com/quote/LEDRU","LEDRU")</f>
        <v/>
      </c>
      <c r="B10300" t="inlineStr">
        <is>
          <t>Leader's Advantage Acquisition Corp.</t>
        </is>
      </c>
      <c r="C10300" t="inlineStr">
        <is>
          <t>Nasdaq</t>
        </is>
      </c>
      <c r="D10300" t="n">
        <v>2109823</v>
      </c>
      <c r="E10300" t="inlineStr">
        <is>
          <t>SEC</t>
        </is>
      </c>
    </row>
    <row r="10301">
      <c r="A10301" s="5">
        <f>HYPERLINK("https://finance.yahoo.com/quote/XLABW","XLABW")</f>
        <v/>
      </c>
      <c r="B10301" t="inlineStr">
        <is>
          <t>Exascale Labs Holdings Inc.</t>
        </is>
      </c>
      <c r="C10301" t="inlineStr">
        <is>
          <t>Nasdaq</t>
        </is>
      </c>
      <c r="D10301" t="n">
        <v>2109869</v>
      </c>
      <c r="E10301" t="inlineStr">
        <is>
          <t>SEC</t>
        </is>
      </c>
    </row>
    <row r="10302">
      <c r="A10302" s="5">
        <f>HYPERLINK("https://finance.yahoo.com/quote/MCAHR","MCAHR")</f>
        <v/>
      </c>
      <c r="B10302" t="inlineStr">
        <is>
          <t>Mountain Crest Acquisition 6 Corp.</t>
        </is>
      </c>
      <c r="C10302" t="inlineStr">
        <is>
          <t>Nasdaq</t>
        </is>
      </c>
      <c r="D10302" t="n">
        <v>2109876</v>
      </c>
      <c r="E10302" t="inlineStr">
        <is>
          <t>SEC</t>
        </is>
      </c>
    </row>
    <row r="10303">
      <c r="A10303" s="5">
        <f>HYPERLINK("https://finance.yahoo.com/quote/MCAHU","MCAHU")</f>
        <v/>
      </c>
      <c r="B10303" t="inlineStr">
        <is>
          <t>Mountain Crest Acquisition 6 Corp.</t>
        </is>
      </c>
      <c r="C10303" t="inlineStr">
        <is>
          <t>Nasdaq</t>
        </is>
      </c>
      <c r="D10303" t="n">
        <v>2109876</v>
      </c>
      <c r="E10303" t="inlineStr">
        <is>
          <t>SEC</t>
        </is>
      </c>
    </row>
    <row r="10304">
      <c r="A10304" s="5">
        <f>HYPERLINK("https://finance.yahoo.com/quote/AMACU","AMACU")</f>
        <v/>
      </c>
      <c r="B10304" t="inlineStr">
        <is>
          <t>AMR Resources Acquisition Corp.</t>
        </is>
      </c>
      <c r="C10304" t="inlineStr">
        <is>
          <t>Nasdaq</t>
        </is>
      </c>
      <c r="D10304" t="n">
        <v>2110119</v>
      </c>
      <c r="E10304" t="inlineStr">
        <is>
          <t>SEC</t>
        </is>
      </c>
    </row>
    <row r="10305">
      <c r="A10305" s="5">
        <f>HYPERLINK("https://finance.yahoo.com/quote/AMACW","AMACW")</f>
        <v/>
      </c>
      <c r="B10305" t="inlineStr">
        <is>
          <t>AMR Resources Acquisition Corp.</t>
        </is>
      </c>
      <c r="C10305" t="inlineStr">
        <is>
          <t>Nasdaq</t>
        </is>
      </c>
      <c r="D10305" t="n">
        <v>2110119</v>
      </c>
      <c r="E10305" t="inlineStr">
        <is>
          <t>SEC</t>
        </is>
      </c>
    </row>
    <row r="10306">
      <c r="A10306" s="5">
        <f>HYPERLINK("https://finance.yahoo.com/quote/DGAC-RI","DGAC-RI")</f>
        <v/>
      </c>
      <c r="B10306" t="inlineStr">
        <is>
          <t>DISCIPLINED GROWTH ACQUISITION Corp</t>
        </is>
      </c>
      <c r="C10306" t="inlineStr">
        <is>
          <t>NYSE</t>
        </is>
      </c>
      <c r="D10306" t="n">
        <v>2111038</v>
      </c>
      <c r="E10306" t="inlineStr">
        <is>
          <t>SEC</t>
        </is>
      </c>
    </row>
    <row r="10307">
      <c r="A10307" s="5">
        <f>HYPERLINK("https://finance.yahoo.com/quote/DGAC-UN","DGAC-UN")</f>
        <v/>
      </c>
      <c r="B10307" t="inlineStr">
        <is>
          <t>DISCIPLINED GROWTH ACQUISITION Corp</t>
        </is>
      </c>
      <c r="C10307" t="inlineStr">
        <is>
          <t>NYSE</t>
        </is>
      </c>
      <c r="D10307" t="n">
        <v>2111038</v>
      </c>
      <c r="E10307" t="inlineStr">
        <is>
          <t>SEC</t>
        </is>
      </c>
    </row>
    <row r="10308">
      <c r="A10308" s="5">
        <f>HYPERLINK("https://finance.yahoo.com/quote/ACGCU","ACGCU")</f>
        <v/>
      </c>
      <c r="B10308" t="inlineStr">
        <is>
          <t>ACP Holdings Acquisition Corp.</t>
        </is>
      </c>
      <c r="C10308" t="inlineStr">
        <is>
          <t>Nasdaq</t>
        </is>
      </c>
      <c r="D10308" t="n">
        <v>2111542</v>
      </c>
      <c r="E10308" t="inlineStr">
        <is>
          <t>SEC</t>
        </is>
      </c>
    </row>
    <row r="10309">
      <c r="A10309" s="5">
        <f>HYPERLINK("https://finance.yahoo.com/quote/ACGCW","ACGCW")</f>
        <v/>
      </c>
      <c r="B10309" t="inlineStr">
        <is>
          <t>ACP Holdings Acquisition Corp.</t>
        </is>
      </c>
      <c r="C10309" t="inlineStr">
        <is>
          <t>Nasdaq</t>
        </is>
      </c>
      <c r="D10309" t="n">
        <v>2111542</v>
      </c>
      <c r="E10309" t="inlineStr">
        <is>
          <t>SEC</t>
        </is>
      </c>
    </row>
    <row r="10310">
      <c r="A10310" s="5">
        <f>HYPERLINK("https://finance.yahoo.com/quote/GSRVR","GSRVR")</f>
        <v/>
      </c>
      <c r="B10310" t="inlineStr">
        <is>
          <t>GSR V Acquisition Corp.</t>
        </is>
      </c>
      <c r="C10310" t="inlineStr">
        <is>
          <t>Nasdaq</t>
        </is>
      </c>
      <c r="D10310" t="n">
        <v>2111762</v>
      </c>
      <c r="E10310" t="inlineStr">
        <is>
          <t>SEC</t>
        </is>
      </c>
    </row>
    <row r="10311">
      <c r="A10311" s="5">
        <f>HYPERLINK("https://finance.yahoo.com/quote/GSRVU","GSRVU")</f>
        <v/>
      </c>
      <c r="B10311" t="inlineStr">
        <is>
          <t>GSR V Acquisition Corp.</t>
        </is>
      </c>
      <c r="C10311" t="inlineStr">
        <is>
          <t>Nasdaq</t>
        </is>
      </c>
      <c r="D10311" t="n">
        <v>2111762</v>
      </c>
      <c r="E10311" t="inlineStr">
        <is>
          <t>SEC</t>
        </is>
      </c>
    </row>
    <row r="10312">
      <c r="A10312" s="5">
        <f>HYPERLINK("https://finance.yahoo.com/quote/HYAC-UN","HYAC-UN")</f>
        <v/>
      </c>
      <c r="B10312" t="inlineStr">
        <is>
          <t>Haymaker Acquisition Corp V</t>
        </is>
      </c>
      <c r="C10312" t="inlineStr">
        <is>
          <t>NYSE</t>
        </is>
      </c>
      <c r="D10312" t="n">
        <v>2111838</v>
      </c>
      <c r="E10312" t="inlineStr">
        <is>
          <t>SEC</t>
        </is>
      </c>
    </row>
    <row r="10313">
      <c r="A10313" s="5">
        <f>HYPERLINK("https://finance.yahoo.com/quote/IQMXW","IQMXW")</f>
        <v/>
      </c>
      <c r="B10313" t="inlineStr">
        <is>
          <t>IQM Quantum Computers Oyj</t>
        </is>
      </c>
      <c r="C10313" t="inlineStr">
        <is>
          <t>Nasdaq</t>
        </is>
      </c>
      <c r="D10313" t="n">
        <v>2113060</v>
      </c>
      <c r="E10313" t="inlineStr">
        <is>
          <t>SEC</t>
        </is>
      </c>
    </row>
    <row r="10314">
      <c r="A10314" s="5">
        <f>HYPERLINK("https://finance.yahoo.com/quote/OSPRU","OSPRU")</f>
        <v/>
      </c>
      <c r="B10314" t="inlineStr">
        <is>
          <t>Osprey Acquisition Corp. III</t>
        </is>
      </c>
      <c r="C10314" t="inlineStr">
        <is>
          <t>Nasdaq</t>
        </is>
      </c>
      <c r="D10314" t="n">
        <v>2113481</v>
      </c>
      <c r="E10314" t="inlineStr">
        <is>
          <t>SEC</t>
        </is>
      </c>
    </row>
    <row r="10315">
      <c r="A10315" s="5">
        <f>HYPERLINK("https://finance.yahoo.com/quote/OSPRW","OSPRW")</f>
        <v/>
      </c>
      <c r="B10315" t="inlineStr">
        <is>
          <t>Osprey Acquisition Corp. III</t>
        </is>
      </c>
      <c r="C10315" t="inlineStr">
        <is>
          <t>Nasdaq</t>
        </is>
      </c>
      <c r="D10315" t="n">
        <v>2113481</v>
      </c>
      <c r="E10315" t="inlineStr">
        <is>
          <t>SEC</t>
        </is>
      </c>
    </row>
    <row r="10316">
      <c r="A10316" s="5">
        <f>HYPERLINK("https://finance.yahoo.com/quote/CXIIU","CXIIU")</f>
        <v/>
      </c>
      <c r="B10316" t="inlineStr">
        <is>
          <t>Churchill Capital Corp XII</t>
        </is>
      </c>
      <c r="C10316" t="inlineStr">
        <is>
          <t>Nasdaq</t>
        </is>
      </c>
      <c r="D10316" t="n">
        <v>2114227</v>
      </c>
      <c r="E10316" t="inlineStr">
        <is>
          <t>SEC</t>
        </is>
      </c>
    </row>
    <row r="10317">
      <c r="A10317" s="5">
        <f>HYPERLINK("https://finance.yahoo.com/quote/CXIIW","CXIIW")</f>
        <v/>
      </c>
      <c r="B10317" t="inlineStr">
        <is>
          <t>Churchill Capital Corp XII</t>
        </is>
      </c>
      <c r="C10317" t="inlineStr">
        <is>
          <t>Nasdaq</t>
        </is>
      </c>
      <c r="D10317" t="n">
        <v>2114227</v>
      </c>
      <c r="E10317" t="inlineStr">
        <is>
          <t>SEC</t>
        </is>
      </c>
    </row>
    <row r="10318">
      <c r="A10318" s="5">
        <f>HYPERLINK("https://finance.yahoo.com/quote/XIIIU","XIIIU")</f>
        <v/>
      </c>
      <c r="B10318" t="inlineStr">
        <is>
          <t>Churchill Capital Corp XIII</t>
        </is>
      </c>
      <c r="C10318" t="inlineStr">
        <is>
          <t>Nasdaq</t>
        </is>
      </c>
      <c r="D10318" t="n">
        <v>2114229</v>
      </c>
      <c r="E10318" t="inlineStr">
        <is>
          <t>SEC</t>
        </is>
      </c>
    </row>
    <row r="10319">
      <c r="A10319" s="5">
        <f>HYPERLINK("https://finance.yahoo.com/quote/XIIIW","XIIIW")</f>
        <v/>
      </c>
      <c r="B10319" t="inlineStr">
        <is>
          <t>Churchill Capital Corp XIII</t>
        </is>
      </c>
      <c r="C10319" t="inlineStr">
        <is>
          <t>Nasdaq</t>
        </is>
      </c>
      <c r="D10319" t="n">
        <v>2114229</v>
      </c>
      <c r="E10319" t="inlineStr">
        <is>
          <t>SEC</t>
        </is>
      </c>
    </row>
    <row r="10320">
      <c r="A10320" s="5">
        <f>HYPERLINK("https://finance.yahoo.com/quote/CSBA","CSBA")</f>
        <v/>
      </c>
      <c r="B10320" t="inlineStr">
        <is>
          <t>CSB Financial Inc.</t>
        </is>
      </c>
      <c r="C10320" t="inlineStr">
        <is>
          <t>OTC</t>
        </is>
      </c>
      <c r="D10320" t="n">
        <v>2114521</v>
      </c>
      <c r="E10320" t="inlineStr">
        <is>
          <t>SEC</t>
        </is>
      </c>
    </row>
    <row r="10321">
      <c r="A10321" s="5">
        <f>HYPERLINK("https://finance.yahoo.com/quote/LOVIU","LOVIU")</f>
        <v/>
      </c>
      <c r="B10321" t="inlineStr">
        <is>
          <t>Live Oak Acquisition Corp. VI</t>
        </is>
      </c>
      <c r="C10321" t="inlineStr">
        <is>
          <t>Nasdaq</t>
        </is>
      </c>
      <c r="D10321" t="n">
        <v>2115191</v>
      </c>
      <c r="E10321" t="inlineStr">
        <is>
          <t>SEC</t>
        </is>
      </c>
    </row>
    <row r="10322">
      <c r="A10322" s="5">
        <f>HYPERLINK("https://finance.yahoo.com/quote/CAIIU","CAIIU")</f>
        <v/>
      </c>
      <c r="B10322" t="inlineStr">
        <is>
          <t>Collective Acquisition Corp. II</t>
        </is>
      </c>
      <c r="C10322" t="inlineStr">
        <is>
          <t>Nasdaq</t>
        </is>
      </c>
      <c r="D10322" t="n">
        <v>2115404</v>
      </c>
      <c r="E10322" t="inlineStr">
        <is>
          <t>SEC</t>
        </is>
      </c>
    </row>
    <row r="10323">
      <c r="A10323" s="5">
        <f>HYPERLINK("https://finance.yahoo.com/quote/CAIIW","CAIIW")</f>
        <v/>
      </c>
      <c r="B10323" t="inlineStr">
        <is>
          <t>Collective Acquisition Corp. II</t>
        </is>
      </c>
      <c r="C10323" t="inlineStr">
        <is>
          <t>Nasdaq</t>
        </is>
      </c>
      <c r="D10323" t="n">
        <v>2115404</v>
      </c>
      <c r="E10323" t="inlineStr">
        <is>
          <t>SEC</t>
        </is>
      </c>
    </row>
    <row r="10324">
      <c r="A10324" s="5">
        <f>HYPERLINK("https://finance.yahoo.com/quote/FWACR","FWACR")</f>
        <v/>
      </c>
      <c r="B10324" t="inlineStr">
        <is>
          <t>Futurewave Acquisition Corp</t>
        </is>
      </c>
      <c r="C10324" t="inlineStr">
        <is>
          <t>Nasdaq</t>
        </is>
      </c>
      <c r="D10324" t="n">
        <v>2116105</v>
      </c>
      <c r="E10324" t="inlineStr">
        <is>
          <t>SEC</t>
        </is>
      </c>
    </row>
    <row r="10325">
      <c r="A10325" s="5">
        <f>HYPERLINK("https://finance.yahoo.com/quote/FWACU","FWACU")</f>
        <v/>
      </c>
      <c r="B10325" t="inlineStr">
        <is>
          <t>Futurewave Acquisition Corp</t>
        </is>
      </c>
      <c r="C10325" t="inlineStr">
        <is>
          <t>Nasdaq</t>
        </is>
      </c>
      <c r="D10325" t="n">
        <v>2116105</v>
      </c>
      <c r="E10325" t="inlineStr">
        <is>
          <t>SEC</t>
        </is>
      </c>
    </row>
    <row r="10326">
      <c r="A10326" s="5">
        <f>HYPERLINK("https://finance.yahoo.com/quote/FWACW","FWACW")</f>
        <v/>
      </c>
      <c r="B10326" t="inlineStr">
        <is>
          <t>Futurewave Acquisition Corp</t>
        </is>
      </c>
      <c r="C10326" t="inlineStr">
        <is>
          <t>Nasdaq</t>
        </is>
      </c>
      <c r="D10326" t="n">
        <v>2116105</v>
      </c>
      <c r="E10326" t="inlineStr">
        <is>
          <t>SEC</t>
        </is>
      </c>
    </row>
    <row r="10327">
      <c r="A10327" s="5">
        <f>HYPERLINK("https://finance.yahoo.com/quote/NCOOR","NCOOR")</f>
        <v/>
      </c>
      <c r="B10327" t="inlineStr">
        <is>
          <t>Southern Cross Acquisition I Corp.</t>
        </is>
      </c>
      <c r="C10327" t="inlineStr">
        <is>
          <t>Nasdaq</t>
        </is>
      </c>
      <c r="D10327" t="n">
        <v>2116230</v>
      </c>
      <c r="E10327" t="inlineStr">
        <is>
          <t>SEC</t>
        </is>
      </c>
    </row>
    <row r="10328">
      <c r="A10328" s="5">
        <f>HYPERLINK("https://finance.yahoo.com/quote/NCOOU","NCOOU")</f>
        <v/>
      </c>
      <c r="B10328" t="inlineStr">
        <is>
          <t>Southern Cross Acquisition I Corp.</t>
        </is>
      </c>
      <c r="C10328" t="inlineStr">
        <is>
          <t>Nasdaq</t>
        </is>
      </c>
      <c r="D10328" t="n">
        <v>2116230</v>
      </c>
      <c r="E10328" t="inlineStr">
        <is>
          <t>SEC</t>
        </is>
      </c>
    </row>
    <row r="10329">
      <c r="A10329" s="5">
        <f>HYPERLINK("https://finance.yahoo.com/quote/NCOOW","NCOOW")</f>
        <v/>
      </c>
      <c r="B10329" t="inlineStr">
        <is>
          <t>Southern Cross Acquisition I Corp.</t>
        </is>
      </c>
      <c r="C10329" t="inlineStr">
        <is>
          <t>Nasdaq</t>
        </is>
      </c>
      <c r="D10329" t="n">
        <v>2116230</v>
      </c>
      <c r="E10329" t="inlineStr">
        <is>
          <t>SEC</t>
        </is>
      </c>
    </row>
    <row r="10330">
      <c r="A10330" s="5">
        <f>HYPERLINK("https://finance.yahoo.com/quote/BEJEF","BEJEF")</f>
        <v/>
      </c>
      <c r="B10330" t="inlineStr">
        <is>
          <t>Beijer Ref AB/ADR</t>
        </is>
      </c>
      <c r="C10330" t="inlineStr">
        <is>
          <t>OTC</t>
        </is>
      </c>
      <c r="D10330" t="n">
        <v>2116276</v>
      </c>
      <c r="E10330" t="inlineStr">
        <is>
          <t>SEC</t>
        </is>
      </c>
    </row>
    <row r="10331">
      <c r="A10331" s="5">
        <f>HYPERLINK("https://finance.yahoo.com/quote/PSQLW","PSQLW")</f>
        <v/>
      </c>
      <c r="B10331" t="inlineStr">
        <is>
          <t>Pasqal Holding SA</t>
        </is>
      </c>
      <c r="C10331" t="inlineStr">
        <is>
          <t>Nasdaq</t>
        </is>
      </c>
      <c r="D10331" t="n">
        <v>2119292</v>
      </c>
      <c r="E10331" t="inlineStr">
        <is>
          <t>SEC</t>
        </is>
      </c>
    </row>
    <row r="10332">
      <c r="A10332" s="5">
        <f>HYPERLINK("https://finance.yahoo.com/quote/CVCCF","CVCCF")</f>
        <v/>
      </c>
      <c r="B10332" t="inlineStr">
        <is>
          <t>CVC Capital Partners plc/ADR</t>
        </is>
      </c>
      <c r="C10332" t="inlineStr">
        <is>
          <t>OTC</t>
        </is>
      </c>
      <c r="D10332" t="n">
        <v>2120046</v>
      </c>
      <c r="E10332" t="inlineStr">
        <is>
          <t>SEC</t>
        </is>
      </c>
    </row>
    <row r="10333">
      <c r="A10333" s="5">
        <f>HYPERLINK("https://finance.yahoo.com/quote/PFSEF","PFSEF")</f>
        <v/>
      </c>
      <c r="B10333" t="inlineStr">
        <is>
          <t>Pfisterer Holdings SE/ADR</t>
        </is>
      </c>
      <c r="C10333" t="inlineStr">
        <is>
          <t>OTC</t>
        </is>
      </c>
      <c r="D10333" t="n">
        <v>2120422</v>
      </c>
      <c r="E10333" t="inlineStr">
        <is>
          <t>SEC</t>
        </is>
      </c>
    </row>
    <row r="10334">
      <c r="A10334" s="5">
        <f>HYPERLINK("https://finance.yahoo.com/quote/HXSCL","HXSCL")</f>
        <v/>
      </c>
      <c r="B10334" t="inlineStr">
        <is>
          <t>SK hynix Inc.</t>
        </is>
      </c>
      <c r="C10334" t="inlineStr">
        <is>
          <t>OTC</t>
        </is>
      </c>
      <c r="D10334" t="n">
        <v>2120882</v>
      </c>
      <c r="E10334" t="inlineStr">
        <is>
          <t>SEC</t>
        </is>
      </c>
    </row>
    <row r="10335">
      <c r="A10335" s="5">
        <f>HYPERLINK("https://finance.yahoo.com/quote/FXACU","FXACU")</f>
        <v/>
      </c>
      <c r="B10335" t="inlineStr">
        <is>
          <t>FortuneX Acquisition Corp</t>
        </is>
      </c>
      <c r="C10335" t="inlineStr">
        <is>
          <t>Nasdaq</t>
        </is>
      </c>
      <c r="D10335" t="n">
        <v>2121703</v>
      </c>
      <c r="E10335" t="inlineStr">
        <is>
          <t>SEC</t>
        </is>
      </c>
    </row>
    <row r="10336">
      <c r="A10336" s="5">
        <f>HYPERLINK("https://finance.yahoo.com/quote/FXACW","FXACW")</f>
        <v/>
      </c>
      <c r="B10336" t="inlineStr">
        <is>
          <t>FortuneX Acquisition Corp</t>
        </is>
      </c>
      <c r="C10336" t="inlineStr">
        <is>
          <t>Nasdaq</t>
        </is>
      </c>
      <c r="D10336" t="n">
        <v>2121703</v>
      </c>
      <c r="E10336" t="inlineStr">
        <is>
          <t>SEC</t>
        </is>
      </c>
    </row>
    <row r="10337">
      <c r="A10337" s="5">
        <f>HYPERLINK("https://finance.yahoo.com/quote/PLCIR","PLCIR")</f>
        <v/>
      </c>
      <c r="B10337" t="inlineStr">
        <is>
          <t>Pelican Acquisition II Corp</t>
        </is>
      </c>
      <c r="C10337" t="inlineStr">
        <is>
          <t>Nasdaq</t>
        </is>
      </c>
      <c r="D10337" t="n">
        <v>2122392</v>
      </c>
      <c r="E10337" t="inlineStr">
        <is>
          <t>SEC</t>
        </is>
      </c>
    </row>
    <row r="10338">
      <c r="A10338" s="5">
        <f>HYPERLINK("https://finance.yahoo.com/quote/PLCIU","PLCIU")</f>
        <v/>
      </c>
      <c r="B10338" t="inlineStr">
        <is>
          <t>Pelican Acquisition II Corp</t>
        </is>
      </c>
      <c r="C10338" t="inlineStr">
        <is>
          <t>Nasdaq</t>
        </is>
      </c>
      <c r="D10338" t="n">
        <v>2122392</v>
      </c>
      <c r="E10338" t="inlineStr">
        <is>
          <t>SEC</t>
        </is>
      </c>
    </row>
    <row r="10339">
      <c r="A10339" s="5">
        <f>HYPERLINK("https://finance.yahoo.com/quote/IACQU","IACQU")</f>
        <v/>
      </c>
      <c r="B10339" t="inlineStr">
        <is>
          <t>Irenic Acquisition Corp.</t>
        </is>
      </c>
      <c r="C10339" t="inlineStr">
        <is>
          <t>Nasdaq</t>
        </is>
      </c>
      <c r="D10339" t="n">
        <v>2122505</v>
      </c>
      <c r="E10339" t="inlineStr">
        <is>
          <t>SEC</t>
        </is>
      </c>
    </row>
    <row r="10340">
      <c r="A10340" s="5">
        <f>HYPERLINK("https://finance.yahoo.com/quote/IACQW","IACQW")</f>
        <v/>
      </c>
      <c r="B10340" t="inlineStr">
        <is>
          <t>Irenic Acquisition Corp.</t>
        </is>
      </c>
      <c r="C10340" t="inlineStr">
        <is>
          <t>Nasdaq</t>
        </is>
      </c>
      <c r="D10340" t="n">
        <v>2122505</v>
      </c>
      <c r="E10340" t="inlineStr">
        <is>
          <t>SEC</t>
        </is>
      </c>
    </row>
    <row r="10341">
      <c r="A10341" s="5">
        <f>HYPERLINK("https://finance.yahoo.com/quote/CCCTU","CCCTU")</f>
        <v/>
      </c>
      <c r="B10341" t="inlineStr">
        <is>
          <t>Columbus Circle Capital Corp III</t>
        </is>
      </c>
      <c r="C10341" t="inlineStr">
        <is>
          <t>Nasdaq</t>
        </is>
      </c>
      <c r="D10341" t="n">
        <v>2123471</v>
      </c>
      <c r="E10341" t="inlineStr">
        <is>
          <t>SEC</t>
        </is>
      </c>
    </row>
    <row r="10342">
      <c r="A10342" s="5">
        <f>HYPERLINK("https://finance.yahoo.com/quote/CCCTW","CCCTW")</f>
        <v/>
      </c>
      <c r="B10342" t="inlineStr">
        <is>
          <t>Columbus Circle Capital Corp III</t>
        </is>
      </c>
      <c r="C10342" t="inlineStr">
        <is>
          <t>Nasdaq</t>
        </is>
      </c>
      <c r="D10342" t="n">
        <v>2123471</v>
      </c>
      <c r="E10342" t="inlineStr">
        <is>
          <t>SEC</t>
        </is>
      </c>
    </row>
    <row r="10343">
      <c r="A10343" s="5">
        <f>HYPERLINK("https://finance.yahoo.com/quote/ISNRU","ISNRU")</f>
        <v/>
      </c>
      <c r="B10343" t="inlineStr">
        <is>
          <t>Snow Rothschild Acquisition Corp.</t>
        </is>
      </c>
      <c r="C10343" t="inlineStr">
        <is>
          <t>Nasdaq</t>
        </is>
      </c>
      <c r="D10343" t="n">
        <v>2123475</v>
      </c>
      <c r="E10343" t="inlineStr">
        <is>
          <t>SEC</t>
        </is>
      </c>
    </row>
    <row r="10344">
      <c r="A10344" s="5">
        <f>HYPERLINK("https://finance.yahoo.com/quote/ISNRW","ISNRW")</f>
        <v/>
      </c>
      <c r="B10344" t="inlineStr">
        <is>
          <t>Snow Rothschild Acquisition Corp.</t>
        </is>
      </c>
      <c r="C10344" t="inlineStr">
        <is>
          <t>Nasdaq</t>
        </is>
      </c>
      <c r="D10344" t="n">
        <v>2123475</v>
      </c>
      <c r="E10344" t="inlineStr">
        <is>
          <t>SEC</t>
        </is>
      </c>
    </row>
    <row r="10345">
      <c r="A10345" s="5">
        <f>HYPERLINK("https://finance.yahoo.com/quote/ERBGF","ERBGF")</f>
        <v/>
      </c>
      <c r="B10345" t="inlineStr">
        <is>
          <t>Eastroc Beverage Group Co. Ltd/ADR</t>
        </is>
      </c>
      <c r="C10345" t="inlineStr">
        <is>
          <t>OTC</t>
        </is>
      </c>
      <c r="D10345" t="n">
        <v>2123531</v>
      </c>
      <c r="E10345" t="inlineStr">
        <is>
          <t>SEC</t>
        </is>
      </c>
    </row>
    <row r="10346">
      <c r="A10346" s="5">
        <f>HYPERLINK("https://finance.yahoo.com/quote/PNAQ-RI","PNAQ-RI")</f>
        <v/>
      </c>
      <c r="B10346" t="inlineStr">
        <is>
          <t>Pinnacle Acquisition Corp</t>
        </is>
      </c>
      <c r="C10346" t="inlineStr">
        <is>
          <t>NYSE</t>
        </is>
      </c>
      <c r="D10346" t="n">
        <v>2123955</v>
      </c>
      <c r="E10346" t="inlineStr">
        <is>
          <t>SEC</t>
        </is>
      </c>
    </row>
    <row r="10347">
      <c r="A10347" s="5">
        <f>HYPERLINK("https://finance.yahoo.com/quote/PNAQ-UN","PNAQ-UN")</f>
        <v/>
      </c>
      <c r="B10347" t="inlineStr">
        <is>
          <t>Pinnacle Acquisition Corp</t>
        </is>
      </c>
      <c r="C10347" t="inlineStr">
        <is>
          <t>NYSE</t>
        </is>
      </c>
      <c r="D10347" t="n">
        <v>2123955</v>
      </c>
      <c r="E10347" t="inlineStr">
        <is>
          <t>SEC</t>
        </is>
      </c>
    </row>
    <row r="10348">
      <c r="A10348" s="5">
        <f>HYPERLINK("https://finance.yahoo.com/quote/RREVU","RREVU")</f>
        <v/>
      </c>
      <c r="B10348" t="inlineStr">
        <is>
          <t>RRE Ventures Acquisition Corp.</t>
        </is>
      </c>
      <c r="C10348" t="inlineStr">
        <is>
          <t>Nasdaq</t>
        </is>
      </c>
      <c r="D10348" t="n">
        <v>2123969</v>
      </c>
      <c r="E10348" t="inlineStr">
        <is>
          <t>SEC</t>
        </is>
      </c>
    </row>
    <row r="10349">
      <c r="A10349" s="5">
        <f>HYPERLINK("https://finance.yahoo.com/quote/RREVW","RREVW")</f>
        <v/>
      </c>
      <c r="B10349" t="inlineStr">
        <is>
          <t>RRE Ventures Acquisition Corp.</t>
        </is>
      </c>
      <c r="C10349" t="inlineStr">
        <is>
          <t>Nasdaq</t>
        </is>
      </c>
      <c r="D10349" t="n">
        <v>2123969</v>
      </c>
      <c r="E10349" t="inlineStr">
        <is>
          <t>SEC</t>
        </is>
      </c>
    </row>
    <row r="10350">
      <c r="A10350" s="5">
        <f>HYPERLINK("https://finance.yahoo.com/quote/TKMSF","TKMSF")</f>
        <v/>
      </c>
      <c r="B10350" t="inlineStr">
        <is>
          <t>TKMS AG &amp; CO. KGAA/ADR</t>
        </is>
      </c>
      <c r="C10350" t="inlineStr">
        <is>
          <t>OTC</t>
        </is>
      </c>
      <c r="D10350" t="n">
        <v>2124215</v>
      </c>
      <c r="E10350" t="inlineStr">
        <is>
          <t>SEC</t>
        </is>
      </c>
    </row>
    <row r="10351">
      <c r="A10351" s="5">
        <f>HYPERLINK("https://finance.yahoo.com/quote/ALPXR","ALPXR")</f>
        <v/>
      </c>
      <c r="B10351" t="inlineStr">
        <is>
          <t>Alpex Acquisition Corp</t>
        </is>
      </c>
      <c r="C10351" t="inlineStr">
        <is>
          <t>Nasdaq</t>
        </is>
      </c>
      <c r="D10351" t="n">
        <v>2125551</v>
      </c>
      <c r="E10351" t="inlineStr">
        <is>
          <t>SEC</t>
        </is>
      </c>
    </row>
    <row r="10352">
      <c r="A10352" s="5">
        <f>HYPERLINK("https://finance.yahoo.com/quote/ALPXU","ALPXU")</f>
        <v/>
      </c>
      <c r="B10352" t="inlineStr">
        <is>
          <t>Alpex Acquisition Corp</t>
        </is>
      </c>
      <c r="C10352" t="inlineStr">
        <is>
          <t>Nasdaq</t>
        </is>
      </c>
      <c r="D10352" t="n">
        <v>2125551</v>
      </c>
      <c r="E10352" t="inlineStr">
        <is>
          <t>SEC</t>
        </is>
      </c>
    </row>
    <row r="10353">
      <c r="A10353" s="5">
        <f>HYPERLINK("https://finance.yahoo.com/quote/ALPXW","ALPXW")</f>
        <v/>
      </c>
      <c r="B10353" t="inlineStr">
        <is>
          <t>Alpex Acquisition Corp</t>
        </is>
      </c>
      <c r="C10353" t="inlineStr">
        <is>
          <t>Nasdaq</t>
        </is>
      </c>
      <c r="D10353" t="n">
        <v>2125551</v>
      </c>
      <c r="E10353" t="inlineStr">
        <is>
          <t>SEC</t>
        </is>
      </c>
    </row>
    <row r="10354">
      <c r="A10354" s="5">
        <f>HYPERLINK("https://finance.yahoo.com/quote/SAMO-UN","SAMO-UN")</f>
        <v/>
      </c>
      <c r="B10354" t="inlineStr">
        <is>
          <t>Samos Energy Acquisition Corp</t>
        </is>
      </c>
      <c r="C10354" t="inlineStr">
        <is>
          <t>NYSE</t>
        </is>
      </c>
      <c r="D10354" t="n">
        <v>2125567</v>
      </c>
      <c r="E10354" t="inlineStr">
        <is>
          <t>SEC</t>
        </is>
      </c>
    </row>
    <row r="10355">
      <c r="A10355" s="5">
        <f>HYPERLINK("https://finance.yahoo.com/quote/SAMO-WT","SAMO-WT")</f>
        <v/>
      </c>
      <c r="B10355" t="inlineStr">
        <is>
          <t>Samos Energy Acquisition Corp</t>
        </is>
      </c>
      <c r="C10355" t="inlineStr">
        <is>
          <t>NYSE</t>
        </is>
      </c>
      <c r="D10355" t="n">
        <v>2125567</v>
      </c>
      <c r="E10355" t="inlineStr">
        <is>
          <t>SEC</t>
        </is>
      </c>
    </row>
    <row r="10356">
      <c r="A10356" s="5">
        <f>HYPERLINK("https://finance.yahoo.com/quote/CGCFU","CGCFU")</f>
        <v/>
      </c>
      <c r="B10356" t="inlineStr">
        <is>
          <t>Cartesian Growth Corp IV</t>
        </is>
      </c>
      <c r="C10356" t="inlineStr">
        <is>
          <t>Nasdaq</t>
        </is>
      </c>
      <c r="D10356" t="n">
        <v>2126043</v>
      </c>
      <c r="E10356" t="inlineStr">
        <is>
          <t>SEC</t>
        </is>
      </c>
    </row>
    <row r="10357">
      <c r="A10357" s="5">
        <f>HYPERLINK("https://finance.yahoo.com/quote/CGCFW","CGCFW")</f>
        <v/>
      </c>
      <c r="B10357" t="inlineStr">
        <is>
          <t>Cartesian Growth Corp IV</t>
        </is>
      </c>
      <c r="C10357" t="inlineStr">
        <is>
          <t>Nasdaq</t>
        </is>
      </c>
      <c r="D10357" t="n">
        <v>2126043</v>
      </c>
      <c r="E10357" t="inlineStr">
        <is>
          <t>SEC</t>
        </is>
      </c>
    </row>
    <row r="10358">
      <c r="A10358" s="5">
        <f>HYPERLINK("https://finance.yahoo.com/quote/ATALF","ATALF")</f>
        <v/>
      </c>
      <c r="B10358" t="inlineStr">
        <is>
          <t>American Tungsten &amp; Antimony Ltd</t>
        </is>
      </c>
      <c r="C10358" t="inlineStr">
        <is>
          <t>OTC</t>
        </is>
      </c>
      <c r="D10358" t="n">
        <v>2127653</v>
      </c>
      <c r="E10358" t="inlineStr">
        <is>
          <t>SEC</t>
        </is>
      </c>
    </row>
    <row r="10359">
      <c r="A10359" s="5">
        <f>HYPERLINK("https://finance.yahoo.com/quote/BELGF","BELGF")</f>
        <v/>
      </c>
      <c r="B10359" t="inlineStr">
        <is>
          <t>Bellevue Gold Ltd./ADR</t>
        </is>
      </c>
      <c r="C10359" t="inlineStr">
        <is>
          <t>OTC</t>
        </is>
      </c>
      <c r="D10359" t="n">
        <v>2127839</v>
      </c>
      <c r="E10359" t="inlineStr">
        <is>
          <t>SEC</t>
        </is>
      </c>
    </row>
    <row r="10360">
      <c r="A10360" s="5">
        <f>HYPERLINK("https://finance.yahoo.com/quote/CSGNF","CSGNF")</f>
        <v/>
      </c>
      <c r="B10360" t="inlineStr">
        <is>
          <t>CSG N.V./ADR</t>
        </is>
      </c>
      <c r="C10360" t="inlineStr">
        <is>
          <t>OTC</t>
        </is>
      </c>
      <c r="D10360" t="n">
        <v>2127852</v>
      </c>
      <c r="E10360" t="inlineStr">
        <is>
          <t>SEC</t>
        </is>
      </c>
    </row>
    <row r="10361">
      <c r="A10361" s="5">
        <f>HYPERLINK("https://finance.yahoo.com/quote/EULIF","EULIF")</f>
        <v/>
      </c>
      <c r="B10361" t="inlineStr">
        <is>
          <t>EUROPEAN LITHIUM LTD/ADR</t>
        </is>
      </c>
      <c r="C10361" t="inlineStr">
        <is>
          <t>OTC</t>
        </is>
      </c>
      <c r="D10361" t="n">
        <v>2127859</v>
      </c>
      <c r="E10361" t="inlineStr">
        <is>
          <t>SEC</t>
        </is>
      </c>
    </row>
    <row r="10362">
      <c r="A10362" s="5">
        <f>HYPERLINK("https://finance.yahoo.com/quote/DTREF","DTREF")</f>
        <v/>
      </c>
      <c r="B10362" t="inlineStr">
        <is>
          <t>DATELINE RESOURCES LTD/ADR</t>
        </is>
      </c>
      <c r="C10362" t="inlineStr">
        <is>
          <t>OTC</t>
        </is>
      </c>
      <c r="D10362" t="n">
        <v>2127860</v>
      </c>
      <c r="E10362" t="inlineStr">
        <is>
          <t>SEC</t>
        </is>
      </c>
    </row>
    <row r="10363">
      <c r="A10363" s="5">
        <f>HYPERLINK("https://finance.yahoo.com/quote/ELSSF","ELSSF")</f>
        <v/>
      </c>
      <c r="B10363" t="inlineStr">
        <is>
          <t>ELIS S.A./ADR</t>
        </is>
      </c>
      <c r="C10363" t="inlineStr">
        <is>
          <t>OTC</t>
        </is>
      </c>
      <c r="D10363" t="n">
        <v>2127861</v>
      </c>
      <c r="E10363" t="inlineStr">
        <is>
          <t>SEC</t>
        </is>
      </c>
    </row>
    <row r="10364">
      <c r="A10364" s="5">
        <f>HYPERLINK("https://finance.yahoo.com/quote/BCCQU","BCCQU")</f>
        <v/>
      </c>
      <c r="B10364" t="inlineStr">
        <is>
          <t>Bleichroeder Acquisition Corp. III</t>
        </is>
      </c>
      <c r="C10364" t="inlineStr">
        <is>
          <t>Nasdaq</t>
        </is>
      </c>
      <c r="D10364" t="n">
        <v>2128045</v>
      </c>
      <c r="E10364" t="inlineStr">
        <is>
          <t>SEC</t>
        </is>
      </c>
    </row>
    <row r="10365">
      <c r="A10365" s="5">
        <f>HYPERLINK("https://finance.yahoo.com/quote/BCCQW","BCCQW")</f>
        <v/>
      </c>
      <c r="B10365" t="inlineStr">
        <is>
          <t>Bleichroeder Acquisition Corp. III</t>
        </is>
      </c>
      <c r="C10365" t="inlineStr">
        <is>
          <t>Nasdaq</t>
        </is>
      </c>
      <c r="D10365" t="n">
        <v>2128045</v>
      </c>
      <c r="E10365" t="inlineStr">
        <is>
          <t>SEC</t>
        </is>
      </c>
    </row>
    <row r="10366">
      <c r="A10366" s="5">
        <f>HYPERLINK("https://finance.yahoo.com/quote/AAC-UN","AAC-UN")</f>
        <v/>
      </c>
      <c r="B10366" t="inlineStr">
        <is>
          <t>Ares Acquisition Corp III</t>
        </is>
      </c>
      <c r="C10366" t="inlineStr">
        <is>
          <t>NYSE</t>
        </is>
      </c>
      <c r="D10366" t="n">
        <v>2128115</v>
      </c>
      <c r="E10366" t="inlineStr">
        <is>
          <t>SEC</t>
        </is>
      </c>
    </row>
    <row r="10367">
      <c r="A10367" s="5">
        <f>HYPERLINK("https://finance.yahoo.com/quote/AAC-WT","AAC-WT")</f>
        <v/>
      </c>
      <c r="B10367" t="inlineStr">
        <is>
          <t>Ares Acquisition Corp III</t>
        </is>
      </c>
      <c r="C10367" t="inlineStr">
        <is>
          <t>NYSE</t>
        </is>
      </c>
      <c r="D10367" t="n">
        <v>2128115</v>
      </c>
      <c r="E10367" t="inlineStr">
        <is>
          <t>SEC</t>
        </is>
      </c>
    </row>
    <row r="10368">
      <c r="A10368" s="5">
        <f>HYPERLINK("https://finance.yahoo.com/quote/MNLTF","MNLTF")</f>
        <v/>
      </c>
      <c r="B10368" t="inlineStr">
        <is>
          <t>Mininglamp Technology Group Limited/ADR</t>
        </is>
      </c>
      <c r="C10368" t="inlineStr">
        <is>
          <t>OTC</t>
        </is>
      </c>
      <c r="D10368" t="n">
        <v>2128448</v>
      </c>
      <c r="E10368" t="inlineStr">
        <is>
          <t>SEC</t>
        </is>
      </c>
    </row>
    <row r="10369">
      <c r="A10369" s="5">
        <f>HYPERLINK("https://finance.yahoo.com/quote/TLACU","TLACU")</f>
        <v/>
      </c>
      <c r="B10369" t="inlineStr">
        <is>
          <t>Three Lions Acquisition Corp.</t>
        </is>
      </c>
      <c r="C10369" t="inlineStr">
        <is>
          <t>Nasdaq</t>
        </is>
      </c>
      <c r="D10369" t="n">
        <v>2128462</v>
      </c>
      <c r="E10369" t="inlineStr">
        <is>
          <t>SEC</t>
        </is>
      </c>
    </row>
    <row r="10370">
      <c r="A10370" s="5">
        <f>HYPERLINK("https://finance.yahoo.com/quote/TLACW","TLACW")</f>
        <v/>
      </c>
      <c r="B10370" t="inlineStr">
        <is>
          <t>Three Lions Acquisition Corp.</t>
        </is>
      </c>
      <c r="C10370" t="inlineStr">
        <is>
          <t>Nasdaq</t>
        </is>
      </c>
      <c r="D10370" t="n">
        <v>2128462</v>
      </c>
      <c r="E10370" t="inlineStr">
        <is>
          <t>SEC</t>
        </is>
      </c>
    </row>
    <row r="10371">
      <c r="A10371" s="5">
        <f>HYPERLINK("https://finance.yahoo.com/quote/ATLQR","ATLQR")</f>
        <v/>
      </c>
      <c r="B10371" t="inlineStr">
        <is>
          <t>JAB Acquisition Corp I</t>
        </is>
      </c>
      <c r="C10371" t="inlineStr">
        <is>
          <t>Nasdaq</t>
        </is>
      </c>
      <c r="D10371" t="n">
        <v>2128739</v>
      </c>
      <c r="E10371" t="inlineStr">
        <is>
          <t>SEC</t>
        </is>
      </c>
    </row>
    <row r="10372">
      <c r="A10372" s="5">
        <f>HYPERLINK("https://finance.yahoo.com/quote/ATLQU","ATLQU")</f>
        <v/>
      </c>
      <c r="B10372" t="inlineStr">
        <is>
          <t>JAB Acquisition Corp I</t>
        </is>
      </c>
      <c r="C10372" t="inlineStr">
        <is>
          <t>Nasdaq</t>
        </is>
      </c>
      <c r="D10372" t="n">
        <v>2128739</v>
      </c>
      <c r="E10372" t="inlineStr">
        <is>
          <t>SEC</t>
        </is>
      </c>
    </row>
    <row r="10373">
      <c r="A10373" s="5">
        <f>HYPERLINK("https://finance.yahoo.com/quote/ATLQW","ATLQW")</f>
        <v/>
      </c>
      <c r="B10373" t="inlineStr">
        <is>
          <t>JAB Acquisition Corp I</t>
        </is>
      </c>
      <c r="C10373" t="inlineStr">
        <is>
          <t>Nasdaq</t>
        </is>
      </c>
      <c r="D10373" t="n">
        <v>2128739</v>
      </c>
      <c r="E10373" t="inlineStr">
        <is>
          <t>SEC</t>
        </is>
      </c>
    </row>
    <row r="10374">
      <c r="A10374" s="5">
        <f>HYPERLINK("https://finance.yahoo.com/quote/JONER","JONER")</f>
        <v/>
      </c>
      <c r="B10374" t="inlineStr">
        <is>
          <t>Jones Ventures INTL Acquisition1 Corp</t>
        </is>
      </c>
      <c r="C10374" t="inlineStr">
        <is>
          <t>Nasdaq</t>
        </is>
      </c>
      <c r="D10374" t="n">
        <v>2129056</v>
      </c>
      <c r="E10374" t="inlineStr">
        <is>
          <t>SEC</t>
        </is>
      </c>
    </row>
    <row r="10375">
      <c r="A10375" s="5">
        <f>HYPERLINK("https://finance.yahoo.com/quote/JONEU","JONEU")</f>
        <v/>
      </c>
      <c r="B10375" t="inlineStr">
        <is>
          <t>Jones Ventures INTL Acquisition1 Corp</t>
        </is>
      </c>
      <c r="C10375" t="inlineStr">
        <is>
          <t>Nasdaq</t>
        </is>
      </c>
      <c r="D10375" t="n">
        <v>2129056</v>
      </c>
      <c r="E10375" t="inlineStr">
        <is>
          <t>SEC</t>
        </is>
      </c>
    </row>
    <row r="10376">
      <c r="A10376" s="5">
        <f>HYPERLINK("https://finance.yahoo.com/quote/FDMMU","FDMMU")</f>
        <v/>
      </c>
      <c r="B10376" t="inlineStr">
        <is>
          <t>Freedom Metals Acquisition Corp.</t>
        </is>
      </c>
      <c r="C10376" t="inlineStr">
        <is>
          <t>Nasdaq</t>
        </is>
      </c>
      <c r="D10376" t="n">
        <v>2129659</v>
      </c>
      <c r="E10376" t="inlineStr">
        <is>
          <t>SEC</t>
        </is>
      </c>
    </row>
    <row r="10377">
      <c r="A10377" s="5">
        <f>HYPERLINK("https://finance.yahoo.com/quote/FDMMW","FDMMW")</f>
        <v/>
      </c>
      <c r="B10377" t="inlineStr">
        <is>
          <t>Freedom Metals Acquisition Corp.</t>
        </is>
      </c>
      <c r="C10377" t="inlineStr">
        <is>
          <t>Nasdaq</t>
        </is>
      </c>
      <c r="D10377" t="n">
        <v>2129659</v>
      </c>
      <c r="E10377" t="inlineStr">
        <is>
          <t>SEC</t>
        </is>
      </c>
    </row>
    <row r="10378">
      <c r="A10378" s="5">
        <f>HYPERLINK("https://finance.yahoo.com/quote/OMGGF","OMGGF")</f>
        <v/>
      </c>
      <c r="B10378" t="inlineStr">
        <is>
          <t>Omai Gold Mines Corp./ADR</t>
        </is>
      </c>
      <c r="C10378" t="inlineStr">
        <is>
          <t>OTC</t>
        </is>
      </c>
      <c r="D10378" t="n">
        <v>2130027</v>
      </c>
      <c r="E10378" t="inlineStr">
        <is>
          <t>SEC</t>
        </is>
      </c>
    </row>
    <row r="10379">
      <c r="A10379" s="5">
        <f>HYPERLINK("https://finance.yahoo.com/quote/YICCU","YICCU")</f>
        <v/>
      </c>
      <c r="B10379" t="inlineStr">
        <is>
          <t>Yorkville International Capital Corp.</t>
        </is>
      </c>
      <c r="C10379" t="inlineStr">
        <is>
          <t>Nasdaq</t>
        </is>
      </c>
      <c r="D10379" t="n">
        <v>2130386</v>
      </c>
      <c r="E10379" t="inlineStr">
        <is>
          <t>SEC</t>
        </is>
      </c>
    </row>
    <row r="10380">
      <c r="A10380" s="5">
        <f>HYPERLINK("https://finance.yahoo.com/quote/YICCW","YICCW")</f>
        <v/>
      </c>
      <c r="B10380" t="inlineStr">
        <is>
          <t>Yorkville International Capital Corp.</t>
        </is>
      </c>
      <c r="C10380" t="inlineStr">
        <is>
          <t>Nasdaq</t>
        </is>
      </c>
      <c r="D10380" t="n">
        <v>2130386</v>
      </c>
      <c r="E10380" t="inlineStr">
        <is>
          <t>SEC</t>
        </is>
      </c>
    </row>
    <row r="10381">
      <c r="A10381" s="5">
        <f>HYPERLINK("https://finance.yahoo.com/quote/BRTMU","BRTMU")</f>
        <v/>
      </c>
      <c r="B10381" t="inlineStr">
        <is>
          <t>B&amp;R Technology Merger Corp.</t>
        </is>
      </c>
      <c r="C10381" t="inlineStr">
        <is>
          <t>Nasdaq</t>
        </is>
      </c>
      <c r="D10381" t="n">
        <v>2131350</v>
      </c>
      <c r="E10381" t="inlineStr">
        <is>
          <t>SEC</t>
        </is>
      </c>
    </row>
    <row r="10382">
      <c r="A10382" s="5">
        <f>HYPERLINK("https://finance.yahoo.com/quote/BRTMW","BRTMW")</f>
        <v/>
      </c>
      <c r="B10382" t="inlineStr">
        <is>
          <t>B&amp;R Technology Merger Corp.</t>
        </is>
      </c>
      <c r="C10382" t="inlineStr">
        <is>
          <t>Nasdaq</t>
        </is>
      </c>
      <c r="D10382" t="n">
        <v>2131350</v>
      </c>
      <c r="E10382" t="inlineStr">
        <is>
          <t>SEC</t>
        </is>
      </c>
    </row>
    <row r="10383">
      <c r="A10383" s="5">
        <f>HYPERLINK("https://finance.yahoo.com/quote/OPPPF","OPPPF")</f>
        <v/>
      </c>
      <c r="B10383" t="inlineStr">
        <is>
          <t>Open House Group Co. Ltd/ADR</t>
        </is>
      </c>
      <c r="C10383" t="inlineStr">
        <is>
          <t>OTC</t>
        </is>
      </c>
      <c r="D10383" t="n">
        <v>2131812</v>
      </c>
      <c r="E10383" t="inlineStr">
        <is>
          <t>SEC</t>
        </is>
      </c>
    </row>
    <row r="10384">
      <c r="A10384" s="5">
        <f>HYPERLINK("https://finance.yahoo.com/quote/NWCLW","NWCLW")</f>
        <v/>
      </c>
      <c r="B10384" t="inlineStr">
        <is>
          <t>newcleo plc</t>
        </is>
      </c>
      <c r="C10384" t="inlineStr">
        <is>
          <t>Nasdaq</t>
        </is>
      </c>
      <c r="D10384" t="n">
        <v>2131813</v>
      </c>
      <c r="E10384" t="inlineStr">
        <is>
          <t>SEC</t>
        </is>
      </c>
    </row>
    <row r="10385">
      <c r="A10385" s="5">
        <f>HYPERLINK("https://finance.yahoo.com/quote/FTRA-UN","FTRA-UN")</f>
        <v/>
      </c>
      <c r="B10385" t="inlineStr">
        <is>
          <t>FutureCorp Space Acquisition 1</t>
        </is>
      </c>
      <c r="C10385" t="inlineStr">
        <is>
          <t>NYSE</t>
        </is>
      </c>
      <c r="D10385" t="n">
        <v>2131853</v>
      </c>
      <c r="E10385" t="inlineStr">
        <is>
          <t>SEC</t>
        </is>
      </c>
    </row>
    <row r="10386">
      <c r="A10386" s="5">
        <f>HYPERLINK("https://finance.yahoo.com/quote/FTRA-WT","FTRA-WT")</f>
        <v/>
      </c>
      <c r="B10386" t="inlineStr">
        <is>
          <t>FutureCorp Space Acquisition 1</t>
        </is>
      </c>
      <c r="C10386" t="inlineStr">
        <is>
          <t>NYSE</t>
        </is>
      </c>
      <c r="D10386" t="n">
        <v>2131853</v>
      </c>
      <c r="E10386" t="inlineStr">
        <is>
          <t>SEC</t>
        </is>
      </c>
    </row>
    <row r="10387">
      <c r="A10387" s="5">
        <f>HYPERLINK("https://finance.yahoo.com/quote/MSGR-WI","MSGR-WI")</f>
        <v/>
      </c>
      <c r="B10387" t="inlineStr">
        <is>
          <t>MSGS Spinco, Inc.</t>
        </is>
      </c>
      <c r="C10387" t="inlineStr">
        <is>
          <t>NYSE</t>
        </is>
      </c>
      <c r="D10387" t="n">
        <v>2132873</v>
      </c>
      <c r="E10387" t="inlineStr">
        <is>
          <t>SEC</t>
        </is>
      </c>
    </row>
    <row r="10388">
      <c r="A10388" s="5">
        <f>HYPERLINK("https://finance.yahoo.com/quote/MTAKU","MTAKU")</f>
        <v/>
      </c>
      <c r="B10388" t="inlineStr">
        <is>
          <t>Market Technology Acquisition Corp</t>
        </is>
      </c>
      <c r="C10388" t="inlineStr">
        <is>
          <t>Nasdaq</t>
        </is>
      </c>
      <c r="D10388" t="n">
        <v>2133136</v>
      </c>
      <c r="E10388" t="inlineStr">
        <is>
          <t>SEC</t>
        </is>
      </c>
    </row>
    <row r="10389">
      <c r="A10389" s="5">
        <f>HYPERLINK("https://finance.yahoo.com/quote/MTAKW","MTAKW")</f>
        <v/>
      </c>
      <c r="B10389" t="inlineStr">
        <is>
          <t>Market Technology Acquisition Corp</t>
        </is>
      </c>
      <c r="C10389" t="inlineStr">
        <is>
          <t>Nasdaq</t>
        </is>
      </c>
      <c r="D10389" t="n">
        <v>2133136</v>
      </c>
      <c r="E10389" t="inlineStr">
        <is>
          <t>SEC</t>
        </is>
      </c>
    </row>
    <row r="10390">
      <c r="A10390" s="5">
        <f>HYPERLINK("https://finance.yahoo.com/quote/SCATR","SCATR")</f>
        <v/>
      </c>
      <c r="B10390" t="inlineStr">
        <is>
          <t>Southern Cross Acquisition II Corp.</t>
        </is>
      </c>
      <c r="C10390" t="inlineStr">
        <is>
          <t>Nasdaq</t>
        </is>
      </c>
      <c r="D10390" t="n">
        <v>2133239</v>
      </c>
      <c r="E10390" t="inlineStr">
        <is>
          <t>SEC</t>
        </is>
      </c>
    </row>
    <row r="10391">
      <c r="A10391" s="5">
        <f>HYPERLINK("https://finance.yahoo.com/quote/SCATU","SCATU")</f>
        <v/>
      </c>
      <c r="B10391" t="inlineStr">
        <is>
          <t>Southern Cross Acquisition II Corp.</t>
        </is>
      </c>
      <c r="C10391" t="inlineStr">
        <is>
          <t>Nasdaq</t>
        </is>
      </c>
      <c r="D10391" t="n">
        <v>2133239</v>
      </c>
      <c r="E10391" t="inlineStr">
        <is>
          <t>SEC</t>
        </is>
      </c>
    </row>
    <row r="10392">
      <c r="A10392" s="5">
        <f>HYPERLINK("https://finance.yahoo.com/quote/SCATW","SCATW")</f>
        <v/>
      </c>
      <c r="B10392" t="inlineStr">
        <is>
          <t>Southern Cross Acquisition II Corp.</t>
        </is>
      </c>
      <c r="C10392" t="inlineStr">
        <is>
          <t>Nasdaq</t>
        </is>
      </c>
      <c r="D10392" t="n">
        <v>2133239</v>
      </c>
      <c r="E10392" t="inlineStr">
        <is>
          <t>SEC</t>
        </is>
      </c>
    </row>
    <row r="10393">
      <c r="A10393" s="5">
        <f>HYPERLINK("https://finance.yahoo.com/quote/NSAIR","NSAIR")</f>
        <v/>
      </c>
      <c r="B10393" t="inlineStr">
        <is>
          <t>NorthStrive Acquisition Corp I.</t>
        </is>
      </c>
      <c r="C10393" t="inlineStr">
        <is>
          <t>Nasdaq</t>
        </is>
      </c>
      <c r="D10393" t="n">
        <v>2133719</v>
      </c>
      <c r="E10393" t="inlineStr">
        <is>
          <t>SEC</t>
        </is>
      </c>
    </row>
    <row r="10394">
      <c r="A10394" s="5">
        <f>HYPERLINK("https://finance.yahoo.com/quote/NSAIU","NSAIU")</f>
        <v/>
      </c>
      <c r="B10394" t="inlineStr">
        <is>
          <t>NorthStrive Acquisition Corp I.</t>
        </is>
      </c>
      <c r="C10394" t="inlineStr">
        <is>
          <t>Nasdaq</t>
        </is>
      </c>
      <c r="D10394" t="n">
        <v>2133719</v>
      </c>
      <c r="E10394" t="inlineStr">
        <is>
          <t>SEC</t>
        </is>
      </c>
    </row>
    <row r="10395">
      <c r="A10395" s="5">
        <f>HYPERLINK("https://finance.yahoo.com/quote/NSAIW","NSAIW")</f>
        <v/>
      </c>
      <c r="B10395" t="inlineStr">
        <is>
          <t>NorthStrive Acquisition Corp I.</t>
        </is>
      </c>
      <c r="C10395" t="inlineStr">
        <is>
          <t>Nasdaq</t>
        </is>
      </c>
      <c r="D10395" t="n">
        <v>2133719</v>
      </c>
      <c r="E10395" t="inlineStr">
        <is>
          <t>SEC</t>
        </is>
      </c>
    </row>
    <row r="10396">
      <c r="A10396" s="5">
        <f>HYPERLINK("https://finance.yahoo.com/quote/ITHLF","ITHLF")</f>
        <v/>
      </c>
      <c r="B10396" t="inlineStr">
        <is>
          <t>Ithaca Energy PLC/ADR</t>
        </is>
      </c>
      <c r="C10396" t="inlineStr">
        <is>
          <t>OTC</t>
        </is>
      </c>
      <c r="D10396" t="n">
        <v>2134539</v>
      </c>
      <c r="E10396" t="inlineStr">
        <is>
          <t>SEC</t>
        </is>
      </c>
    </row>
    <row r="10397">
      <c r="A10397" s="5">
        <f>HYPERLINK("https://finance.yahoo.com/quote/SRAIF","SRAIF")</f>
        <v/>
      </c>
      <c r="B10397" t="inlineStr">
        <is>
          <t>Stadler Rail AG/ADR</t>
        </is>
      </c>
      <c r="C10397" t="inlineStr">
        <is>
          <t>OTC</t>
        </is>
      </c>
      <c r="D10397" t="n">
        <v>2134599</v>
      </c>
      <c r="E10397" t="inlineStr">
        <is>
          <t>SEC</t>
        </is>
      </c>
    </row>
    <row r="10398">
      <c r="A10398" s="5">
        <f>HYPERLINK("https://finance.yahoo.com/quote/XTERU","XTERU")</f>
        <v/>
      </c>
      <c r="B10398" t="inlineStr">
        <is>
          <t>Xterax Corp II</t>
        </is>
      </c>
      <c r="C10398" t="inlineStr">
        <is>
          <t>Nasdaq</t>
        </is>
      </c>
      <c r="D10398" t="n">
        <v>2134856</v>
      </c>
      <c r="E10398" t="inlineStr">
        <is>
          <t>SEC</t>
        </is>
      </c>
    </row>
    <row r="10399">
      <c r="A10399" s="5">
        <f>HYPERLINK("https://finance.yahoo.com/quote/XTERW","XTERW")</f>
        <v/>
      </c>
      <c r="B10399" t="inlineStr">
        <is>
          <t>Xterax Corp II</t>
        </is>
      </c>
      <c r="C10399" t="inlineStr">
        <is>
          <t>Nasdaq</t>
        </is>
      </c>
      <c r="D10399" t="n">
        <v>2134856</v>
      </c>
      <c r="E10399" t="inlineStr">
        <is>
          <t>SEC</t>
        </is>
      </c>
    </row>
    <row r="10400">
      <c r="A10400" s="5">
        <f>HYPERLINK("https://finance.yahoo.com/quote/MIACU","MIACU")</f>
        <v/>
      </c>
      <c r="B10400" t="inlineStr">
        <is>
          <t>Meridian3 Industrials Acquisition Corp</t>
        </is>
      </c>
      <c r="C10400" t="inlineStr">
        <is>
          <t>Nasdaq</t>
        </is>
      </c>
      <c r="D10400" t="n">
        <v>2136530</v>
      </c>
      <c r="E10400" t="inlineStr">
        <is>
          <t>SEC</t>
        </is>
      </c>
    </row>
    <row r="10401">
      <c r="A10401" s="5">
        <f>HYPERLINK("https://finance.yahoo.com/quote/MIACW","MIACW")</f>
        <v/>
      </c>
      <c r="B10401" t="inlineStr">
        <is>
          <t>Meridian3 Industrials Acquisition Corp</t>
        </is>
      </c>
      <c r="C10401" t="inlineStr">
        <is>
          <t>Nasdaq</t>
        </is>
      </c>
      <c r="D10401" t="n">
        <v>2136530</v>
      </c>
      <c r="E10401" t="inlineStr">
        <is>
          <t>SEC</t>
        </is>
      </c>
    </row>
    <row r="10402">
      <c r="A10402" s="5">
        <f>HYPERLINK("https://finance.yahoo.com/quote/NMEHF","NMEHF")</f>
        <v/>
      </c>
      <c r="B10402" t="inlineStr">
        <is>
          <t>Nomura Real Estate Holdings, Inc./ADR</t>
        </is>
      </c>
      <c r="C10402" t="inlineStr">
        <is>
          <t>OTC</t>
        </is>
      </c>
      <c r="D10402" t="n">
        <v>2136706</v>
      </c>
      <c r="E10402" t="inlineStr">
        <is>
          <t>SEC</t>
        </is>
      </c>
    </row>
    <row r="10403">
      <c r="A10403" s="5">
        <f>HYPERLINK("https://finance.yahoo.com/quote/OSOPF","OSOPF")</f>
        <v/>
      </c>
      <c r="B10403" t="inlineStr">
        <is>
          <t>Osotspa Public Co Limited/ADR</t>
        </is>
      </c>
      <c r="C10403" t="inlineStr">
        <is>
          <t>OTC</t>
        </is>
      </c>
      <c r="D10403" t="n">
        <v>2137358</v>
      </c>
      <c r="E10403" t="inlineStr">
        <is>
          <t>SEC</t>
        </is>
      </c>
    </row>
    <row r="10404">
      <c r="A10404" s="5">
        <f>HYPERLINK("https://finance.yahoo.com/quote/OCLTR","OCLTR")</f>
        <v/>
      </c>
      <c r="B10404" t="inlineStr">
        <is>
          <t>OceanLight Acquisition Corp</t>
        </is>
      </c>
      <c r="C10404" t="inlineStr">
        <is>
          <t>Nasdaq</t>
        </is>
      </c>
      <c r="D10404" t="n">
        <v>2137679</v>
      </c>
      <c r="E10404" t="inlineStr">
        <is>
          <t>SEC</t>
        </is>
      </c>
    </row>
    <row r="10405">
      <c r="A10405" s="5">
        <f>HYPERLINK("https://finance.yahoo.com/quote/OCLTU","OCLTU")</f>
        <v/>
      </c>
      <c r="B10405" t="inlineStr">
        <is>
          <t>OceanLight Acquisition Corp</t>
        </is>
      </c>
      <c r="C10405" t="inlineStr">
        <is>
          <t>Nasdaq</t>
        </is>
      </c>
      <c r="D10405" t="n">
        <v>2137679</v>
      </c>
      <c r="E10405" t="inlineStr">
        <is>
          <t>SEC</t>
        </is>
      </c>
    </row>
    <row r="10406">
      <c r="A10406" s="5">
        <f>HYPERLINK("https://finance.yahoo.com/quote/OCLTW","OCLTW")</f>
        <v/>
      </c>
      <c r="B10406" t="inlineStr">
        <is>
          <t>OceanLight Acquisition Corp</t>
        </is>
      </c>
      <c r="C10406" t="inlineStr">
        <is>
          <t>Nasdaq</t>
        </is>
      </c>
      <c r="D10406" t="n">
        <v>2137679</v>
      </c>
      <c r="E10406" t="inlineStr">
        <is>
          <t>SEC</t>
        </is>
      </c>
    </row>
    <row r="10407">
      <c r="A10407" s="5">
        <f>HYPERLINK("https://finance.yahoo.com/quote/CGPCF","CGPCF")</f>
        <v/>
      </c>
      <c r="B10407" t="inlineStr">
        <is>
          <t>Carabao Group Public Co Limited/ADR</t>
        </is>
      </c>
      <c r="C10407" t="inlineStr">
        <is>
          <t>OTC</t>
        </is>
      </c>
      <c r="D10407" t="n">
        <v>2138373</v>
      </c>
      <c r="E10407" t="inlineStr">
        <is>
          <t>SEC</t>
        </is>
      </c>
    </row>
    <row r="10408">
      <c r="A10408" s="5">
        <f>HYPERLINK("https://finance.yahoo.com/quote/VII-UN","VII-UN")</f>
        <v/>
      </c>
      <c r="B10408" t="inlineStr">
        <is>
          <t>Viking Acquisition Corp. II</t>
        </is>
      </c>
      <c r="C10408" t="inlineStr">
        <is>
          <t>NYSE</t>
        </is>
      </c>
      <c r="D10408" t="n">
        <v>2139246</v>
      </c>
      <c r="E10408" t="inlineStr">
        <is>
          <t>SEC</t>
        </is>
      </c>
    </row>
    <row r="10409">
      <c r="A10409" s="5">
        <f>HYPERLINK("https://finance.yahoo.com/quote/VII-WT","VII-WT")</f>
        <v/>
      </c>
      <c r="B10409" t="inlineStr">
        <is>
          <t>Viking Acquisition Corp. II</t>
        </is>
      </c>
      <c r="C10409" t="inlineStr">
        <is>
          <t>NYSE</t>
        </is>
      </c>
      <c r="D10409" t="n">
        <v>2139246</v>
      </c>
      <c r="E10409" t="inlineStr">
        <is>
          <t>SEC</t>
        </is>
      </c>
    </row>
    <row r="10410">
      <c r="A10410" s="5">
        <f>HYPERLINK("https://finance.yahoo.com/quote/ATZAF","ATZAF")</f>
        <v/>
      </c>
      <c r="B10410" t="inlineStr">
        <is>
          <t>Aritzia Inc./ADR</t>
        </is>
      </c>
      <c r="C10410" t="inlineStr">
        <is>
          <t>OTC</t>
        </is>
      </c>
      <c r="D10410" t="n">
        <v>2139627</v>
      </c>
      <c r="E10410" t="inlineStr">
        <is>
          <t>SEC</t>
        </is>
      </c>
    </row>
    <row r="10411">
      <c r="A10411" s="5">
        <f>HYPERLINK("https://finance.yahoo.com/quote/TBCVU","TBCVU")</f>
        <v/>
      </c>
      <c r="B10411" t="inlineStr">
        <is>
          <t>Thunder Bridge Capital Partners V, Ltd.</t>
        </is>
      </c>
      <c r="C10411" t="inlineStr">
        <is>
          <t>Nasdaq</t>
        </is>
      </c>
      <c r="D10411" t="n">
        <v>2140030</v>
      </c>
      <c r="E10411" t="inlineStr">
        <is>
          <t>SEC</t>
        </is>
      </c>
    </row>
    <row r="10412">
      <c r="A10412" s="5">
        <f>HYPERLINK("https://finance.yahoo.com/quote/TBCVW","TBCVW")</f>
        <v/>
      </c>
      <c r="B10412" t="inlineStr">
        <is>
          <t>Thunder Bridge Capital Partners V, Ltd.</t>
        </is>
      </c>
      <c r="C10412" t="inlineStr">
        <is>
          <t>Nasdaq</t>
        </is>
      </c>
      <c r="D10412" t="n">
        <v>2140030</v>
      </c>
      <c r="E10412" t="inlineStr">
        <is>
          <t>SEC</t>
        </is>
      </c>
    </row>
    <row r="10413">
      <c r="A10413" s="5">
        <f>HYPERLINK("https://finance.yahoo.com/quote/RGAKF","RGAKF")</f>
        <v/>
      </c>
      <c r="B10413" t="inlineStr">
        <is>
          <t>Rigaku Holdings Corporation/ADR</t>
        </is>
      </c>
      <c r="C10413" t="inlineStr">
        <is>
          <t>OTC</t>
        </is>
      </c>
      <c r="D10413" t="n">
        <v>2141099</v>
      </c>
      <c r="E10413" t="inlineStr">
        <is>
          <t>SEC</t>
        </is>
      </c>
    </row>
    <row r="10414">
      <c r="A10414" s="5">
        <f>HYPERLINK("https://finance.yahoo.com/quote/ORGJF","ORGJF")</f>
        <v/>
      </c>
      <c r="B10414" t="inlineStr">
        <is>
          <t>Organo Corporation/ADR</t>
        </is>
      </c>
      <c r="C10414" t="inlineStr">
        <is>
          <t>OTC</t>
        </is>
      </c>
      <c r="D10414" t="n">
        <v>2142762</v>
      </c>
      <c r="E10414" t="inlineStr">
        <is>
          <t>SEC</t>
        </is>
      </c>
    </row>
    <row r="10415">
      <c r="A10415" s="5">
        <f>HYPERLINK("https://finance.yahoo.com/quote/CPTKF","CPTKF")</f>
        <v/>
      </c>
      <c r="B10415" t="inlineStr">
        <is>
          <t>Capital Tankers Corp./ADR</t>
        </is>
      </c>
      <c r="C10415" t="inlineStr">
        <is>
          <t>OTC</t>
        </is>
      </c>
      <c r="D10415" t="n">
        <v>2144751</v>
      </c>
      <c r="E10415" t="inlineStr">
        <is>
          <t>SEC</t>
        </is>
      </c>
    </row>
    <row r="10416">
      <c r="A10416" s="5">
        <f>HYPERLINK("https://finance.yahoo.com/quote/IPHXU","IPHXU")</f>
        <v/>
      </c>
      <c r="B10416" t="inlineStr">
        <is>
          <t>Inflection Point Acquisition Corp. VIII</t>
        </is>
      </c>
      <c r="C10416" t="inlineStr">
        <is>
          <t>Nasdaq</t>
        </is>
      </c>
      <c r="D10416" t="n">
        <v>2146310</v>
      </c>
      <c r="E10416" t="inlineStr">
        <is>
          <t>SEC</t>
        </is>
      </c>
    </row>
    <row r="10417">
      <c r="A10417" s="5">
        <f>HYPERLINK("https://finance.yahoo.com/quote/IPHXW","IPHXW")</f>
        <v/>
      </c>
      <c r="B10417" t="inlineStr">
        <is>
          <t>Inflection Point Acquisition Corp. VIII</t>
        </is>
      </c>
      <c r="C10417" t="inlineStr">
        <is>
          <t>Nasdaq</t>
        </is>
      </c>
      <c r="D10417" t="n">
        <v>2146310</v>
      </c>
      <c r="E10417" t="inlineStr">
        <is>
          <t>SEC</t>
        </is>
      </c>
    </row>
    <row r="10418">
      <c r="A10418" s="5">
        <f>HYPERLINK("https://finance.yahoo.com/quote/RNAQU","RNAQU")</f>
        <v/>
      </c>
      <c r="B10418" t="inlineStr">
        <is>
          <t>Rainier Acquisition Corp</t>
        </is>
      </c>
      <c r="C10418" t="inlineStr">
        <is>
          <t>Nasdaq</t>
        </is>
      </c>
      <c r="D10418" t="n">
        <v>2147219</v>
      </c>
      <c r="E10418" t="inlineStr">
        <is>
          <t>SEC</t>
        </is>
      </c>
    </row>
    <row r="10419">
      <c r="A10419" s="5">
        <f>HYPERLINK("https://finance.yahoo.com/quote/RNAQW","RNAQW")</f>
        <v/>
      </c>
      <c r="B10419" t="inlineStr">
        <is>
          <t>Rainier Acquisition Corp</t>
        </is>
      </c>
      <c r="C10419" t="inlineStr">
        <is>
          <t>Nasdaq</t>
        </is>
      </c>
      <c r="D10419" t="n">
        <v>2147219</v>
      </c>
      <c r="E10419" t="inlineStr">
        <is>
          <t>SEC</t>
        </is>
      </c>
    </row>
    <row r="10420">
      <c r="A10420" s="5">
        <f>HYPERLINK("https://finance.yahoo.com/quote/AGXXF","AGXXF")</f>
        <v/>
      </c>
      <c r="B10420" t="inlineStr">
        <is>
          <t>AGILYX ASA / ADR</t>
        </is>
      </c>
      <c r="C10420" t="inlineStr">
        <is>
          <t>OTC</t>
        </is>
      </c>
      <c r="D10420" t="n">
        <v>2147869</v>
      </c>
      <c r="E10420" t="inlineStr">
        <is>
          <t>SEC</t>
        </is>
      </c>
    </row>
    <row r="10421">
      <c r="A10421" s="5">
        <f>HYPERLINK("https://finance.yahoo.com/quote/MMTGF","MMTGF")</f>
        <v/>
      </c>
      <c r="B10421" t="inlineStr">
        <is>
          <t>MOMENTA GLOBAL LTD/ADR</t>
        </is>
      </c>
      <c r="C10421" t="inlineStr">
        <is>
          <t>OTC</t>
        </is>
      </c>
      <c r="D10421" t="n">
        <v>2148075</v>
      </c>
      <c r="E10421" t="inlineStr">
        <is>
          <t>SEC</t>
        </is>
      </c>
    </row>
    <row r="10422">
      <c r="A10422" s="5">
        <f>HYPERLINK("https://finance.yahoo.com/quote/PORT-UN","PORT-UN")</f>
        <v/>
      </c>
      <c r="B10422" t="inlineStr">
        <is>
          <t>Southport Acquisition Corp. II</t>
        </is>
      </c>
      <c r="C10422" t="inlineStr">
        <is>
          <t>NYSE</t>
        </is>
      </c>
      <c r="D10422" t="n">
        <v>2148436</v>
      </c>
      <c r="E10422" t="inlineStr">
        <is>
          <t>SEC</t>
        </is>
      </c>
    </row>
    <row r="10423">
      <c r="A10423" s="5">
        <f>HYPERLINK("https://finance.yahoo.com/quote/PITAF","PITAF")</f>
        <v/>
      </c>
      <c r="B10423" t="inlineStr">
        <is>
          <t>Poste Italiane S.p.A./ADR</t>
        </is>
      </c>
      <c r="C10423" t="inlineStr">
        <is>
          <t>OTC</t>
        </is>
      </c>
      <c r="D10423" t="n">
        <v>2149111</v>
      </c>
      <c r="E10423" t="inlineStr">
        <is>
          <t>SEC</t>
        </is>
      </c>
    </row>
    <row r="10424">
      <c r="A10424" s="5">
        <f>HYPERLINK("https://finance.yahoo.com/quote/FNLPF","FNLPF")</f>
        <v/>
      </c>
      <c r="B10424" t="inlineStr">
        <is>
          <t>Fresnillo Plc/ADR</t>
        </is>
      </c>
      <c r="C10424" t="inlineStr">
        <is>
          <t>OTC</t>
        </is>
      </c>
      <c r="D10424" t="n">
        <v>2150886</v>
      </c>
      <c r="E10424" t="inlineStr">
        <is>
          <t>SEC</t>
        </is>
      </c>
    </row>
    <row r="10425">
      <c r="A10425" s="5">
        <f>HYPERLINK("https://finance.yahoo.com/quote/ZHILF","ZHILF")</f>
        <v/>
      </c>
      <c r="B10425" t="inlineStr">
        <is>
          <t>Zhongji Innolight Co., Ltd./ADR</t>
        </is>
      </c>
      <c r="C10425" t="inlineStr">
        <is>
          <t>OTC</t>
        </is>
      </c>
      <c r="D10425" t="n">
        <v>2150915</v>
      </c>
      <c r="E10425" t="inlineStr">
        <is>
          <t>SEC</t>
        </is>
      </c>
    </row>
    <row r="10426">
      <c r="A10426" s="5">
        <f>HYPERLINK("https://finance.yahoo.com/quote/UNJCF","UNJCF")</f>
        <v/>
      </c>
      <c r="B10426" t="inlineStr">
        <is>
          <t>Unicaja Banco S.A/ADR</t>
        </is>
      </c>
      <c r="C10426" t="inlineStr">
        <is>
          <t>OTC</t>
        </is>
      </c>
      <c r="D10426" t="n">
        <v>2153327</v>
      </c>
      <c r="E10426" t="inlineStr">
        <is>
          <t>SEC</t>
        </is>
      </c>
    </row>
    <row r="10427">
      <c r="A10427" s="5">
        <f>HYPERLINK("https://finance.yahoo.com/quote/PGBIF","PGBIF")</f>
        <v/>
      </c>
      <c r="B10427" t="inlineStr">
        <is>
          <t>PegBio Co., Ltd/ADR</t>
        </is>
      </c>
      <c r="C10427" t="inlineStr">
        <is>
          <t>OTC</t>
        </is>
      </c>
      <c r="D10427" t="n">
        <v>2154113</v>
      </c>
      <c r="E10427" t="inlineStr">
        <is>
          <t>SEC</t>
        </is>
      </c>
    </row>
    <row r="10428">
      <c r="A10428" s="5">
        <f>HYPERLINK("https://finance.yahoo.com/quote/JSTWF","JSTWF")</f>
        <v/>
      </c>
      <c r="B10428" t="inlineStr">
        <is>
          <t>JOST Werke SE/ADR</t>
        </is>
      </c>
      <c r="C10428" t="inlineStr">
        <is>
          <t>OTC</t>
        </is>
      </c>
      <c r="D10428" t="n">
        <v>2155258</v>
      </c>
      <c r="E10428" t="inlineStr">
        <is>
          <t>SEC</t>
        </is>
      </c>
    </row>
    <row r="10429">
      <c r="A10429" s="5">
        <f>HYPERLINK("https://finance.yahoo.com/quote/ADSLF","ADSLF")</f>
        <v/>
      </c>
      <c r="B10429" t="inlineStr">
        <is>
          <t>Andean Silver Ltd</t>
        </is>
      </c>
      <c r="C10429" t="inlineStr">
        <is>
          <t>OTC</t>
        </is>
      </c>
      <c r="D10429" t="n">
        <v>2156728</v>
      </c>
      <c r="E10429" t="inlineStr">
        <is>
          <t>SEC</t>
        </is>
      </c>
    </row>
    <row r="10430">
      <c r="A10430" s="5">
        <f>HYPERLINK("https://finance.yahoo.com/quote/SIVEF","SIVEF")</f>
        <v/>
      </c>
      <c r="B10430" t="inlineStr">
        <is>
          <t>SIVERS SEMICONDUCTORS AB/ADR</t>
        </is>
      </c>
      <c r="C10430" t="inlineStr">
        <is>
          <t>OTC</t>
        </is>
      </c>
      <c r="D10430" t="n">
        <v>2157475</v>
      </c>
      <c r="E10430" t="inlineStr">
        <is>
          <t>SEC</t>
        </is>
      </c>
    </row>
    <row r="10431">
      <c r="A10431" s="5">
        <f>HYPERLINK("https://finance.yahoo.com/quote/CRMNF","CRMNF")</f>
        <v/>
      </c>
      <c r="B10431" t="inlineStr">
        <is>
          <t>Harena Rare Earths Plc</t>
        </is>
      </c>
      <c r="C10431" t="inlineStr">
        <is>
          <t>OTC</t>
        </is>
      </c>
      <c r="D10431" t="n">
        <v>2158201</v>
      </c>
      <c r="E10431" t="inlineStr">
        <is>
          <t>SEC</t>
        </is>
      </c>
    </row>
    <row r="10432">
      <c r="A10432" s="5">
        <f>HYPERLINK("https://finance.yahoo.com/quote/BA.L","BA.L")</f>
        <v/>
      </c>
      <c r="B10432" t="inlineStr">
        <is>
          <t>BAE Systems plc</t>
        </is>
      </c>
      <c r="C10432" t="inlineStr">
        <is>
          <t>London</t>
        </is>
      </c>
      <c r="E10432" t="inlineStr">
        <is>
          <t>ruční seznam</t>
        </is>
      </c>
    </row>
    <row r="10433">
      <c r="A10433" s="5">
        <f>HYPERLINK("https://finance.yahoo.com/quote/RR.L","RR.L")</f>
        <v/>
      </c>
      <c r="B10433" t="inlineStr">
        <is>
          <t>Rolls-Royce Holdings plc</t>
        </is>
      </c>
      <c r="C10433" t="inlineStr">
        <is>
          <t>London</t>
        </is>
      </c>
      <c r="E10433" t="inlineStr">
        <is>
          <t>ruční seznam</t>
        </is>
      </c>
    </row>
    <row r="10434">
      <c r="A10434" s="5">
        <f>HYPERLINK("https://finance.yahoo.com/quote/BAB.L","BAB.L")</f>
        <v/>
      </c>
      <c r="B10434" t="inlineStr">
        <is>
          <t>Babcock International Group plc</t>
        </is>
      </c>
      <c r="C10434" t="inlineStr">
        <is>
          <t>London</t>
        </is>
      </c>
      <c r="E10434" t="inlineStr">
        <is>
          <t>ruční seznam</t>
        </is>
      </c>
    </row>
    <row r="10435">
      <c r="A10435" s="5">
        <f>HYPERLINK("https://finance.yahoo.com/quote/QQ.L","QQ.L")</f>
        <v/>
      </c>
      <c r="B10435" t="inlineStr">
        <is>
          <t>QinetiQ Group plc</t>
        </is>
      </c>
      <c r="C10435" t="inlineStr">
        <is>
          <t>London</t>
        </is>
      </c>
      <c r="E10435" t="inlineStr">
        <is>
          <t>ruční seznam</t>
        </is>
      </c>
    </row>
    <row r="10436">
      <c r="A10436" s="5">
        <f>HYPERLINK("https://finance.yahoo.com/quote/SRP.L","SRP.L")</f>
        <v/>
      </c>
      <c r="B10436" t="inlineStr">
        <is>
          <t>Serco Group plc</t>
        </is>
      </c>
      <c r="C10436" t="inlineStr">
        <is>
          <t>London</t>
        </is>
      </c>
      <c r="E10436" t="inlineStr">
        <is>
          <t>ruční seznam</t>
        </is>
      </c>
    </row>
    <row r="10437">
      <c r="A10437" s="5">
        <f>HYPERLINK("https://finance.yahoo.com/quote/CHG.L","CHG.L")</f>
        <v/>
      </c>
      <c r="B10437" t="inlineStr">
        <is>
          <t>Chemring Group plc</t>
        </is>
      </c>
      <c r="C10437" t="inlineStr">
        <is>
          <t>London</t>
        </is>
      </c>
      <c r="E10437" t="inlineStr">
        <is>
          <t>ruční seznam</t>
        </is>
      </c>
    </row>
    <row r="10438">
      <c r="A10438" s="5">
        <f>HYPERLINK("https://finance.yahoo.com/quote/HO.PA","HO.PA")</f>
        <v/>
      </c>
      <c r="B10438" t="inlineStr">
        <is>
          <t>Thales SA</t>
        </is>
      </c>
      <c r="C10438" t="inlineStr">
        <is>
          <t>Paris</t>
        </is>
      </c>
      <c r="E10438" t="inlineStr">
        <is>
          <t>ruční seznam</t>
        </is>
      </c>
    </row>
    <row r="10439">
      <c r="A10439" s="5">
        <f>HYPERLINK("https://finance.yahoo.com/quote/AIR.PA","AIR.PA")</f>
        <v/>
      </c>
      <c r="B10439" t="inlineStr">
        <is>
          <t>Airbus SE</t>
        </is>
      </c>
      <c r="C10439" t="inlineStr">
        <is>
          <t>Paris</t>
        </is>
      </c>
      <c r="E10439" t="inlineStr">
        <is>
          <t>ruční seznam</t>
        </is>
      </c>
    </row>
    <row r="10440">
      <c r="A10440" s="5">
        <f>HYPERLINK("https://finance.yahoo.com/quote/SAF.PA","SAF.PA")</f>
        <v/>
      </c>
      <c r="B10440" t="inlineStr">
        <is>
          <t>Safran SA</t>
        </is>
      </c>
      <c r="C10440" t="inlineStr">
        <is>
          <t>Paris</t>
        </is>
      </c>
      <c r="E10440" t="inlineStr">
        <is>
          <t>ruční seznam</t>
        </is>
      </c>
    </row>
    <row r="10441">
      <c r="A10441" s="5">
        <f>HYPERLINK("https://finance.yahoo.com/quote/AM.PA","AM.PA")</f>
        <v/>
      </c>
      <c r="B10441" t="inlineStr">
        <is>
          <t>Dassault Aviation SA</t>
        </is>
      </c>
      <c r="C10441" t="inlineStr">
        <is>
          <t>Paris</t>
        </is>
      </c>
      <c r="E10441" t="inlineStr">
        <is>
          <t>ruční seznam</t>
        </is>
      </c>
    </row>
    <row r="10442">
      <c r="A10442" s="5">
        <f>HYPERLINK("https://finance.yahoo.com/quote/CAP.PA","CAP.PA")</f>
        <v/>
      </c>
      <c r="B10442" t="inlineStr">
        <is>
          <t>Capgemini SE</t>
        </is>
      </c>
      <c r="C10442" t="inlineStr">
        <is>
          <t>Paris</t>
        </is>
      </c>
      <c r="E10442" t="inlineStr">
        <is>
          <t>ruční seznam</t>
        </is>
      </c>
    </row>
    <row r="10443">
      <c r="A10443" s="5">
        <f>HYPERLINK("https://finance.yahoo.com/quote/SOP.PA","SOP.PA")</f>
        <v/>
      </c>
      <c r="B10443" t="inlineStr">
        <is>
          <t>Sopra Steria Group</t>
        </is>
      </c>
      <c r="C10443" t="inlineStr">
        <is>
          <t>Paris</t>
        </is>
      </c>
      <c r="E10443" t="inlineStr">
        <is>
          <t>ruční seznam</t>
        </is>
      </c>
    </row>
    <row r="10444">
      <c r="A10444" s="5">
        <f>HYPERLINK("https://finance.yahoo.com/quote/RHM.DE","RHM.DE")</f>
        <v/>
      </c>
      <c r="B10444" t="inlineStr">
        <is>
          <t>Rheinmetall AG</t>
        </is>
      </c>
      <c r="C10444" t="inlineStr">
        <is>
          <t>Frankfurt (Xetra)</t>
        </is>
      </c>
      <c r="E10444" t="inlineStr">
        <is>
          <t>ruční seznam</t>
        </is>
      </c>
    </row>
    <row r="10445">
      <c r="A10445" s="5">
        <f>HYPERLINK("https://finance.yahoo.com/quote/HAG.DE","HAG.DE")</f>
        <v/>
      </c>
      <c r="B10445" t="inlineStr">
        <is>
          <t>Hensoldt AG</t>
        </is>
      </c>
      <c r="C10445" t="inlineStr">
        <is>
          <t>Frankfurt (Xetra)</t>
        </is>
      </c>
      <c r="E10445" t="inlineStr">
        <is>
          <t>ruční seznam</t>
        </is>
      </c>
    </row>
    <row r="10446">
      <c r="A10446" s="5">
        <f>HYPERLINK("https://finance.yahoo.com/quote/SIE.DE","SIE.DE")</f>
        <v/>
      </c>
      <c r="B10446" t="inlineStr">
        <is>
          <t>Siemens AG</t>
        </is>
      </c>
      <c r="C10446" t="inlineStr">
        <is>
          <t>Frankfurt (Xetra)</t>
        </is>
      </c>
      <c r="E10446" t="inlineStr">
        <is>
          <t>ruční seznam</t>
        </is>
      </c>
    </row>
    <row r="10447">
      <c r="A10447" s="5">
        <f>HYPERLINK("https://finance.yahoo.com/quote/ENR.DE","ENR.DE")</f>
        <v/>
      </c>
      <c r="B10447" t="inlineStr">
        <is>
          <t>Siemens Energy AG</t>
        </is>
      </c>
      <c r="C10447" t="inlineStr">
        <is>
          <t>Frankfurt (Xetra)</t>
        </is>
      </c>
      <c r="E10447" t="inlineStr">
        <is>
          <t>ruční seznam</t>
        </is>
      </c>
    </row>
    <row r="10448">
      <c r="A10448" s="5">
        <f>HYPERLINK("https://finance.yahoo.com/quote/8TRA.DE","8TRA.DE")</f>
        <v/>
      </c>
      <c r="B10448" t="inlineStr">
        <is>
          <t>Traton SE</t>
        </is>
      </c>
      <c r="C10448" t="inlineStr">
        <is>
          <t>Frankfurt (Xetra)</t>
        </is>
      </c>
      <c r="E10448" t="inlineStr">
        <is>
          <t>ruční seznam</t>
        </is>
      </c>
    </row>
    <row r="10449">
      <c r="A10449" s="5">
        <f>HYPERLINK("https://finance.yahoo.com/quote/TKA.DE","TKA.DE")</f>
        <v/>
      </c>
      <c r="B10449" t="inlineStr">
        <is>
          <t>thyssenkrupp AG</t>
        </is>
      </c>
      <c r="C10449" t="inlineStr">
        <is>
          <t>Frankfurt (Xetra)</t>
        </is>
      </c>
      <c r="E10449" t="inlineStr">
        <is>
          <t>ruční seznam</t>
        </is>
      </c>
    </row>
    <row r="10450">
      <c r="A10450" s="5">
        <f>HYPERLINK("https://finance.yahoo.com/quote/LDO.MI","LDO.MI")</f>
        <v/>
      </c>
      <c r="B10450" t="inlineStr">
        <is>
          <t>Leonardo SpA</t>
        </is>
      </c>
      <c r="C10450" t="inlineStr">
        <is>
          <t>Milano</t>
        </is>
      </c>
      <c r="E10450" t="inlineStr">
        <is>
          <t>ruční seznam</t>
        </is>
      </c>
    </row>
    <row r="10451">
      <c r="A10451" s="5">
        <f>HYPERLINK("https://finance.yahoo.com/quote/FCT.MI","FCT.MI")</f>
        <v/>
      </c>
      <c r="B10451" t="inlineStr">
        <is>
          <t>Fincantieri SpA</t>
        </is>
      </c>
      <c r="C10451" t="inlineStr">
        <is>
          <t>Milano</t>
        </is>
      </c>
      <c r="E10451" t="inlineStr">
        <is>
          <t>ruční seznam</t>
        </is>
      </c>
    </row>
    <row r="10452">
      <c r="A10452" s="5">
        <f>HYPERLINK("https://finance.yahoo.com/quote/SAAB-B.ST","SAAB-B.ST")</f>
        <v/>
      </c>
      <c r="B10452" t="inlineStr">
        <is>
          <t>Saab AB</t>
        </is>
      </c>
      <c r="C10452" t="inlineStr">
        <is>
          <t>Stockholm</t>
        </is>
      </c>
      <c r="E10452" t="inlineStr">
        <is>
          <t>ruční seznam</t>
        </is>
      </c>
    </row>
    <row r="10453">
      <c r="A10453" s="5">
        <f>HYPERLINK("https://finance.yahoo.com/quote/KOG.OL","KOG.OL")</f>
        <v/>
      </c>
      <c r="B10453" t="inlineStr">
        <is>
          <t>Kongsberg Gruppen ASA</t>
        </is>
      </c>
      <c r="C10453" t="inlineStr">
        <is>
          <t>Oslo</t>
        </is>
      </c>
      <c r="E10453" t="inlineStr">
        <is>
          <t>ruční seznam</t>
        </is>
      </c>
    </row>
    <row r="10454">
      <c r="A10454" s="5">
        <f>HYPERLINK("https://finance.yahoo.com/quote/NHY.OL","NHY.OL")</f>
        <v/>
      </c>
      <c r="B10454" t="inlineStr">
        <is>
          <t>Norsk Hydro ASA</t>
        </is>
      </c>
      <c r="C10454" t="inlineStr">
        <is>
          <t>Oslo</t>
        </is>
      </c>
      <c r="E10454" t="inlineStr">
        <is>
          <t>ruční seznam</t>
        </is>
      </c>
    </row>
    <row r="10455">
      <c r="A10455" s="5">
        <f>HYPERLINK("https://finance.yahoo.com/quote/ASB.AX","ASB.AX")</f>
        <v/>
      </c>
      <c r="B10455" t="inlineStr">
        <is>
          <t>Austal Ltd</t>
        </is>
      </c>
      <c r="C10455" t="inlineStr">
        <is>
          <t>Sydney</t>
        </is>
      </c>
      <c r="E10455" t="inlineStr">
        <is>
          <t>ruční seznam</t>
        </is>
      </c>
    </row>
    <row r="10456">
      <c r="A10456" s="5">
        <f>HYPERLINK("https://finance.yahoo.com/quote/CAE.TO","CAE.TO")</f>
        <v/>
      </c>
      <c r="B10456" t="inlineStr">
        <is>
          <t>CAE Inc</t>
        </is>
      </c>
      <c r="C10456" t="inlineStr">
        <is>
          <t>Toronto</t>
        </is>
      </c>
      <c r="E10456" t="inlineStr">
        <is>
          <t>ruční seznam</t>
        </is>
      </c>
    </row>
    <row r="10457">
      <c r="A10457" s="5">
        <f>HYPERLINK("https://finance.yahoo.com/quote/6702.T","6702.T")</f>
        <v/>
      </c>
      <c r="B10457" t="inlineStr">
        <is>
          <t>Fujitsu Ltd</t>
        </is>
      </c>
      <c r="C10457" t="inlineStr">
        <is>
          <t>Tokio</t>
        </is>
      </c>
      <c r="E10457" t="inlineStr">
        <is>
          <t>ruční seznam</t>
        </is>
      </c>
    </row>
    <row r="10458">
      <c r="A10458" s="5">
        <f>HYPERLINK("https://finance.yahoo.com/quote/7011.T","7011.T")</f>
        <v/>
      </c>
      <c r="B10458" t="inlineStr">
        <is>
          <t>Mitsubishi Heavy Industries</t>
        </is>
      </c>
      <c r="C10458" t="inlineStr">
        <is>
          <t>Tokio</t>
        </is>
      </c>
      <c r="E10458" t="inlineStr">
        <is>
          <t>ruční seznam</t>
        </is>
      </c>
    </row>
    <row r="10459">
      <c r="A10459" s="5">
        <f>HYPERLINK("https://finance.yahoo.com/quote/7013.T","7013.T")</f>
        <v/>
      </c>
      <c r="B10459" t="inlineStr">
        <is>
          <t>IHI Corp</t>
        </is>
      </c>
      <c r="C10459" t="inlineStr">
        <is>
          <t>Tokio</t>
        </is>
      </c>
      <c r="E10459" t="inlineStr">
        <is>
          <t>ruční seznam</t>
        </is>
      </c>
    </row>
    <row r="10460">
      <c r="A10460" s="5">
        <f>HYPERLINK("https://finance.yahoo.com/quote/012450.KS","012450.KS")</f>
        <v/>
      </c>
      <c r="B10460" t="inlineStr">
        <is>
          <t>Hanwha Aerospace</t>
        </is>
      </c>
      <c r="C10460" t="inlineStr">
        <is>
          <t>Soul</t>
        </is>
      </c>
      <c r="E10460" t="inlineStr">
        <is>
          <t>ruční seznam</t>
        </is>
      </c>
    </row>
    <row r="10461">
      <c r="A10461" s="5">
        <f>HYPERLINK("https://finance.yahoo.com/quote/329180.KS","329180.KS")</f>
        <v/>
      </c>
      <c r="B10461" t="inlineStr">
        <is>
          <t>HD Hyundai Heavy Industries</t>
        </is>
      </c>
      <c r="C10461" t="inlineStr">
        <is>
          <t>Soul</t>
        </is>
      </c>
      <c r="E10461" t="inlineStr">
        <is>
          <t>ruční seznam</t>
        </is>
      </c>
    </row>
    <row r="10462">
      <c r="A10462" s="5">
        <f>HYPERLINK("https://finance.yahoo.com/quote/ESLT.TA","ESLT.TA")</f>
        <v/>
      </c>
      <c r="B10462" t="inlineStr">
        <is>
          <t>Elbit Systems Ltd</t>
        </is>
      </c>
      <c r="C10462" t="inlineStr">
        <is>
          <t>Tel Aviv</t>
        </is>
      </c>
      <c r="E10462" t="inlineStr">
        <is>
          <t>ruční seznam</t>
        </is>
      </c>
    </row>
    <row r="10463">
      <c r="A10463" s="5">
        <f>HYPERLINK("https://finance.yahoo.com/quote/SESG.PA","SESG.PA")</f>
        <v/>
      </c>
      <c r="B10463" t="inlineStr">
        <is>
          <t>SES S.A.</t>
        </is>
      </c>
      <c r="C10463" t="inlineStr">
        <is>
          <t>Paris</t>
        </is>
      </c>
      <c r="E10463" t="inlineStr">
        <is>
          <t>ruční seznam</t>
        </is>
      </c>
    </row>
    <row r="10464">
      <c r="A10464" s="5">
        <f>HYPERLINK("https://finance.yahoo.com/quote/ETL.PA","ETL.PA")</f>
        <v/>
      </c>
      <c r="B10464" t="inlineStr">
        <is>
          <t>Eutelsat Communications</t>
        </is>
      </c>
      <c r="C10464" t="inlineStr">
        <is>
          <t>Paris</t>
        </is>
      </c>
      <c r="E10464" t="inlineStr">
        <is>
          <t>ruční seznam</t>
        </is>
      </c>
    </row>
    <row r="10465">
      <c r="A10465" s="5">
        <f>HYPERLINK("https://finance.yahoo.com/quote/SHL.DE","SHL.DE")</f>
        <v/>
      </c>
      <c r="B10465" t="inlineStr">
        <is>
          <t>Siemens Healthineers AG</t>
        </is>
      </c>
      <c r="C10465" t="inlineStr">
        <is>
          <t>Frankfurt (Xetra)</t>
        </is>
      </c>
      <c r="E10465" t="inlineStr">
        <is>
          <t>ruční seznam</t>
        </is>
      </c>
    </row>
    <row r="10466">
      <c r="A10466" s="5">
        <f>HYPERLINK("https://finance.yahoo.com/quote/ATO.PA","ATO.PA")</f>
        <v/>
      </c>
      <c r="B10466" t="inlineStr">
        <is>
          <t>Atos SE</t>
        </is>
      </c>
      <c r="C10466" t="inlineStr">
        <is>
          <t>Paris</t>
        </is>
      </c>
      <c r="E10466" t="inlineStr">
        <is>
          <t>ruční seznam</t>
        </is>
      </c>
    </row>
    <row r="10467">
      <c r="A10467" s="5">
        <f>HYPERLINK("https://finance.yahoo.com/quote/SU.PA","SU.PA")</f>
        <v/>
      </c>
      <c r="B10467" t="inlineStr">
        <is>
          <t>Schneider Electric SE</t>
        </is>
      </c>
      <c r="C10467" t="inlineStr">
        <is>
          <t>Paris</t>
        </is>
      </c>
      <c r="E10467" t="inlineStr">
        <is>
          <t>ruční seznam</t>
        </is>
      </c>
    </row>
    <row r="10468">
      <c r="A10468" s="5">
        <f>HYPERLINK("https://finance.yahoo.com/quote/ABBN.SW","ABBN.SW")</f>
        <v/>
      </c>
      <c r="B10468" t="inlineStr">
        <is>
          <t>ABB Ltd</t>
        </is>
      </c>
      <c r="C10468" t="inlineStr">
        <is>
          <t>Curych</t>
        </is>
      </c>
      <c r="E10468" t="inlineStr">
        <is>
          <t>ruční seznam</t>
        </is>
      </c>
    </row>
    <row r="10469">
      <c r="A10469" s="5">
        <f>HYPERLINK("https://finance.yahoo.com/quote/VIE.PA","VIE.PA")</f>
        <v/>
      </c>
      <c r="B10469" t="inlineStr">
        <is>
          <t>Veolia Environnement</t>
        </is>
      </c>
      <c r="C10469" t="inlineStr">
        <is>
          <t>Paris</t>
        </is>
      </c>
      <c r="E10469" t="inlineStr">
        <is>
          <t>ruční seznam</t>
        </is>
      </c>
    </row>
    <row r="10470">
      <c r="A10470" s="5">
        <f>HYPERLINK("https://finance.yahoo.com/quote/SW.PA","SW.PA")</f>
        <v/>
      </c>
      <c r="B10470" t="inlineStr">
        <is>
          <t>Sodexo</t>
        </is>
      </c>
      <c r="C10470" t="inlineStr">
        <is>
          <t>Paris</t>
        </is>
      </c>
      <c r="E10470" t="inlineStr">
        <is>
          <t>ruční seznam</t>
        </is>
      </c>
    </row>
    <row r="10471">
      <c r="A10471" s="5">
        <f>HYPERLINK("https://finance.yahoo.com/quote/CPG.L","CPG.L")</f>
        <v/>
      </c>
      <c r="B10471" t="inlineStr">
        <is>
          <t>Compass Group PLC</t>
        </is>
      </c>
      <c r="C10471" t="inlineStr">
        <is>
          <t>London</t>
        </is>
      </c>
      <c r="E10471" t="inlineStr">
        <is>
          <t>ruční seznam</t>
        </is>
      </c>
    </row>
    <row r="10472">
      <c r="A10472" s="5">
        <f>HYPERLINK("https://finance.yahoo.com/quote/ISS.CO","ISS.CO")</f>
        <v/>
      </c>
      <c r="B10472" t="inlineStr">
        <is>
          <t>ISS A/S</t>
        </is>
      </c>
      <c r="C10472" t="inlineStr">
        <is>
          <t>Kodaň</t>
        </is>
      </c>
      <c r="E10472" t="inlineStr">
        <is>
          <t>ruční seznam</t>
        </is>
      </c>
    </row>
    <row r="10473">
      <c r="A10473" s="5">
        <f>HYPERLINK("https://finance.yahoo.com/quote/SECU-B.ST","SECU-B.ST")</f>
        <v/>
      </c>
      <c r="B10473" t="inlineStr">
        <is>
          <t>Securitas AB</t>
        </is>
      </c>
      <c r="C10473" t="inlineStr">
        <is>
          <t>Stockholm</t>
        </is>
      </c>
      <c r="E10473" t="inlineStr">
        <is>
          <t>ruční seznam</t>
        </is>
      </c>
    </row>
    <row r="10474">
      <c r="A10474" s="5">
        <f>HYPERLINK("https://finance.yahoo.com/quote/BVI.PA","BVI.PA")</f>
        <v/>
      </c>
      <c r="B10474" t="inlineStr">
        <is>
          <t>Bureau Veritas</t>
        </is>
      </c>
      <c r="C10474" t="inlineStr">
        <is>
          <t>Paris</t>
        </is>
      </c>
      <c r="E10474" t="inlineStr">
        <is>
          <t>ruční seznam</t>
        </is>
      </c>
    </row>
    <row r="10475">
      <c r="A10475" s="5">
        <f>HYPERLINK("https://finance.yahoo.com/quote/SGSN.SW","SGSN.SW")</f>
        <v/>
      </c>
      <c r="B10475" t="inlineStr">
        <is>
          <t>SGS SA</t>
        </is>
      </c>
      <c r="C10475" t="inlineStr">
        <is>
          <t>Curych</t>
        </is>
      </c>
      <c r="E10475" t="inlineStr">
        <is>
          <t>ruční seznam</t>
        </is>
      </c>
    </row>
    <row r="10476">
      <c r="A10476" s="5">
        <f>HYPERLINK("https://finance.yahoo.com/quote/WSP.TO","WSP.TO")</f>
        <v/>
      </c>
      <c r="B10476" t="inlineStr">
        <is>
          <t>WSP Global Inc</t>
        </is>
      </c>
      <c r="C10476" t="inlineStr">
        <is>
          <t>Toronto</t>
        </is>
      </c>
      <c r="E10476" t="inlineStr">
        <is>
          <t>ruční seznam</t>
        </is>
      </c>
    </row>
    <row r="10477">
      <c r="A10477" s="5">
        <f>HYPERLINK("https://finance.yahoo.com/quote/HOT.DE","HOT.DE")</f>
        <v/>
      </c>
      <c r="B10477" t="inlineStr">
        <is>
          <t>Hochtief AG</t>
        </is>
      </c>
      <c r="C10477" t="inlineStr">
        <is>
          <t>Frankfurt (Xetra)</t>
        </is>
      </c>
      <c r="E10477" t="inlineStr">
        <is>
          <t>ruční seznam</t>
        </is>
      </c>
    </row>
    <row r="10478">
      <c r="A10478" s="5">
        <f>HYPERLINK("https://finance.yahoo.com/quote/ACS.MC","ACS.MC")</f>
        <v/>
      </c>
      <c r="B10478" t="inlineStr">
        <is>
          <t>ACS Actividades de Construcción</t>
        </is>
      </c>
      <c r="C10478" t="inlineStr">
        <is>
          <t>Madrid</t>
        </is>
      </c>
      <c r="E10478" t="inlineStr">
        <is>
          <t>ruční seznam</t>
        </is>
      </c>
    </row>
    <row r="10479">
      <c r="A10479" s="5">
        <f>HYPERLINK("https://finance.yahoo.com/quote/SKA-B.ST","SKA-B.ST")</f>
        <v/>
      </c>
      <c r="B10479" t="inlineStr">
        <is>
          <t>Skanska AB</t>
        </is>
      </c>
      <c r="C10479" t="inlineStr">
        <is>
          <t>Stockholm</t>
        </is>
      </c>
      <c r="E10479" t="inlineStr">
        <is>
          <t>ruční seznam</t>
        </is>
      </c>
    </row>
    <row r="10480">
      <c r="A10480" s="5">
        <f>HYPERLINK("https://finance.yahoo.com/quote/BBY.L","BBY.L")</f>
        <v/>
      </c>
      <c r="B10480" t="inlineStr">
        <is>
          <t>Balfour Beatty plc</t>
        </is>
      </c>
      <c r="C10480" t="inlineStr">
        <is>
          <t>London</t>
        </is>
      </c>
      <c r="E10480" t="inlineStr">
        <is>
          <t>ruční seznam</t>
        </is>
      </c>
    </row>
    <row r="10481">
      <c r="A10481" s="5">
        <f>HYPERLINK("https://finance.yahoo.com/quote/FUR.AS","FUR.AS")</f>
        <v/>
      </c>
      <c r="B10481" t="inlineStr">
        <is>
          <t>Fugro N.V.</t>
        </is>
      </c>
      <c r="C10481" t="inlineStr">
        <is>
          <t>Amsterdam</t>
        </is>
      </c>
      <c r="E10481" t="inlineStr">
        <is>
          <t>ruční seznam</t>
        </is>
      </c>
    </row>
    <row r="10482">
      <c r="A10482" s="5">
        <f>HYPERLINK("https://finance.yahoo.com/quote/DEME.BR","DEME.BR")</f>
        <v/>
      </c>
      <c r="B10482" t="inlineStr">
        <is>
          <t>DEME Group</t>
        </is>
      </c>
      <c r="C10482" t="inlineStr">
        <is>
          <t>Brusel</t>
        </is>
      </c>
      <c r="E10482" t="inlineStr">
        <is>
          <t>ruční seznam</t>
        </is>
      </c>
    </row>
    <row r="10483">
      <c r="A10483" s="5">
        <f>HYPERLINK("https://finance.yahoo.com/quote/MAERSK-B.CO","MAERSK-B.CO")</f>
        <v/>
      </c>
      <c r="B10483" t="inlineStr">
        <is>
          <t>A.P. Møller-Mærsk</t>
        </is>
      </c>
      <c r="C10483" t="inlineStr">
        <is>
          <t>Kodaň</t>
        </is>
      </c>
      <c r="E10483" t="inlineStr">
        <is>
          <t>ruční seznam</t>
        </is>
      </c>
    </row>
    <row r="10484">
      <c r="A10484" s="5">
        <f>HYPERLINK("https://finance.yahoo.com/quote/DHL.DE","DHL.DE")</f>
        <v/>
      </c>
      <c r="B10484" t="inlineStr">
        <is>
          <t>DHL Group</t>
        </is>
      </c>
      <c r="C10484" t="inlineStr">
        <is>
          <t>Frankfurt (Xetra)</t>
        </is>
      </c>
      <c r="E10484" t="inlineStr">
        <is>
          <t>ruční seznam</t>
        </is>
      </c>
    </row>
    <row r="10485">
      <c r="A10485" s="5">
        <f>HYPERLINK("https://finance.yahoo.com/quote/DSV.CO","DSV.CO")</f>
        <v/>
      </c>
      <c r="B10485" t="inlineStr">
        <is>
          <t>DSV A/S</t>
        </is>
      </c>
      <c r="C10485" t="inlineStr">
        <is>
          <t>Kodaň</t>
        </is>
      </c>
      <c r="E10485" t="inlineStr">
        <is>
          <t>ruční seznam</t>
        </is>
      </c>
    </row>
    <row r="10486">
      <c r="A10486" s="5">
        <f>HYPERLINK("https://finance.yahoo.com/quote/KNIN.SW","KNIN.SW")</f>
        <v/>
      </c>
      <c r="B10486" t="inlineStr">
        <is>
          <t>Kuehne + Nagel</t>
        </is>
      </c>
      <c r="C10486" t="inlineStr">
        <is>
          <t>Curych</t>
        </is>
      </c>
      <c r="E10486" t="inlineStr">
        <is>
          <t>ruční seznam</t>
        </is>
      </c>
    </row>
    <row r="10487">
      <c r="A10487" s="5">
        <f>HYPERLINK("https://finance.yahoo.com/quote/RO.SW","RO.SW")</f>
        <v/>
      </c>
      <c r="B10487" t="inlineStr">
        <is>
          <t>Roche Holding AG</t>
        </is>
      </c>
      <c r="C10487" t="inlineStr">
        <is>
          <t>Curych</t>
        </is>
      </c>
      <c r="E10487" t="inlineStr">
        <is>
          <t>ruční seznam</t>
        </is>
      </c>
    </row>
    <row r="10488">
      <c r="A10488" s="5">
        <f>HYPERLINK("https://finance.yahoo.com/quote/SDZ.SW","SDZ.SW")</f>
        <v/>
      </c>
      <c r="B10488" t="inlineStr">
        <is>
          <t>Sandoz Group AG</t>
        </is>
      </c>
      <c r="C10488" t="inlineStr">
        <is>
          <t>Curych</t>
        </is>
      </c>
      <c r="E10488" t="inlineStr">
        <is>
          <t>ruční seznam</t>
        </is>
      </c>
    </row>
    <row r="10489">
      <c r="A10489" s="5">
        <f>HYPERLINK("https://finance.yahoo.com/quote/BAYN.DE","BAYN.DE")</f>
        <v/>
      </c>
      <c r="B10489" t="inlineStr">
        <is>
          <t>Bayer AG</t>
        </is>
      </c>
      <c r="C10489" t="inlineStr">
        <is>
          <t>Frankfurt (Xetra)</t>
        </is>
      </c>
      <c r="E10489" t="inlineStr">
        <is>
          <t>ruční seznam</t>
        </is>
      </c>
    </row>
    <row r="10490">
      <c r="A10490" s="5">
        <f>HYPERLINK("https://finance.yahoo.com/quote/FRE.DE","FRE.DE")</f>
        <v/>
      </c>
      <c r="B10490" t="inlineStr">
        <is>
          <t>Fresenius SE</t>
        </is>
      </c>
      <c r="C10490" t="inlineStr">
        <is>
          <t>Frankfurt (Xetra)</t>
        </is>
      </c>
      <c r="E10490" t="inlineStr">
        <is>
          <t>ruční seznam</t>
        </is>
      </c>
    </row>
    <row r="10491">
      <c r="A10491" s="5">
        <f>HYPERLINK("https://finance.yahoo.com/quote/GLEN.L","GLEN.L")</f>
        <v/>
      </c>
      <c r="B10491" t="inlineStr">
        <is>
          <t>Glencore plc</t>
        </is>
      </c>
      <c r="C10491" t="inlineStr">
        <is>
          <t>London</t>
        </is>
      </c>
      <c r="E10491" t="inlineStr">
        <is>
          <t>ruční seznam</t>
        </is>
      </c>
    </row>
    <row r="10492">
      <c r="A10492" s="5">
        <f>HYPERLINK("https://finance.yahoo.com/quote/MTX.DE","MTX.DE")</f>
        <v/>
      </c>
      <c r="B10492" t="inlineStr">
        <is>
          <t>MTU Aero Engines</t>
        </is>
      </c>
      <c r="C10492" t="inlineStr">
        <is>
          <t>Frankfurt (Xetra)</t>
        </is>
      </c>
      <c r="E10492" t="inlineStr">
        <is>
          <t>ruční seznam</t>
        </is>
      </c>
    </row>
    <row r="10493">
      <c r="A10493" s="5">
        <f>HYPERLINK("https://finance.yahoo.com/quote/R3NK.DE","R3NK.DE")</f>
        <v/>
      </c>
      <c r="B10493" t="inlineStr">
        <is>
          <t>RENK Group AG</t>
        </is>
      </c>
      <c r="C10493" t="inlineStr">
        <is>
          <t>Frankfurt (Xetra)</t>
        </is>
      </c>
      <c r="E10493" t="inlineStr">
        <is>
          <t>ruční seznam</t>
        </is>
      </c>
    </row>
    <row r="10494">
      <c r="A10494" s="5">
        <f>HYPERLINK("https://finance.yahoo.com/quote/MRO.L","MRO.L")</f>
        <v/>
      </c>
      <c r="B10494" t="inlineStr">
        <is>
          <t>Melrose Industries (GKN Aerospace)</t>
        </is>
      </c>
      <c r="C10494" t="inlineStr">
        <is>
          <t>London</t>
        </is>
      </c>
      <c r="E10494" t="inlineStr">
        <is>
          <t>ruční seznam</t>
        </is>
      </c>
    </row>
    <row r="10495">
      <c r="A10495" s="5">
        <f>HYPERLINK("https://finance.yahoo.com/quote/SNR.L","SNR.L")</f>
        <v/>
      </c>
      <c r="B10495" t="inlineStr">
        <is>
          <t>Senior plc</t>
        </is>
      </c>
      <c r="C10495" t="inlineStr">
        <is>
          <t>London</t>
        </is>
      </c>
      <c r="E10495" t="inlineStr">
        <is>
          <t>ruční seznam</t>
        </is>
      </c>
    </row>
    <row r="10496">
      <c r="A10496" s="5">
        <f>HYPERLINK("https://finance.yahoo.com/quote/AVON.L","AVON.L")</f>
        <v/>
      </c>
      <c r="B10496" t="inlineStr">
        <is>
          <t>Avon Technologies</t>
        </is>
      </c>
      <c r="C10496" t="inlineStr">
        <is>
          <t>London</t>
        </is>
      </c>
      <c r="E10496" t="inlineStr">
        <is>
          <t>ruční seznam</t>
        </is>
      </c>
    </row>
    <row r="10497">
      <c r="A10497" s="5">
        <f>HYPERLINK("https://finance.yahoo.com/quote/IDR.MC","IDR.MC")</f>
        <v/>
      </c>
      <c r="B10497" t="inlineStr">
        <is>
          <t>Indra Sistemas</t>
        </is>
      </c>
      <c r="C10497" t="inlineStr">
        <is>
          <t>Madrid</t>
        </is>
      </c>
      <c r="E10497" t="inlineStr">
        <is>
          <t>ruční seznam</t>
        </is>
      </c>
    </row>
    <row r="10498">
      <c r="A10498" s="5">
        <f>HYPERLINK("https://finance.yahoo.com/quote/THEON.AS","THEON.AS")</f>
        <v/>
      </c>
      <c r="B10498" t="inlineStr">
        <is>
          <t>Theon International</t>
        </is>
      </c>
      <c r="C10498" t="inlineStr">
        <is>
          <t>Amsterdam</t>
        </is>
      </c>
      <c r="E10498" t="inlineStr">
        <is>
          <t>ruční seznam</t>
        </is>
      </c>
    </row>
    <row r="10499">
      <c r="A10499" s="5">
        <f>HYPERLINK("https://finance.yahoo.com/quote/ARCAD.AS","ARCAD.AS")</f>
        <v/>
      </c>
      <c r="B10499" t="inlineStr">
        <is>
          <t>Arcadis NV</t>
        </is>
      </c>
      <c r="C10499" t="inlineStr">
        <is>
          <t>Amsterdam</t>
        </is>
      </c>
      <c r="E10499" t="inlineStr">
        <is>
          <t>ruční seznam</t>
        </is>
      </c>
    </row>
    <row r="10500">
      <c r="A10500" s="5">
        <f>HYPERLINK("https://finance.yahoo.com/quote/9432.T","9432.T")</f>
        <v/>
      </c>
      <c r="B10500" t="inlineStr">
        <is>
          <t>NTT, Inc.</t>
        </is>
      </c>
      <c r="C10500" t="inlineStr">
        <is>
          <t>Tokio</t>
        </is>
      </c>
      <c r="E10500" t="inlineStr">
        <is>
          <t>ruční seznam</t>
        </is>
      </c>
    </row>
  </sheetData>
  <autoFilter ref="A1:E10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Položka</t>
        </is>
      </c>
      <c r="B1" s="1" t="inlineStr">
        <is>
          <t>Hodnota</t>
        </is>
      </c>
    </row>
    <row r="2">
      <c r="A2" t="inlineStr">
        <is>
          <t>Období v tomto souboru</t>
        </is>
      </c>
      <c r="B2" t="inlineStr">
        <is>
          <t>rok 2025</t>
        </is>
      </c>
    </row>
    <row r="3">
      <c r="A3" t="inlineStr">
        <is>
          <t>Poslední běh (UTC)</t>
        </is>
      </c>
      <c r="B3" t="inlineStr">
        <is>
          <t>2026-10-31T01:16:05Z</t>
        </is>
      </c>
    </row>
    <row r="4">
      <c r="A4" t="inlineStr">
        <is>
          <t>Seznam tickerů aktualizován</t>
        </is>
      </c>
      <c r="B4" t="inlineStr">
        <is>
          <t>2026-10-30T05:20:01Z</t>
        </is>
      </c>
    </row>
    <row r="5">
      <c r="A5" t="inlineStr">
        <is>
          <t>Ceny akcií</t>
        </is>
      </c>
      <c r="B5" t="inlineStr">
        <is>
          <t>OK 2026-10-31T01:16:05Z</t>
        </is>
      </c>
    </row>
    <row r="6">
      <c r="A6" t="inlineStr">
        <is>
          <t>DoD</t>
        </is>
      </c>
      <c r="B6" t="inlineStr">
        <is>
          <t>OK 2026-10-31T01:16:05Z</t>
        </is>
      </c>
    </row>
    <row r="7">
      <c r="A7" t="inlineStr">
        <is>
          <t>SAM.gov</t>
        </is>
      </c>
      <c r="B7" t="inlineStr">
        <is>
          <t>OK 2026-10-30T22:51:26Z</t>
        </is>
      </c>
    </row>
    <row r="8">
      <c r="A8" t="inlineStr">
        <is>
          <t>SEC 8-K</t>
        </is>
      </c>
      <c r="B8" t="inlineStr">
        <is>
          <t>OK 2026-10-31T01:16:05Z</t>
        </is>
      </c>
    </row>
    <row r="9">
      <c r="A9" t="inlineStr">
        <is>
          <t>USAspending</t>
        </is>
      </c>
      <c r="B9" t="inlineStr">
        <is>
          <t>OK 2026-10-31T01:16:05Z</t>
        </is>
      </c>
    </row>
    <row r="10">
      <c r="A10" t="inlineStr">
        <is>
          <t>Zprávy</t>
        </is>
      </c>
      <c r="B10" t="inlineStr">
        <is>
          <t>OK 2026-10-31T01:16:05Z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2026-10-31T01:18:10Z</dcterms:created>
  <dcterms:modified xmlns:dcterms="http://purl.org/dc/terms/" xmlns:xsi="http://www.w3.org/2001/XMLSchema-instance" xsi:type="dcterms:W3CDTF">2026-10-31T01:18:10Z</dcterms:modified>
</cp:coreProperties>
</file>